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 comparativ" sheetId="1" state="visible" r:id="rId3"/>
    <sheet name="Gantt" sheetId="2" state="visible" r:id="rId4"/>
    <sheet name="Sur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Producătorii publică puterea de vârf (pe durată scurtă, adesea doar cu Launch Control). Puterea nominală / continuă (30 min, Regulamentul UNECE R85) apare rar în materialele de presă – se găsește în certificatul de conformitate (CoC) al vehiculului.</t>
        </r>
      </text>
    </comment>
    <comment ref="O5" authorId="0">
      <text>
        <r>
          <rPr>
            <sz val="10"/>
            <rFont val="Arial"/>
            <family val="2"/>
          </rPr>
          <t xml:space="preserve">Cerința din fișă: „putere dezvoltată / consumată”. Puterea dezvoltată = coloana F; pentru partea consumată s-a folosit consumul de energie WLTP (dacă nu e altfel notat).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S5" authorId="0">
      <text>
        <r>
          <rPr>
            <sz val="10"/>
            <rFont val="Arial"/>
            <family val="2"/>
          </rPr>
          <t xml:space="preserve">+14 zile: miercurea 30.12.2026 cade în vacanța de iarnă.</t>
        </r>
      </text>
    </comment>
  </commentList>
</comments>
</file>

<file path=xl/sharedStrings.xml><?xml version="1.0" encoding="utf-8"?>
<sst xmlns="http://schemas.openxmlformats.org/spreadsheetml/2006/main" count="292" uniqueCount="230">
  <si>
    <t xml:space="preserve">Etapa 1 – Documentare: acționări electrice pe automobile electrice de înaltă performanță (GT / super-sport)</t>
  </si>
  <si>
    <t xml:space="preserve">Vehicul ales: Mercedes-AMG Concept GT XX (concept, iunie 2025) și versiunea sa de serie, Mercedes-AMG GT 63 4MATIC+ 4-Door Coupé (platforma AMG.EA, prezentat mai 2026). Date culese la 07.10.2026.</t>
  </si>
  <si>
    <t xml:space="preserve">Legendă: text albastru = valoare preluată din sursă; text negru = formulă. Încredere: O = sursă oficială a producătorului, S = sursă secundară (presă / baze de date). n.d. = nedeclarat / negăsit. Rândurile galbene = vehiculul ales.</t>
  </si>
  <si>
    <t xml:space="preserve">Nr.</t>
  </si>
  <si>
    <t xml:space="preserve">Producător</t>
  </si>
  <si>
    <t xml:space="preserve">Model</t>
  </si>
  <si>
    <t xml:space="preserve">Stadiu / an</t>
  </si>
  <si>
    <t xml:space="preserve">Viteză max. [km/h]</t>
  </si>
  <si>
    <t xml:space="preserve">Putere max. (vârf) [kW]</t>
  </si>
  <si>
    <t xml:space="preserve">Putere max. [CP]</t>
  </si>
  <si>
    <t xml:space="preserve">Cuplu max. [Nm]</t>
  </si>
  <si>
    <t xml:space="preserve">0–100 km/h [s]</t>
  </si>
  <si>
    <t xml:space="preserve">Motoare electrice (nr., tip, dispunere)</t>
  </si>
  <si>
    <t xml:space="preserve">Transmisie</t>
  </si>
  <si>
    <t xml:space="preserve">Baterie [kWh]</t>
  </si>
  <si>
    <t xml:space="preserve">Tensiune sistem [V]</t>
  </si>
  <si>
    <t xml:space="preserve">Masă proprie [kg]</t>
  </si>
  <si>
    <t xml:space="preserve">Consum energie [kWh/100 km]</t>
  </si>
  <si>
    <t xml:space="preserve">Cx</t>
  </si>
  <si>
    <t xml:space="preserve">Încredere</t>
  </si>
  <si>
    <t xml:space="preserve">Observații</t>
  </si>
  <si>
    <t xml:space="preserve">Mercedes-AMG</t>
  </si>
  <si>
    <t xml:space="preserve">Concept AMG GT XX</t>
  </si>
  <si>
    <t xml:space="preserve">Concept (06/2025)</t>
  </si>
  <si>
    <t xml:space="preserve">n.d.</t>
  </si>
  <si>
    <t xml:space="preserve">3 motoare sincrone cu flux axial (YASA): 2 pe puntea spate + 1 pe puntea față, integrate în 2 unități HP.EDU (motor + reductor + invertor)</t>
  </si>
  <si>
    <t xml:space="preserve">Spate: câte un reductor planetar pentru fiecare motor; față: reductor cu roți dințate cilindrice</t>
  </si>
  <si>
    <t xml:space="preserve">≈114</t>
  </si>
  <si>
    <t xml:space="preserve">&gt;800</t>
  </si>
  <si>
    <t xml:space="preserve">O / S</t>
  </si>
  <si>
    <t xml:space="preserve">Valori declarate pentru concept (simulări / prototipuri): v_max &gt;360 km/h, P &gt;1000 kW, încărcare DC &gt;850 kW. Record Nardò 08/2025: 40 075 km în 7 zile 13 h 24 min. Capacitatea bateriei (≈114 kWh) provine din presă.</t>
  </si>
  <si>
    <t xml:space="preserve">GT 63 4MATIC+ 4-Door Coupé (AMG.EA)</t>
  </si>
  <si>
    <t xml:space="preserve">Serie (prezentat 05/2026)</t>
  </si>
  <si>
    <t xml:space="preserve">3 motoare sincrone cu flux axial (fabricate la Berlin-Marienfelde): 2 spate + 1 față, în unități HP.EDU</t>
  </si>
  <si>
    <t xml:space="preserve">Spate: câte un reductor planetar de intrare pentru fiecare motor (o singură carcasă)</t>
  </si>
  <si>
    <t xml:space="preserve">106 (util)</t>
  </si>
  <si>
    <t xml:space="preserve">≈2460–2535</t>
  </si>
  <si>
    <t xml:space="preserve">≈18</t>
  </si>
  <si>
    <t xml:space="preserve">Versiunea de serie derivată din GT XX. 860 kW = putere de vârf cu AMG Launch Control; v_max 300 km/h cu Driver's Package; 2660 celule cilindrice răcite direct în ulei; încărcare DC 600 kW. Varianta GT 55: 600 kW, autonomie WLTP 700 km. Masa și consumul diferă între surse (2460 / 2535 kg; 17,9 / 18,2 kWh/100 km).</t>
  </si>
  <si>
    <t xml:space="preserve">Porsche</t>
  </si>
  <si>
    <t xml:space="preserve">Taycan Turbo GT (pachet Weissach)</t>
  </si>
  <si>
    <t xml:space="preserve">Serie (2024)</t>
  </si>
  <si>
    <t xml:space="preserve">2 motoare sincrone cu magneți permanenți (PSM): 1 față + 1 spate; invertor spate cu SiC, 900 A</t>
  </si>
  <si>
    <t xml:space="preserve">Față: o treaptă; spate: cutie de viteze cu 2 trepte</t>
  </si>
  <si>
    <t xml:space="preserve">97 net / 105 brut</t>
  </si>
  <si>
    <t xml:space="preserve">20,5–21,2</t>
  </si>
  <si>
    <t xml:space="preserve">O</t>
  </si>
  <si>
    <t xml:space="preserve">580 kW putere maximă; 760 kW overboost cu Launch Control (815 kW timp de 2 s); Attack Mode +120 kW / 10 s. Consumul WLTP este cel publicat pentru Taycan Turbo GT.</t>
  </si>
  <si>
    <t xml:space="preserve">Audi</t>
  </si>
  <si>
    <t xml:space="preserve">RS e-tron GT performance</t>
  </si>
  <si>
    <t xml:space="preserve">2 motoare sincrone cu magneți permanenți: 1 față + 1 spate</t>
  </si>
  <si>
    <t xml:space="preserve">18,7–20,8</t>
  </si>
  <si>
    <t xml:space="preserve">550 kW nominal / 680 kW cu Launch Control; push-to-pass +70 kW / 10 s. Putere continuă declarată: 163 kW – singurul producător din tabel care o publică (date nominale).</t>
  </si>
  <si>
    <t xml:space="preserve">Lotus</t>
  </si>
  <si>
    <t xml:space="preserve">Emeya R</t>
  </si>
  <si>
    <t xml:space="preserve">2 motoare electrice: 1 față + 1 spate (tracțiune integrală)</t>
  </si>
  <si>
    <t xml:space="preserve">Spate: cutie cu 2 trepte (de verificat)</t>
  </si>
  <si>
    <t xml:space="preserve">102</t>
  </si>
  <si>
    <t xml:space="preserve">≈18,7</t>
  </si>
  <si>
    <t xml:space="preserve">S</t>
  </si>
  <si>
    <t xml:space="preserve">Încărcare DC 400 kW; autonomie WLTP ≈535 km.</t>
  </si>
  <si>
    <t xml:space="preserve">Tesla</t>
  </si>
  <si>
    <t xml:space="preserve">Model S Plaid</t>
  </si>
  <si>
    <t xml:space="preserve">Serie (2021)</t>
  </si>
  <si>
    <t xml:space="preserve">3 motoare sincrone cu magneți permanenți: 1 față + 2 spate (câte unul pe roată)</t>
  </si>
  <si>
    <t xml:space="preserve">Reductor cu o treaptă pentru fiecare unitate de acționare</t>
  </si>
  <si>
    <t xml:space="preserve">≈96 (util)</t>
  </si>
  <si>
    <t xml:space="preserve">≈400</t>
  </si>
  <si>
    <t xml:space="preserve">≈15,7</t>
  </si>
  <si>
    <t xml:space="preserve">322 km/h cu Track Package; arhitectură de 400 V (singura din tabel); încărcare DC 250 kW; autonomie WLTP ≈611 km.</t>
  </si>
  <si>
    <t xml:space="preserve">Lucid</t>
  </si>
  <si>
    <t xml:space="preserve">Air Sapphire</t>
  </si>
  <si>
    <t xml:space="preserve">Serie (2023)</t>
  </si>
  <si>
    <t xml:space="preserve">1,89 (0–96 km/h)</t>
  </si>
  <si>
    <t xml:space="preserve">3 motoare sincrone cu magneți permanenți: 1 față + 2 spate</t>
  </si>
  <si>
    <t xml:space="preserve">118</t>
  </si>
  <si>
    <t xml:space="preserve">900+</t>
  </si>
  <si>
    <t xml:space="preserve">≈17,2 (EPA)</t>
  </si>
  <si>
    <t xml:space="preserve">Putere declarată 1234 CP (≈920 kW); cuplu 1430 lb-ft (≈1939 Nm); masă 5336 lb. Consumul este calculat din eficiența EPA de 3,61 mi/kWh (nu WLTP).</t>
  </si>
  <si>
    <t xml:space="preserve">Xiaomi</t>
  </si>
  <si>
    <t xml:space="preserve">SU7 Ultra</t>
  </si>
  <si>
    <t xml:space="preserve">Serie (2025)</t>
  </si>
  <si>
    <t xml:space="preserve">3 motoare: 2 × HyperEngine V8s (425 kW, 635 Nm, 27 200 rpm) + 1 × V6s (288 kW)</t>
  </si>
  <si>
    <t xml:space="preserve">93,7 net / 95 brut</t>
  </si>
  <si>
    <t xml:space="preserve">Baterie CATL Qilin 2.0 (putere maximă de descărcare 1330 kW).</t>
  </si>
  <si>
    <t xml:space="preserve">BYD (Yangwang)</t>
  </si>
  <si>
    <t xml:space="preserve">U9</t>
  </si>
  <si>
    <t xml:space="preserve">4 motoare × 240 kW, câte unul pe fiecare roată (platforma e4)</t>
  </si>
  <si>
    <t xml:space="preserve">80 (LFP Blade)</t>
  </si>
  <si>
    <t xml:space="preserve">v_max = 309,19 km/h. Varianta U9 Track Edition / Xtreme: 1200 V, &gt;2200 kW, 496,22 km/h (09/2025, record într-un singur sens).</t>
  </si>
  <si>
    <t xml:space="preserve">Rimac</t>
  </si>
  <si>
    <t xml:space="preserve">Nevera</t>
  </si>
  <si>
    <t xml:space="preserve">Serie (2021, 150 ex.)</t>
  </si>
  <si>
    <t xml:space="preserve">4 motoare sincrone cu magneți permanenți (rotor cu manșon din carbon): față 2 × 220 kW / 280 Nm, spate 2 × 480 kW / 900 Nm; 4 invertoare</t>
  </si>
  <si>
    <t xml:space="preserve">4 reductoare independente (câte unul pe motor)</t>
  </si>
  <si>
    <t xml:space="preserve">120</t>
  </si>
  <si>
    <t xml:space="preserve">730 (max.)</t>
  </si>
  <si>
    <t xml:space="preserve">6960 celule cilindrice 21700; încărcare DC 500 kW; autonomie ≈490 km. Cuplul la roată declarat: 13 430 Nm.</t>
  </si>
  <si>
    <t xml:space="preserve">Maserati</t>
  </si>
  <si>
    <t xml:space="preserve">GranTurismo Folgore</t>
  </si>
  <si>
    <t xml:space="preserve">3 motoare sincrone cu magneți permanenți × 300 kW: 1 față + 2 spate</t>
  </si>
  <si>
    <t xml:space="preserve">83 net / 92,5 brut</t>
  </si>
  <si>
    <t xml:space="preserve">≈2335</t>
  </si>
  <si>
    <t xml:space="preserve">Putere limitată de baterie la 560 kW (≈610 kW în regim de boost, sursă secundară). Masa = 5148 lb (UE, neîncărcat).</t>
  </si>
  <si>
    <t xml:space="preserve">Factor conversie kW → CP (cal-putere metric):</t>
  </si>
  <si>
    <t xml:space="preserve">1 kW =</t>
  </si>
  <si>
    <t xml:space="preserve">CP (1 CP = 0,73549875 kW)</t>
  </si>
  <si>
    <t xml:space="preserve">Sinteză (vehicule de serie, rândurile 2–11)</t>
  </si>
  <si>
    <t xml:space="preserve">Număr de producători în tabel</t>
  </si>
  <si>
    <t xml:space="preserve">Putere de vârf medie [kW]</t>
  </si>
  <si>
    <t xml:space="preserve">Putere de vârf maximă [kW]</t>
  </si>
  <si>
    <t xml:space="preserve">Viteză maximă medie [km/h]</t>
  </si>
  <si>
    <t xml:space="preserve">Cuplu mediu [Nm]</t>
  </si>
  <si>
    <t xml:space="preserve">Vehicule cu arhitectură ≥800 V</t>
  </si>
  <si>
    <t xml:space="preserve">Diagrama Gantt – Proiect CCA (Concepția Asistată de Calculator a Acționărilor Electrice)</t>
  </si>
  <si>
    <t xml:space="preserve">Ipoteze: o ședință de proiect pe săptămână, miercurea, începând cu 07.10.2026; durata etapelor din fișa proiectului (1s = o ședință/săptămână). Vacanța de iarnă 24.12.2026–03.01.2027 conform structurii naționale a anului universitar – de confirmat cu orarul UPB. Modificați coloana „Durată” și diagrama se actualizează.</t>
  </si>
  <si>
    <t xml:space="preserve">Etapă</t>
  </si>
  <si>
    <t xml:space="preserve">Durată [ședințe]</t>
  </si>
  <si>
    <t xml:space="preserve">Ședința de început</t>
  </si>
  <si>
    <t xml:space="preserve">Ședința de final</t>
  </si>
  <si>
    <t xml:space="preserve">Livrabil</t>
  </si>
  <si>
    <t xml:space="preserve">Data ședinței →</t>
  </si>
  <si>
    <t xml:space="preserve">1. Documentare</t>
  </si>
  <si>
    <t xml:space="preserve">Tabel comparativ (min. 7 producători) + diagrama Gantt</t>
  </si>
  <si>
    <t xml:space="preserve">2. Formularea temei</t>
  </si>
  <si>
    <t xml:space="preserve">Tema de proiectare: cerințe și specificații</t>
  </si>
  <si>
    <t xml:space="preserve">3. Caz real: acționare electrică pe vehicul de serie</t>
  </si>
  <si>
    <t xml:space="preserve">Alegerea vehiculului de serie (în paralel cu etapa 2)</t>
  </si>
  <si>
    <t xml:space="preserve">Test 1</t>
  </si>
  <si>
    <t xml:space="preserve">Test individual (max. 10 p)</t>
  </si>
  <si>
    <t xml:space="preserve">4. Schema acționării</t>
  </si>
  <si>
    <t xml:space="preserve">Schema bloc a acționării</t>
  </si>
  <si>
    <t xml:space="preserve">Test 2</t>
  </si>
  <si>
    <t xml:space="preserve">5. Calcul și simulare</t>
  </si>
  <si>
    <t xml:space="preserve">Calcul de dimensionare + model MATLAB/Simulink</t>
  </si>
  <si>
    <t xml:space="preserve">Test 3</t>
  </si>
  <si>
    <t xml:space="preserve">6. Elaborarea raportului tehnic</t>
  </si>
  <si>
    <t xml:space="preserve">Raport tehnic (redactare individuală)</t>
  </si>
  <si>
    <t xml:space="preserve">7. Realizarea prezentării</t>
  </si>
  <si>
    <t xml:space="preserve">Prezentare</t>
  </si>
  <si>
    <t xml:space="preserve">8. Susținerea prezentării</t>
  </si>
  <si>
    <t xml:space="preserve">Susținere în fața grupei (max. 50 p)</t>
  </si>
  <si>
    <t xml:space="preserve">Vacanța de iarnă (24.12.2026–03.01.2027)</t>
  </si>
  <si>
    <t xml:space="preserve">Fără ședințe între ședințele 12 și 13</t>
  </si>
  <si>
    <t xml:space="preserve">Legendă:</t>
  </si>
  <si>
    <t xml:space="preserve">Etapă de lucru</t>
  </si>
  <si>
    <t xml:space="preserve">Test individual</t>
  </si>
  <si>
    <t xml:space="preserve">Total ședințe ocupate de etape (fără etapa 3, paralelă):</t>
  </si>
  <si>
    <t xml:space="preserve">Ședința 14 rămâne rezervă (recuperări / susțineri restante).</t>
  </si>
  <si>
    <t xml:space="preserve">Surse (accesate 07.10.2026)</t>
  </si>
  <si>
    <t xml:space="preserve">Notă: paginile au fost consultate prin motor de căutare; valorile marcate S trebuie verificate pe pagina producătorului înainte de predare. Datele de concept nu sunt valori omologate.</t>
  </si>
  <si>
    <t xml:space="preserve">Vehicul</t>
  </si>
  <si>
    <t xml:space="preserve">Sursă</t>
  </si>
  <si>
    <t xml:space="preserve">URL</t>
  </si>
  <si>
    <t xml:space="preserve">Mercedes-AMG Concept GT XX</t>
  </si>
  <si>
    <t xml:space="preserve">mercedes-amg.com – Concept AMG GT XX</t>
  </si>
  <si>
    <t xml:space="preserve">https://www.mercedes-amg.com/en/concept-amg-gt-xx</t>
  </si>
  <si>
    <t xml:space="preserve">Mercedes-Benz Group – încărcare MW, AMG GT XX</t>
  </si>
  <si>
    <t xml:space="preserve">https://group.mercedes-benz.com/technology/e-mobility/charging/megawatt-charging-amg-gt-xx.html</t>
  </si>
  <si>
    <t xml:space="preserve">Design News – trei motoare cu flux axial</t>
  </si>
  <si>
    <t xml:space="preserve">https://www.designnews.com/automotive-engineering/mercedes-concept-amg-gt-xx</t>
  </si>
  <si>
    <t xml:space="preserve">Motor1 – Concept GT XX (Cx 0,198, baterie)</t>
  </si>
  <si>
    <t xml:space="preserve">https://www.motor1.com/news/763606/amg-gt-xx-concept-first-look/</t>
  </si>
  <si>
    <t xml:space="preserve">Interesting Engineering – record Nardò</t>
  </si>
  <si>
    <t xml:space="preserve">https://interestingengineering.com/photo-story/mercedes-amg-ev-concept-breaks-records</t>
  </si>
  <si>
    <t xml:space="preserve">Driven (NZ) – arhitectura HP.EDU</t>
  </si>
  <si>
    <t xml:space="preserve">https://www.drivencarguide.co.nz/news/mercedes-amgs-concept-amg-gt-xx-packs-serious-tech-under-throwback-looks/</t>
  </si>
  <si>
    <t xml:space="preserve">Mercedes-AMG GT 63 4-Door Coupé</t>
  </si>
  <si>
    <t xml:space="preserve">mercedes-amg.com – GT 4-Door Coupé</t>
  </si>
  <si>
    <t xml:space="preserve">https://www.mercedes-amg.com/en/gt-4-door-coupe</t>
  </si>
  <si>
    <t xml:space="preserve">Mercedes-Benz – producția motorului cu flux axial (Berlin)</t>
  </si>
  <si>
    <t xml:space="preserve">https://group.mercedes-benz.com/company/production/news/axial-flux-motor-berlin.html</t>
  </si>
  <si>
    <t xml:space="preserve">electrive.com – prezentare 20.05.2026</t>
  </si>
  <si>
    <t xml:space="preserve">https://www.electrive.com/2026/05/20/electric-powerhouse-mercedes-amg-unveils-gt-4-door-coupe/</t>
  </si>
  <si>
    <t xml:space="preserve">Autocar India – GT 4-Door Coupé EV</t>
  </si>
  <si>
    <t xml:space="preserve">https://www.autocarindia.com/car-news/2026-mercedes-amg-gt-4-door-coupe-revealed-makes-up-to-1169hp-439771</t>
  </si>
  <si>
    <t xml:space="preserve">ArenaEV – fișă tehnică (masă, consum)</t>
  </si>
  <si>
    <t xml:space="preserve">https://www.arenaev.com/mercedes_amg_gt_4_door_coup%c3%a9_gt_63_2026-specs-986.php</t>
  </si>
  <si>
    <t xml:space="preserve">automobile-catalog – fișă tehnică</t>
  </si>
  <si>
    <t xml:space="preserve">https://www.automobile-catalog.com/car/2026/3653165/mercedes-amg_gt_63_4-door_coupe_ev.html</t>
  </si>
  <si>
    <t xml:space="preserve">Porsche Taycan Turbo GT</t>
  </si>
  <si>
    <t xml:space="preserve">Porsche Newsroom – Taycan Turbo GT</t>
  </si>
  <si>
    <t xml:space="preserve">https://newsroom.porsche.com/en/2024/products/porsche-the-new-taycan-turbo-gt-35479.html</t>
  </si>
  <si>
    <t xml:space="preserve">Porsche – date tehnice pachet Weissach (PDF)</t>
  </si>
  <si>
    <t xml:space="preserve">https://newsroom.porsche.com/dam/jcr:c96cbebc-3745-4700-b385-981a9c4fe91d/pag-taycan-turbo-gt-weissachpaket-td-en.pdf</t>
  </si>
  <si>
    <t xml:space="preserve">Porsche Newsroom – cel mai puternic Porsche de serie</t>
  </si>
  <si>
    <t xml:space="preserve">https://newsroom.porsche.com/en/2025/products/porsche-taycan-turbo-gt-most-powerful-poduction-porsche-38431.html</t>
  </si>
  <si>
    <t xml:space="preserve">Audi RS e-tron GT performance</t>
  </si>
  <si>
    <t xml:space="preserve">Audi – comunicat de presă</t>
  </si>
  <si>
    <t xml:space="preserve">https://www.audi.com/en/press-releases/audis-most-powerful-production-vehicle-the-new-rs-e-tron-gt-performance-16222</t>
  </si>
  <si>
    <t xml:space="preserve">Audi MediaCenter – date tehnice (PDF)</t>
  </si>
  <si>
    <t xml:space="preserve">https://uploads.audi-mediacenter.com/system/production/car_motorizations/1392/file_en/91bfc69ec55530e277b5023245b77c1c82772920/eTD-Audi-RS-e-tron-GT-performance-550kW_250515.pdf</t>
  </si>
  <si>
    <t xml:space="preserve">Audi Magazine Australia – 1027 Nm</t>
  </si>
  <si>
    <t xml:space="preserve">https://magazine.audi.com.au/article/peak-performance</t>
  </si>
  <si>
    <t xml:space="preserve">Lotus Emeya R</t>
  </si>
  <si>
    <t xml:space="preserve">evkx.net – fișă tehnică</t>
  </si>
  <si>
    <t xml:space="preserve">https://evkx.net/models/lotus/emeya/emeya_r/specifications</t>
  </si>
  <si>
    <t xml:space="preserve">CarNewsChina – baza de date</t>
  </si>
  <si>
    <t xml:space="preserve">https://data.carnewschina.com/database/lotus/lotus-emeya/2024</t>
  </si>
  <si>
    <t xml:space="preserve">Tesla Model S Plaid</t>
  </si>
  <si>
    <t xml:space="preserve">https://evkx.net/models/tesla/model_s/model_s_plaid/specifications/</t>
  </si>
  <si>
    <t xml:space="preserve">Lucid Air Sapphire</t>
  </si>
  <si>
    <t xml:space="preserve">Lucid – specificații finale de producție</t>
  </si>
  <si>
    <t xml:space="preserve">https://lucidmotors.com/stories/final-production-specs-sapphire</t>
  </si>
  <si>
    <t xml:space="preserve">Lucid – fișă tehnică 2024 (PDF)</t>
  </si>
  <si>
    <t xml:space="preserve">https://lucidmotors.com/media/document/lucid-air-sapphire-technical-specs-2024.pdf</t>
  </si>
  <si>
    <t xml:space="preserve">Xiaomi SU7 Ultra</t>
  </si>
  <si>
    <t xml:space="preserve">https://evkx.net/models/xiaomi/su7/su7_ultra/specifications</t>
  </si>
  <si>
    <t xml:space="preserve">CarNewsChina – lansare SU7 Ultra / V8s</t>
  </si>
  <si>
    <t xml:space="preserve">https://carnewschina.com/2024/07/19/new-xiaomi-su7-ultra-with-1548-horsepower-and-v8s-motor-unveiled-in-china</t>
  </si>
  <si>
    <t xml:space="preserve">Yangwang U9</t>
  </si>
  <si>
    <t xml:space="preserve">autotijd.be – fișă tehnică</t>
  </si>
  <si>
    <t xml:space="preserve">https://autotijd.be/en/specs/yangwang/u9/960-kw-awd-4586</t>
  </si>
  <si>
    <t xml:space="preserve">CarNewsChina – parametri</t>
  </si>
  <si>
    <t xml:space="preserve">https://data.carnewschina.com/database/yangwang/yangwang-u9/2024/params</t>
  </si>
  <si>
    <t xml:space="preserve">Cars24 – record U9 Track Edition</t>
  </si>
  <si>
    <t xml:space="preserve">https://www.cars24.com.au/car-news/yangwang-u9-track-edition-sets-global-ev-speed-record/</t>
  </si>
  <si>
    <t xml:space="preserve">Rimac Nevera</t>
  </si>
  <si>
    <t xml:space="preserve">Rimac – specificații tehnice (PDF)</t>
  </si>
  <si>
    <t xml:space="preserve">https://web-cdn.rimac-automobili.com/wp-content/uploads/2023/11/20171226/Nevera_Technical-specifications.pdf</t>
  </si>
  <si>
    <t xml:space="preserve">Rimac – Nevera</t>
  </si>
  <si>
    <t xml:space="preserve">https://www.rimac-automobili.com/nevera/</t>
  </si>
  <si>
    <t xml:space="preserve">Maserati GranTurismo Folgore</t>
  </si>
  <si>
    <t xml:space="preserve">Maserati – GranTurismo Folgore</t>
  </si>
  <si>
    <t xml:space="preserve">https://www.maserati.com/us/en/models/granturismo/granturismo-folgore</t>
  </si>
  <si>
    <t xml:space="preserve">ArenaEV – fișă tehnică</t>
  </si>
  <si>
    <t xml:space="preserve">https://m.arenaev.com/maserati_granturismo_folgore_92kwh_2023-specs-amps-362.php</t>
  </si>
  <si>
    <t xml:space="preserve">Structura anului universitar</t>
  </si>
  <si>
    <t xml:space="preserve">Structura anului universitar 2026–2027 (model național)</t>
  </si>
  <si>
    <t xml:space="preserve">https://unarte.org/wp-content/uploads/2026/08/Structura-anului-universitar-2026-2027.pdf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</si>
</sst>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&gt;0"/>
    <numFmt numFmtId="166" formatCode="\&gt;#,##0"/>
    <numFmt numFmtId="167" formatCode="0.000"/>
    <numFmt numFmtId="168" formatCode="#,##0"/>
    <numFmt numFmtId="169" formatCode="0.00"/>
    <numFmt numFmtId="170" formatCode="0"/>
    <numFmt numFmtId="171" formatCode="dd\.mm"/>
    <numFmt numFmtId="172" formatCode=";;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2F75B5"/>
        <bgColor rgb="FF0563C1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00000"/>
        </patternFill>
      </fill>
    </dxf>
    <dxf>
      <fill>
        <patternFill>
          <bgColor rgb="FF2F75B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555555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mercedes-amg.com/en/concept-amg-gt-xx" TargetMode="External"/><Relationship Id="rId2" Type="http://schemas.openxmlformats.org/officeDocument/2006/relationships/hyperlink" Target="https://group.mercedes-benz.com/technology/e-mobility/charging/megawatt-charging-amg-gt-xx.html" TargetMode="External"/><Relationship Id="rId3" Type="http://schemas.openxmlformats.org/officeDocument/2006/relationships/hyperlink" Target="https://www.designnews.com/automotive-engineering/mercedes-concept-amg-gt-xx" TargetMode="External"/><Relationship Id="rId4" Type="http://schemas.openxmlformats.org/officeDocument/2006/relationships/hyperlink" Target="https://www.motor1.com/news/763606/amg-gt-xx-concept-first-look/" TargetMode="External"/><Relationship Id="rId5" Type="http://schemas.openxmlformats.org/officeDocument/2006/relationships/hyperlink" Target="https://interestingengineering.com/photo-story/mercedes-amg-ev-concept-breaks-records" TargetMode="External"/><Relationship Id="rId6" Type="http://schemas.openxmlformats.org/officeDocument/2006/relationships/hyperlink" Target="https://www.drivencarguide.co.nz/news/mercedes-amgs-concept-amg-gt-xx-packs-serious-tech-under-throwback-looks/" TargetMode="External"/><Relationship Id="rId7" Type="http://schemas.openxmlformats.org/officeDocument/2006/relationships/hyperlink" Target="https://www.mercedes-amg.com/en/gt-4-door-coupe" TargetMode="External"/><Relationship Id="rId8" Type="http://schemas.openxmlformats.org/officeDocument/2006/relationships/hyperlink" Target="https://group.mercedes-benz.com/company/production/news/axial-flux-motor-berlin.html" TargetMode="External"/><Relationship Id="rId9" Type="http://schemas.openxmlformats.org/officeDocument/2006/relationships/hyperlink" Target="https://www.electrive.com/2026/05/20/electric-powerhouse-mercedes-amg-unveils-gt-4-door-coupe/" TargetMode="External"/><Relationship Id="rId10" Type="http://schemas.openxmlformats.org/officeDocument/2006/relationships/hyperlink" Target="https://www.autocarindia.com/car-news/2026-mercedes-amg-gt-4-door-coupe-revealed-makes-up-to-1169hp-439771" TargetMode="External"/><Relationship Id="rId11" Type="http://schemas.openxmlformats.org/officeDocument/2006/relationships/hyperlink" Target="https://www.arenaev.com/mercedes_amg_gt_4_door_coup&#233;_gt_63_2026-specs-986.php" TargetMode="External"/><Relationship Id="rId12" Type="http://schemas.openxmlformats.org/officeDocument/2006/relationships/hyperlink" Target="https://www.automobile-catalog.com/car/2026/3653165/mercedes-amg_gt_63_4-door_coupe_ev.html" TargetMode="External"/><Relationship Id="rId13" Type="http://schemas.openxmlformats.org/officeDocument/2006/relationships/hyperlink" Target="https://newsroom.porsche.com/en/2024/products/porsche-the-new-taycan-turbo-gt-35479.html" TargetMode="External"/><Relationship Id="rId14" Type="http://schemas.openxmlformats.org/officeDocument/2006/relationships/hyperlink" Target="https://newsroom.porsche.com/dam/jcr:c96cbebc-3745-4700-b385-981a9c4fe91d/pag-taycan-turbo-gt-weissachpaket-td-en.pdf" TargetMode="External"/><Relationship Id="rId15" Type="http://schemas.openxmlformats.org/officeDocument/2006/relationships/hyperlink" Target="https://newsroom.porsche.com/en/2025/products/porsche-taycan-turbo-gt-most-powerful-poduction-porsche-38431.html" TargetMode="External"/><Relationship Id="rId16" Type="http://schemas.openxmlformats.org/officeDocument/2006/relationships/hyperlink" Target="https://www.audi.com/en/press-releases/audis-most-powerful-production-vehicle-the-new-rs-e-tron-gt-performance-16222" TargetMode="External"/><Relationship Id="rId17" Type="http://schemas.openxmlformats.org/officeDocument/2006/relationships/hyperlink" Target="https://uploads.audi-mediacenter.com/system/production/car_motorizations/1392/file_en/91bfc69ec55530e277b5023245b77c1c82772920/eTD-Audi-RS-e-tron-GT-performance-550kW_250515.pdf" TargetMode="External"/><Relationship Id="rId18" Type="http://schemas.openxmlformats.org/officeDocument/2006/relationships/hyperlink" Target="https://magazine.audi.com.au/article/peak-performance" TargetMode="External"/><Relationship Id="rId19" Type="http://schemas.openxmlformats.org/officeDocument/2006/relationships/hyperlink" Target="https://evkx.net/models/lotus/emeya/emeya_r/specifications" TargetMode="External"/><Relationship Id="rId20" Type="http://schemas.openxmlformats.org/officeDocument/2006/relationships/hyperlink" Target="https://data.carnewschina.com/database/lotus/lotus-emeya/2024" TargetMode="External"/><Relationship Id="rId21" Type="http://schemas.openxmlformats.org/officeDocument/2006/relationships/hyperlink" Target="https://evkx.net/models/tesla/model_s/model_s_plaid/specifications/" TargetMode="External"/><Relationship Id="rId22" Type="http://schemas.openxmlformats.org/officeDocument/2006/relationships/hyperlink" Target="https://lucidmotors.com/stories/final-production-specs-sapphire" TargetMode="External"/><Relationship Id="rId23" Type="http://schemas.openxmlformats.org/officeDocument/2006/relationships/hyperlink" Target="https://lucidmotors.com/media/document/lucid-air-sapphire-technical-specs-2024.pdf" TargetMode="External"/><Relationship Id="rId24" Type="http://schemas.openxmlformats.org/officeDocument/2006/relationships/hyperlink" Target="https://evkx.net/models/xiaomi/su7/su7_ultra/specifications" TargetMode="External"/><Relationship Id="rId25" Type="http://schemas.openxmlformats.org/officeDocument/2006/relationships/hyperlink" Target="https://carnewschina.com/2024/07/19/new-xiaomi-su7-ultra-with-1548-horsepower-and-v8s-motor-unveiled-in-china" TargetMode="External"/><Relationship Id="rId26" Type="http://schemas.openxmlformats.org/officeDocument/2006/relationships/hyperlink" Target="https://autotijd.be/en/specs/yangwang/u9/960-kw-awd-4586" TargetMode="External"/><Relationship Id="rId27" Type="http://schemas.openxmlformats.org/officeDocument/2006/relationships/hyperlink" Target="https://data.carnewschina.com/database/yangwang/yangwang-u9/2024/params" TargetMode="External"/><Relationship Id="rId28" Type="http://schemas.openxmlformats.org/officeDocument/2006/relationships/hyperlink" Target="https://www.cars24.com.au/car-news/yangwang-u9-track-edition-sets-global-ev-speed-record/" TargetMode="External"/><Relationship Id="rId29" Type="http://schemas.openxmlformats.org/officeDocument/2006/relationships/hyperlink" Target="https://web-cdn.rimac-automobili.com/wp-content/uploads/2023/11/20171226/Nevera_Technical-specifications.pdf" TargetMode="External"/><Relationship Id="rId30" Type="http://schemas.openxmlformats.org/officeDocument/2006/relationships/hyperlink" Target="https://www.rimac-automobili.com/nevera/" TargetMode="External"/><Relationship Id="rId31" Type="http://schemas.openxmlformats.org/officeDocument/2006/relationships/hyperlink" Target="https://www.maserati.com/us/en/models/granturismo/granturismo-folgore" TargetMode="External"/><Relationship Id="rId32" Type="http://schemas.openxmlformats.org/officeDocument/2006/relationships/hyperlink" Target="https://m.arenaev.com/maserati_granturismo_folgore_92kwh_2023-specs-amps-362.php" TargetMode="External"/><Relationship Id="rId33" Type="http://schemas.openxmlformats.org/officeDocument/2006/relationships/hyperlink" Target="https://unarte.org/wp-content/uploads/2026/08/Structura-anului-universitar-2026-2027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10"/>
    <col collapsed="false" customWidth="true" hidden="false" outlineLevel="0" max="10" min="10" style="0" width="42"/>
    <col collapsed="false" customWidth="true" hidden="false" outlineLevel="0" max="11" min="11" style="0" width="30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7"/>
    <col collapsed="false" customWidth="true" hidden="false" outlineLevel="0" max="17" min="17" style="0" width="10"/>
    <col collapsed="false" customWidth="true" hidden="false" outlineLevel="0" max="18" min="18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42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</row>
    <row r="6" customFormat="false" ht="35.05" hidden="false" customHeight="false" outlineLevel="0" collapsed="false">
      <c r="A6" s="5" t="n">
        <v>1</v>
      </c>
      <c r="B6" s="6" t="s">
        <v>21</v>
      </c>
      <c r="C6" s="6" t="s">
        <v>22</v>
      </c>
      <c r="D6" s="6" t="s">
        <v>23</v>
      </c>
      <c r="E6" s="7" t="n">
        <v>360</v>
      </c>
      <c r="F6" s="8" t="n">
        <v>1000</v>
      </c>
      <c r="G6" s="9" t="n">
        <f aca="false">ROUND(F6*$C$19,0)</f>
        <v>1360</v>
      </c>
      <c r="H6" s="6" t="s">
        <v>24</v>
      </c>
      <c r="I6" s="6" t="s">
        <v>24</v>
      </c>
      <c r="J6" s="6" t="s">
        <v>25</v>
      </c>
      <c r="K6" s="6" t="s">
        <v>26</v>
      </c>
      <c r="L6" s="6" t="s">
        <v>27</v>
      </c>
      <c r="M6" s="6" t="s">
        <v>28</v>
      </c>
      <c r="N6" s="6" t="s">
        <v>24</v>
      </c>
      <c r="O6" s="6" t="s">
        <v>24</v>
      </c>
      <c r="P6" s="10" t="n">
        <v>0.198</v>
      </c>
      <c r="Q6" s="6" t="s">
        <v>29</v>
      </c>
      <c r="R6" s="6" t="s">
        <v>30</v>
      </c>
    </row>
    <row r="7" customFormat="false" ht="57.45" hidden="false" customHeight="false" outlineLevel="0" collapsed="false">
      <c r="A7" s="5" t="n">
        <v>2</v>
      </c>
      <c r="B7" s="6" t="s">
        <v>21</v>
      </c>
      <c r="C7" s="6" t="s">
        <v>31</v>
      </c>
      <c r="D7" s="6" t="s">
        <v>32</v>
      </c>
      <c r="E7" s="6" t="n">
        <v>300</v>
      </c>
      <c r="F7" s="11" t="n">
        <v>860</v>
      </c>
      <c r="G7" s="12" t="n">
        <f aca="false">ROUND(F7*$C$19,0)</f>
        <v>1169</v>
      </c>
      <c r="H7" s="6" t="n">
        <v>2000</v>
      </c>
      <c r="I7" s="13" t="n">
        <v>2.1</v>
      </c>
      <c r="J7" s="6" t="s">
        <v>33</v>
      </c>
      <c r="K7" s="6" t="s">
        <v>34</v>
      </c>
      <c r="L7" s="6" t="s">
        <v>35</v>
      </c>
      <c r="M7" s="6" t="n">
        <v>800</v>
      </c>
      <c r="N7" s="6" t="s">
        <v>36</v>
      </c>
      <c r="O7" s="6" t="s">
        <v>37</v>
      </c>
      <c r="P7" s="10" t="n">
        <v>0.22</v>
      </c>
      <c r="Q7" s="6" t="s">
        <v>29</v>
      </c>
      <c r="R7" s="6" t="s">
        <v>38</v>
      </c>
    </row>
    <row r="8" customFormat="false" ht="35.05" hidden="false" customHeight="false" outlineLevel="0" collapsed="false">
      <c r="A8" s="14" t="n">
        <v>3</v>
      </c>
      <c r="B8" s="15" t="s">
        <v>39</v>
      </c>
      <c r="C8" s="15" t="s">
        <v>40</v>
      </c>
      <c r="D8" s="15" t="s">
        <v>41</v>
      </c>
      <c r="E8" s="15" t="n">
        <v>305</v>
      </c>
      <c r="F8" s="16" t="n">
        <v>760</v>
      </c>
      <c r="G8" s="17" t="n">
        <f aca="false">ROUND(F8*$C$19,0)</f>
        <v>1033</v>
      </c>
      <c r="H8" s="15" t="n">
        <v>1240</v>
      </c>
      <c r="I8" s="18" t="n">
        <v>2.2</v>
      </c>
      <c r="J8" s="15" t="s">
        <v>42</v>
      </c>
      <c r="K8" s="15" t="s">
        <v>43</v>
      </c>
      <c r="L8" s="15" t="s">
        <v>44</v>
      </c>
      <c r="M8" s="15" t="n">
        <v>800</v>
      </c>
      <c r="N8" s="15" t="n">
        <v>2220</v>
      </c>
      <c r="O8" s="15" t="s">
        <v>45</v>
      </c>
      <c r="P8" s="19" t="s">
        <v>24</v>
      </c>
      <c r="Q8" s="15" t="s">
        <v>46</v>
      </c>
      <c r="R8" s="15" t="s">
        <v>47</v>
      </c>
    </row>
    <row r="9" customFormat="false" ht="35.05" hidden="false" customHeight="false" outlineLevel="0" collapsed="false">
      <c r="A9" s="14" t="n">
        <v>4</v>
      </c>
      <c r="B9" s="15" t="s">
        <v>48</v>
      </c>
      <c r="C9" s="15" t="s">
        <v>49</v>
      </c>
      <c r="D9" s="15" t="s">
        <v>41</v>
      </c>
      <c r="E9" s="15" t="n">
        <v>250</v>
      </c>
      <c r="F9" s="16" t="n">
        <v>680</v>
      </c>
      <c r="G9" s="17" t="n">
        <f aca="false">ROUND(F9*$C$19,0)</f>
        <v>925</v>
      </c>
      <c r="H9" s="15" t="n">
        <v>1027</v>
      </c>
      <c r="I9" s="18" t="n">
        <v>2.5</v>
      </c>
      <c r="J9" s="15" t="s">
        <v>50</v>
      </c>
      <c r="K9" s="15" t="s">
        <v>43</v>
      </c>
      <c r="L9" s="15" t="s">
        <v>44</v>
      </c>
      <c r="M9" s="15" t="n">
        <v>800</v>
      </c>
      <c r="N9" s="15" t="s">
        <v>24</v>
      </c>
      <c r="O9" s="15" t="s">
        <v>51</v>
      </c>
      <c r="P9" s="19" t="s">
        <v>24</v>
      </c>
      <c r="Q9" s="15" t="s">
        <v>46</v>
      </c>
      <c r="R9" s="15" t="s">
        <v>52</v>
      </c>
    </row>
    <row r="10" customFormat="false" ht="23.85" hidden="false" customHeight="false" outlineLevel="0" collapsed="false">
      <c r="A10" s="14" t="n">
        <v>5</v>
      </c>
      <c r="B10" s="15" t="s">
        <v>53</v>
      </c>
      <c r="C10" s="15" t="s">
        <v>54</v>
      </c>
      <c r="D10" s="15" t="s">
        <v>41</v>
      </c>
      <c r="E10" s="15" t="n">
        <v>256</v>
      </c>
      <c r="F10" s="16" t="n">
        <v>675</v>
      </c>
      <c r="G10" s="17" t="n">
        <f aca="false">ROUND(F10*$C$19,0)</f>
        <v>918</v>
      </c>
      <c r="H10" s="15" t="n">
        <v>985</v>
      </c>
      <c r="I10" s="18" t="n">
        <v>2.78</v>
      </c>
      <c r="J10" s="15" t="s">
        <v>55</v>
      </c>
      <c r="K10" s="15" t="s">
        <v>56</v>
      </c>
      <c r="L10" s="15" t="s">
        <v>57</v>
      </c>
      <c r="M10" s="15" t="n">
        <v>800</v>
      </c>
      <c r="N10" s="15" t="n">
        <v>2565</v>
      </c>
      <c r="O10" s="15" t="s">
        <v>58</v>
      </c>
      <c r="P10" s="19" t="s">
        <v>24</v>
      </c>
      <c r="Q10" s="15" t="s">
        <v>59</v>
      </c>
      <c r="R10" s="15" t="s">
        <v>60</v>
      </c>
    </row>
    <row r="11" customFormat="false" ht="23.85" hidden="false" customHeight="false" outlineLevel="0" collapsed="false">
      <c r="A11" s="14" t="n">
        <v>6</v>
      </c>
      <c r="B11" s="15" t="s">
        <v>61</v>
      </c>
      <c r="C11" s="15" t="s">
        <v>62</v>
      </c>
      <c r="D11" s="15" t="s">
        <v>63</v>
      </c>
      <c r="E11" s="15" t="n">
        <v>322</v>
      </c>
      <c r="F11" s="16" t="n">
        <v>760</v>
      </c>
      <c r="G11" s="17" t="n">
        <f aca="false">ROUND(F11*$C$19,0)</f>
        <v>1033</v>
      </c>
      <c r="H11" s="15" t="n">
        <v>1420</v>
      </c>
      <c r="I11" s="18" t="n">
        <v>2.1</v>
      </c>
      <c r="J11" s="15" t="s">
        <v>64</v>
      </c>
      <c r="K11" s="15" t="s">
        <v>65</v>
      </c>
      <c r="L11" s="15" t="s">
        <v>66</v>
      </c>
      <c r="M11" s="15" t="s">
        <v>67</v>
      </c>
      <c r="N11" s="15" t="n">
        <v>2178</v>
      </c>
      <c r="O11" s="15" t="s">
        <v>68</v>
      </c>
      <c r="P11" s="19" t="s">
        <v>24</v>
      </c>
      <c r="Q11" s="15" t="s">
        <v>59</v>
      </c>
      <c r="R11" s="15" t="s">
        <v>69</v>
      </c>
    </row>
    <row r="12" customFormat="false" ht="35.05" hidden="false" customHeight="false" outlineLevel="0" collapsed="false">
      <c r="A12" s="14" t="n">
        <v>7</v>
      </c>
      <c r="B12" s="15" t="s">
        <v>70</v>
      </c>
      <c r="C12" s="15" t="s">
        <v>71</v>
      </c>
      <c r="D12" s="15" t="s">
        <v>72</v>
      </c>
      <c r="E12" s="15" t="n">
        <v>330</v>
      </c>
      <c r="F12" s="16" t="n">
        <v>920</v>
      </c>
      <c r="G12" s="17" t="n">
        <f aca="false">ROUND(F12*$C$19,0)</f>
        <v>1251</v>
      </c>
      <c r="H12" s="15" t="n">
        <v>1939</v>
      </c>
      <c r="I12" s="15" t="s">
        <v>73</v>
      </c>
      <c r="J12" s="15" t="s">
        <v>74</v>
      </c>
      <c r="K12" s="15" t="s">
        <v>24</v>
      </c>
      <c r="L12" s="15" t="s">
        <v>75</v>
      </c>
      <c r="M12" s="15" t="s">
        <v>76</v>
      </c>
      <c r="N12" s="15" t="n">
        <v>2420</v>
      </c>
      <c r="O12" s="15" t="s">
        <v>77</v>
      </c>
      <c r="P12" s="19" t="s">
        <v>24</v>
      </c>
      <c r="Q12" s="15" t="s">
        <v>46</v>
      </c>
      <c r="R12" s="15" t="s">
        <v>78</v>
      </c>
    </row>
    <row r="13" customFormat="false" ht="23.85" hidden="false" customHeight="false" outlineLevel="0" collapsed="false">
      <c r="A13" s="14" t="n">
        <v>8</v>
      </c>
      <c r="B13" s="15" t="s">
        <v>79</v>
      </c>
      <c r="C13" s="15" t="s">
        <v>80</v>
      </c>
      <c r="D13" s="15" t="s">
        <v>81</v>
      </c>
      <c r="E13" s="15" t="n">
        <v>350</v>
      </c>
      <c r="F13" s="16" t="n">
        <v>1138</v>
      </c>
      <c r="G13" s="17" t="n">
        <f aca="false">ROUND(F13*$C$19,0)</f>
        <v>1547</v>
      </c>
      <c r="H13" s="15" t="n">
        <v>1770</v>
      </c>
      <c r="I13" s="18" t="n">
        <v>1.98</v>
      </c>
      <c r="J13" s="15" t="s">
        <v>82</v>
      </c>
      <c r="K13" s="15" t="s">
        <v>24</v>
      </c>
      <c r="L13" s="15" t="s">
        <v>83</v>
      </c>
      <c r="M13" s="15" t="n">
        <v>897</v>
      </c>
      <c r="N13" s="15" t="n">
        <v>2360</v>
      </c>
      <c r="O13" s="15" t="s">
        <v>24</v>
      </c>
      <c r="P13" s="19" t="s">
        <v>24</v>
      </c>
      <c r="Q13" s="15" t="s">
        <v>59</v>
      </c>
      <c r="R13" s="15" t="s">
        <v>84</v>
      </c>
    </row>
    <row r="14" customFormat="false" ht="23.85" hidden="false" customHeight="false" outlineLevel="0" collapsed="false">
      <c r="A14" s="14" t="n">
        <v>9</v>
      </c>
      <c r="B14" s="15" t="s">
        <v>85</v>
      </c>
      <c r="C14" s="15" t="s">
        <v>86</v>
      </c>
      <c r="D14" s="15" t="s">
        <v>41</v>
      </c>
      <c r="E14" s="15" t="n">
        <v>309</v>
      </c>
      <c r="F14" s="16" t="n">
        <v>960</v>
      </c>
      <c r="G14" s="17" t="n">
        <f aca="false">ROUND(F14*$C$19,0)</f>
        <v>1305</v>
      </c>
      <c r="H14" s="15" t="n">
        <v>1680</v>
      </c>
      <c r="I14" s="18" t="n">
        <v>2.36</v>
      </c>
      <c r="J14" s="15" t="s">
        <v>87</v>
      </c>
      <c r="K14" s="15" t="s">
        <v>24</v>
      </c>
      <c r="L14" s="15" t="s">
        <v>88</v>
      </c>
      <c r="M14" s="15" t="n">
        <v>800</v>
      </c>
      <c r="N14" s="15" t="n">
        <v>2475</v>
      </c>
      <c r="O14" s="15" t="s">
        <v>24</v>
      </c>
      <c r="P14" s="19" t="s">
        <v>24</v>
      </c>
      <c r="Q14" s="15" t="s">
        <v>59</v>
      </c>
      <c r="R14" s="15" t="s">
        <v>89</v>
      </c>
    </row>
    <row r="15" customFormat="false" ht="35.05" hidden="false" customHeight="false" outlineLevel="0" collapsed="false">
      <c r="A15" s="14" t="n">
        <v>10</v>
      </c>
      <c r="B15" s="15" t="s">
        <v>90</v>
      </c>
      <c r="C15" s="15" t="s">
        <v>91</v>
      </c>
      <c r="D15" s="15" t="s">
        <v>92</v>
      </c>
      <c r="E15" s="15" t="n">
        <v>412</v>
      </c>
      <c r="F15" s="16" t="n">
        <v>1408</v>
      </c>
      <c r="G15" s="17" t="n">
        <f aca="false">ROUND(F15*$C$19,0)</f>
        <v>1914</v>
      </c>
      <c r="H15" s="15" t="n">
        <v>2360</v>
      </c>
      <c r="I15" s="18" t="n">
        <v>1.81</v>
      </c>
      <c r="J15" s="15" t="s">
        <v>93</v>
      </c>
      <c r="K15" s="15" t="s">
        <v>94</v>
      </c>
      <c r="L15" s="15" t="s">
        <v>95</v>
      </c>
      <c r="M15" s="15" t="s">
        <v>96</v>
      </c>
      <c r="N15" s="15" t="n">
        <v>2300</v>
      </c>
      <c r="O15" s="15" t="s">
        <v>24</v>
      </c>
      <c r="P15" s="19" t="s">
        <v>24</v>
      </c>
      <c r="Q15" s="15" t="s">
        <v>46</v>
      </c>
      <c r="R15" s="15" t="s">
        <v>97</v>
      </c>
    </row>
    <row r="16" customFormat="false" ht="23.85" hidden="false" customHeight="false" outlineLevel="0" collapsed="false">
      <c r="A16" s="14" t="n">
        <v>11</v>
      </c>
      <c r="B16" s="15" t="s">
        <v>98</v>
      </c>
      <c r="C16" s="15" t="s">
        <v>99</v>
      </c>
      <c r="D16" s="15" t="s">
        <v>72</v>
      </c>
      <c r="E16" s="15" t="n">
        <v>325</v>
      </c>
      <c r="F16" s="16" t="n">
        <v>560</v>
      </c>
      <c r="G16" s="17" t="n">
        <f aca="false">ROUND(F16*$C$19,0)</f>
        <v>761</v>
      </c>
      <c r="H16" s="15" t="n">
        <v>1350</v>
      </c>
      <c r="I16" s="18" t="n">
        <v>2.7</v>
      </c>
      <c r="J16" s="15" t="s">
        <v>100</v>
      </c>
      <c r="K16" s="15" t="s">
        <v>24</v>
      </c>
      <c r="L16" s="15" t="s">
        <v>101</v>
      </c>
      <c r="M16" s="15" t="n">
        <v>800</v>
      </c>
      <c r="N16" s="15" t="s">
        <v>102</v>
      </c>
      <c r="O16" s="15" t="s">
        <v>24</v>
      </c>
      <c r="P16" s="19" t="s">
        <v>24</v>
      </c>
      <c r="Q16" s="15" t="s">
        <v>29</v>
      </c>
      <c r="R16" s="15" t="s">
        <v>103</v>
      </c>
    </row>
    <row r="18" customFormat="false" ht="15" hidden="false" customHeight="false" outlineLevel="0" collapsed="false">
      <c r="B18" s="20" t="s">
        <v>104</v>
      </c>
    </row>
    <row r="19" customFormat="false" ht="15" hidden="false" customHeight="false" outlineLevel="0" collapsed="false">
      <c r="B19" s="2" t="s">
        <v>105</v>
      </c>
      <c r="C19" s="21" t="n">
        <v>1.35962</v>
      </c>
      <c r="D19" s="2" t="s">
        <v>106</v>
      </c>
    </row>
    <row r="21" customFormat="false" ht="15" hidden="false" customHeight="false" outlineLevel="0" collapsed="false">
      <c r="B21" s="20" t="s">
        <v>107</v>
      </c>
    </row>
    <row r="22" customFormat="false" ht="15" hidden="false" customHeight="false" outlineLevel="0" collapsed="false">
      <c r="B22" s="2" t="s">
        <v>108</v>
      </c>
      <c r="E22" s="22" t="n">
        <f aca="false">SUMPRODUCT(1/COUNTIF(B6:B16,B6:B16))</f>
        <v>10</v>
      </c>
    </row>
    <row r="23" customFormat="false" ht="15" hidden="false" customHeight="false" outlineLevel="0" collapsed="false">
      <c r="B23" s="2" t="s">
        <v>109</v>
      </c>
      <c r="E23" s="23" t="n">
        <f aca="false">AVERAGE(F7:F16)</f>
        <v>872.1</v>
      </c>
    </row>
    <row r="24" customFormat="false" ht="15" hidden="false" customHeight="false" outlineLevel="0" collapsed="false">
      <c r="B24" s="2" t="s">
        <v>110</v>
      </c>
      <c r="E24" s="23" t="n">
        <f aca="false">MAX(F7:F16)</f>
        <v>1408</v>
      </c>
    </row>
    <row r="25" customFormat="false" ht="15" hidden="false" customHeight="false" outlineLevel="0" collapsed="false">
      <c r="B25" s="2" t="s">
        <v>111</v>
      </c>
      <c r="E25" s="22" t="n">
        <f aca="false">AVERAGE(E7:E16)</f>
        <v>315.9</v>
      </c>
    </row>
    <row r="26" customFormat="false" ht="15" hidden="false" customHeight="false" outlineLevel="0" collapsed="false">
      <c r="B26" s="2" t="s">
        <v>112</v>
      </c>
      <c r="E26" s="23" t="n">
        <f aca="false">AVERAGE(H7:H16)</f>
        <v>1577.1</v>
      </c>
    </row>
    <row r="27" customFormat="false" ht="15" hidden="false" customHeight="false" outlineLevel="0" collapsed="false">
      <c r="B27" s="2" t="s">
        <v>113</v>
      </c>
      <c r="E27" s="22" t="n">
        <f aca="false">COUNTIF(M7:M16,"&gt;=800")+COUNTIF(M7:M16,"900+")</f>
        <v>8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44"/>
    <col collapsed="false" customWidth="true" hidden="false" outlineLevel="0" max="20" min="7" style="0" width="6.51"/>
  </cols>
  <sheetData>
    <row r="1" customFormat="false" ht="17.35" hidden="false" customHeight="false" outlineLevel="0" collapsed="false">
      <c r="A1" s="1" t="s">
        <v>114</v>
      </c>
    </row>
    <row r="2" customFormat="false" ht="39.75" hidden="false" customHeight="true" outlineLevel="0" collapsed="false">
      <c r="A2" s="24" t="s">
        <v>115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4" customFormat="false" ht="31.5" hidden="false" customHeight="true" outlineLevel="0" collapsed="false">
      <c r="A4" s="4" t="s">
        <v>3</v>
      </c>
      <c r="B4" s="4" t="s">
        <v>116</v>
      </c>
      <c r="C4" s="4" t="s">
        <v>117</v>
      </c>
      <c r="D4" s="4" t="s">
        <v>118</v>
      </c>
      <c r="E4" s="4" t="s">
        <v>119</v>
      </c>
      <c r="F4" s="4" t="s">
        <v>120</v>
      </c>
      <c r="G4" s="4" t="n">
        <v>1</v>
      </c>
      <c r="H4" s="4" t="n">
        <v>2</v>
      </c>
      <c r="I4" s="4" t="n">
        <v>3</v>
      </c>
      <c r="J4" s="4" t="n">
        <v>4</v>
      </c>
      <c r="K4" s="4" t="n">
        <v>5</v>
      </c>
      <c r="L4" s="4" t="n">
        <v>6</v>
      </c>
      <c r="M4" s="4" t="n">
        <v>7</v>
      </c>
      <c r="N4" s="4" t="n">
        <v>8</v>
      </c>
      <c r="O4" s="4" t="n">
        <v>9</v>
      </c>
      <c r="P4" s="4" t="n">
        <v>10</v>
      </c>
      <c r="Q4" s="4" t="n">
        <v>11</v>
      </c>
      <c r="R4" s="4" t="n">
        <v>12</v>
      </c>
      <c r="S4" s="4" t="n">
        <v>13</v>
      </c>
      <c r="T4" s="4" t="n">
        <v>14</v>
      </c>
    </row>
    <row r="5" customFormat="false" ht="15" hidden="false" customHeight="false" outlineLevel="0" collapsed="false">
      <c r="B5" s="20" t="s">
        <v>121</v>
      </c>
      <c r="G5" s="25" t="n">
        <f aca="false">DATE(2026,10,7)</f>
        <v>46302</v>
      </c>
      <c r="H5" s="26" t="n">
        <f aca="false">G5+7</f>
        <v>46309</v>
      </c>
      <c r="I5" s="26" t="n">
        <f aca="false">H5+7</f>
        <v>46316</v>
      </c>
      <c r="J5" s="26" t="n">
        <f aca="false">I5+7</f>
        <v>46323</v>
      </c>
      <c r="K5" s="26" t="n">
        <f aca="false">J5+7</f>
        <v>46330</v>
      </c>
      <c r="L5" s="26" t="n">
        <f aca="false">K5+7</f>
        <v>46337</v>
      </c>
      <c r="M5" s="26" t="n">
        <f aca="false">L5+7</f>
        <v>46344</v>
      </c>
      <c r="N5" s="26" t="n">
        <f aca="false">M5+7</f>
        <v>46351</v>
      </c>
      <c r="O5" s="26" t="n">
        <f aca="false">N5+7</f>
        <v>46358</v>
      </c>
      <c r="P5" s="26" t="n">
        <f aca="false">O5+7</f>
        <v>46365</v>
      </c>
      <c r="Q5" s="26" t="n">
        <f aca="false">P5+7</f>
        <v>46372</v>
      </c>
      <c r="R5" s="26" t="n">
        <f aca="false">Q5+7</f>
        <v>46379</v>
      </c>
      <c r="S5" s="26" t="n">
        <f aca="false">R5+14</f>
        <v>46393</v>
      </c>
      <c r="T5" s="26" t="n">
        <f aca="false">S5+7</f>
        <v>46400</v>
      </c>
    </row>
    <row r="6" customFormat="false" ht="23.85" hidden="false" customHeight="false" outlineLevel="0" collapsed="false">
      <c r="A6" s="27" t="n">
        <v>1</v>
      </c>
      <c r="B6" s="14" t="s">
        <v>122</v>
      </c>
      <c r="C6" s="28" t="n">
        <v>1</v>
      </c>
      <c r="D6" s="28" t="n">
        <v>1</v>
      </c>
      <c r="E6" s="27" t="n">
        <f aca="false">D6+C6-1</f>
        <v>1</v>
      </c>
      <c r="F6" s="14" t="s">
        <v>123</v>
      </c>
      <c r="G6" s="29" t="n">
        <f aca="false">IF(AND(G$4&gt;=$D6,G$4&lt;=$E6),1,0)</f>
        <v>1</v>
      </c>
      <c r="H6" s="29" t="n">
        <f aca="false">IF(AND(H$4&gt;=$D6,H$4&lt;=$E6),1,0)</f>
        <v>0</v>
      </c>
      <c r="I6" s="29" t="n">
        <f aca="false">IF(AND(I$4&gt;=$D6,I$4&lt;=$E6),1,0)</f>
        <v>0</v>
      </c>
      <c r="J6" s="29" t="n">
        <f aca="false">IF(AND(J$4&gt;=$D6,J$4&lt;=$E6),1,0)</f>
        <v>0</v>
      </c>
      <c r="K6" s="29" t="n">
        <f aca="false">IF(AND(K$4&gt;=$D6,K$4&lt;=$E6),1,0)</f>
        <v>0</v>
      </c>
      <c r="L6" s="29" t="n">
        <f aca="false">IF(AND(L$4&gt;=$D6,L$4&lt;=$E6),1,0)</f>
        <v>0</v>
      </c>
      <c r="M6" s="29" t="n">
        <f aca="false">IF(AND(M$4&gt;=$D6,M$4&lt;=$E6),1,0)</f>
        <v>0</v>
      </c>
      <c r="N6" s="29" t="n">
        <f aca="false">IF(AND(N$4&gt;=$D6,N$4&lt;=$E6),1,0)</f>
        <v>0</v>
      </c>
      <c r="O6" s="29" t="n">
        <f aca="false">IF(AND(O$4&gt;=$D6,O$4&lt;=$E6),1,0)</f>
        <v>0</v>
      </c>
      <c r="P6" s="29" t="n">
        <f aca="false">IF(AND(P$4&gt;=$D6,P$4&lt;=$E6),1,0)</f>
        <v>0</v>
      </c>
      <c r="Q6" s="29" t="n">
        <f aca="false">IF(AND(Q$4&gt;=$D6,Q$4&lt;=$E6),1,0)</f>
        <v>0</v>
      </c>
      <c r="R6" s="29" t="n">
        <f aca="false">IF(AND(R$4&gt;=$D6,R$4&lt;=$E6),1,0)</f>
        <v>0</v>
      </c>
      <c r="S6" s="29" t="n">
        <f aca="false">IF(AND(S$4&gt;=$D6,S$4&lt;=$E6),1,0)</f>
        <v>0</v>
      </c>
      <c r="T6" s="29" t="n">
        <f aca="false">IF(AND(T$4&gt;=$D6,T$4&lt;=$E6),1,0)</f>
        <v>0</v>
      </c>
    </row>
    <row r="7" customFormat="false" ht="15" hidden="false" customHeight="false" outlineLevel="0" collapsed="false">
      <c r="A7" s="27" t="n">
        <v>2</v>
      </c>
      <c r="B7" s="14" t="s">
        <v>124</v>
      </c>
      <c r="C7" s="28" t="n">
        <v>2</v>
      </c>
      <c r="D7" s="27" t="n">
        <f aca="false">E6+1</f>
        <v>2</v>
      </c>
      <c r="E7" s="27" t="n">
        <f aca="false">D7+C7-1</f>
        <v>3</v>
      </c>
      <c r="F7" s="14" t="s">
        <v>125</v>
      </c>
      <c r="G7" s="29" t="n">
        <f aca="false">IF(AND(G$4&gt;=$D7,G$4&lt;=$E7),1,0)</f>
        <v>0</v>
      </c>
      <c r="H7" s="29" t="n">
        <f aca="false">IF(AND(H$4&gt;=$D7,H$4&lt;=$E7),1,0)</f>
        <v>1</v>
      </c>
      <c r="I7" s="29" t="n">
        <f aca="false">IF(AND(I$4&gt;=$D7,I$4&lt;=$E7),1,0)</f>
        <v>1</v>
      </c>
      <c r="J7" s="29" t="n">
        <f aca="false">IF(AND(J$4&gt;=$D7,J$4&lt;=$E7),1,0)</f>
        <v>0</v>
      </c>
      <c r="K7" s="29" t="n">
        <f aca="false">IF(AND(K$4&gt;=$D7,K$4&lt;=$E7),1,0)</f>
        <v>0</v>
      </c>
      <c r="L7" s="29" t="n">
        <f aca="false">IF(AND(L$4&gt;=$D7,L$4&lt;=$E7),1,0)</f>
        <v>0</v>
      </c>
      <c r="M7" s="29" t="n">
        <f aca="false">IF(AND(M$4&gt;=$D7,M$4&lt;=$E7),1,0)</f>
        <v>0</v>
      </c>
      <c r="N7" s="29" t="n">
        <f aca="false">IF(AND(N$4&gt;=$D7,N$4&lt;=$E7),1,0)</f>
        <v>0</v>
      </c>
      <c r="O7" s="29" t="n">
        <f aca="false">IF(AND(O$4&gt;=$D7,O$4&lt;=$E7),1,0)</f>
        <v>0</v>
      </c>
      <c r="P7" s="29" t="n">
        <f aca="false">IF(AND(P$4&gt;=$D7,P$4&lt;=$E7),1,0)</f>
        <v>0</v>
      </c>
      <c r="Q7" s="29" t="n">
        <f aca="false">IF(AND(Q$4&gt;=$D7,Q$4&lt;=$E7),1,0)</f>
        <v>0</v>
      </c>
      <c r="R7" s="29" t="n">
        <f aca="false">IF(AND(R$4&gt;=$D7,R$4&lt;=$E7),1,0)</f>
        <v>0</v>
      </c>
      <c r="S7" s="29" t="n">
        <f aca="false">IF(AND(S$4&gt;=$D7,S$4&lt;=$E7),1,0)</f>
        <v>0</v>
      </c>
      <c r="T7" s="29" t="n">
        <f aca="false">IF(AND(T$4&gt;=$D7,T$4&lt;=$E7),1,0)</f>
        <v>0</v>
      </c>
    </row>
    <row r="8" customFormat="false" ht="23.85" hidden="false" customHeight="false" outlineLevel="0" collapsed="false">
      <c r="A8" s="27" t="n">
        <v>3</v>
      </c>
      <c r="B8" s="14" t="s">
        <v>126</v>
      </c>
      <c r="C8" s="28" t="n">
        <v>2</v>
      </c>
      <c r="D8" s="27" t="n">
        <f aca="false">D7</f>
        <v>2</v>
      </c>
      <c r="E8" s="27" t="n">
        <f aca="false">D8+C8-1</f>
        <v>3</v>
      </c>
      <c r="F8" s="14" t="s">
        <v>127</v>
      </c>
      <c r="G8" s="29" t="n">
        <f aca="false">IF(AND(G$4&gt;=$D8,G$4&lt;=$E8),1,0)</f>
        <v>0</v>
      </c>
      <c r="H8" s="29" t="n">
        <f aca="false">IF(AND(H$4&gt;=$D8,H$4&lt;=$E8),1,0)</f>
        <v>1</v>
      </c>
      <c r="I8" s="29" t="n">
        <f aca="false">IF(AND(I$4&gt;=$D8,I$4&lt;=$E8),1,0)</f>
        <v>1</v>
      </c>
      <c r="J8" s="29" t="n">
        <f aca="false">IF(AND(J$4&gt;=$D8,J$4&lt;=$E8),1,0)</f>
        <v>0</v>
      </c>
      <c r="K8" s="29" t="n">
        <f aca="false">IF(AND(K$4&gt;=$D8,K$4&lt;=$E8),1,0)</f>
        <v>0</v>
      </c>
      <c r="L8" s="29" t="n">
        <f aca="false">IF(AND(L$4&gt;=$D8,L$4&lt;=$E8),1,0)</f>
        <v>0</v>
      </c>
      <c r="M8" s="29" t="n">
        <f aca="false">IF(AND(M$4&gt;=$D8,M$4&lt;=$E8),1,0)</f>
        <v>0</v>
      </c>
      <c r="N8" s="29" t="n">
        <f aca="false">IF(AND(N$4&gt;=$D8,N$4&lt;=$E8),1,0)</f>
        <v>0</v>
      </c>
      <c r="O8" s="29" t="n">
        <f aca="false">IF(AND(O$4&gt;=$D8,O$4&lt;=$E8),1,0)</f>
        <v>0</v>
      </c>
      <c r="P8" s="29" t="n">
        <f aca="false">IF(AND(P$4&gt;=$D8,P$4&lt;=$E8),1,0)</f>
        <v>0</v>
      </c>
      <c r="Q8" s="29" t="n">
        <f aca="false">IF(AND(Q$4&gt;=$D8,Q$4&lt;=$E8),1,0)</f>
        <v>0</v>
      </c>
      <c r="R8" s="29" t="n">
        <f aca="false">IF(AND(R$4&gt;=$D8,R$4&lt;=$E8),1,0)</f>
        <v>0</v>
      </c>
      <c r="S8" s="29" t="n">
        <f aca="false">IF(AND(S$4&gt;=$D8,S$4&lt;=$E8),1,0)</f>
        <v>0</v>
      </c>
      <c r="T8" s="29" t="n">
        <f aca="false">IF(AND(T$4&gt;=$D8,T$4&lt;=$E8),1,0)</f>
        <v>0</v>
      </c>
    </row>
    <row r="9" customFormat="false" ht="15" hidden="false" customHeight="false" outlineLevel="0" collapsed="false">
      <c r="A9" s="30"/>
      <c r="B9" s="31" t="s">
        <v>128</v>
      </c>
      <c r="C9" s="30" t="n">
        <v>0</v>
      </c>
      <c r="D9" s="30" t="n">
        <f aca="false">E7</f>
        <v>3</v>
      </c>
      <c r="E9" s="30" t="n">
        <f aca="false">E7</f>
        <v>3</v>
      </c>
      <c r="F9" s="31" t="s">
        <v>129</v>
      </c>
      <c r="G9" s="29" t="n">
        <f aca="false">IF(AND(G$4&gt;=$D9,G$4&lt;=$E9),1,0)</f>
        <v>0</v>
      </c>
      <c r="H9" s="29" t="n">
        <f aca="false">IF(AND(H$4&gt;=$D9,H$4&lt;=$E9),1,0)</f>
        <v>0</v>
      </c>
      <c r="I9" s="29" t="n">
        <f aca="false">IF(AND(I$4&gt;=$D9,I$4&lt;=$E9),1,0)</f>
        <v>1</v>
      </c>
      <c r="J9" s="29" t="n">
        <f aca="false">IF(AND(J$4&gt;=$D9,J$4&lt;=$E9),1,0)</f>
        <v>0</v>
      </c>
      <c r="K9" s="29" t="n">
        <f aca="false">IF(AND(K$4&gt;=$D9,K$4&lt;=$E9),1,0)</f>
        <v>0</v>
      </c>
      <c r="L9" s="29" t="n">
        <f aca="false">IF(AND(L$4&gt;=$D9,L$4&lt;=$E9),1,0)</f>
        <v>0</v>
      </c>
      <c r="M9" s="29" t="n">
        <f aca="false">IF(AND(M$4&gt;=$D9,M$4&lt;=$E9),1,0)</f>
        <v>0</v>
      </c>
      <c r="N9" s="29" t="n">
        <f aca="false">IF(AND(N$4&gt;=$D9,N$4&lt;=$E9),1,0)</f>
        <v>0</v>
      </c>
      <c r="O9" s="29" t="n">
        <f aca="false">IF(AND(O$4&gt;=$D9,O$4&lt;=$E9),1,0)</f>
        <v>0</v>
      </c>
      <c r="P9" s="29" t="n">
        <f aca="false">IF(AND(P$4&gt;=$D9,P$4&lt;=$E9),1,0)</f>
        <v>0</v>
      </c>
      <c r="Q9" s="29" t="n">
        <f aca="false">IF(AND(Q$4&gt;=$D9,Q$4&lt;=$E9),1,0)</f>
        <v>0</v>
      </c>
      <c r="R9" s="29" t="n">
        <f aca="false">IF(AND(R$4&gt;=$D9,R$4&lt;=$E9),1,0)</f>
        <v>0</v>
      </c>
      <c r="S9" s="29" t="n">
        <f aca="false">IF(AND(S$4&gt;=$D9,S$4&lt;=$E9),1,0)</f>
        <v>0</v>
      </c>
      <c r="T9" s="29" t="n">
        <f aca="false">IF(AND(T$4&gt;=$D9,T$4&lt;=$E9),1,0)</f>
        <v>0</v>
      </c>
    </row>
    <row r="10" customFormat="false" ht="15" hidden="false" customHeight="false" outlineLevel="0" collapsed="false">
      <c r="A10" s="27" t="n">
        <v>4</v>
      </c>
      <c r="B10" s="14" t="s">
        <v>130</v>
      </c>
      <c r="C10" s="28" t="n">
        <v>2</v>
      </c>
      <c r="D10" s="27" t="n">
        <f aca="false">E7+1</f>
        <v>4</v>
      </c>
      <c r="E10" s="27" t="n">
        <f aca="false">D10+C10-1</f>
        <v>5</v>
      </c>
      <c r="F10" s="14" t="s">
        <v>131</v>
      </c>
      <c r="G10" s="29" t="n">
        <f aca="false">IF(AND(G$4&gt;=$D10,G$4&lt;=$E10),1,0)</f>
        <v>0</v>
      </c>
      <c r="H10" s="29" t="n">
        <f aca="false">IF(AND(H$4&gt;=$D10,H$4&lt;=$E10),1,0)</f>
        <v>0</v>
      </c>
      <c r="I10" s="29" t="n">
        <f aca="false">IF(AND(I$4&gt;=$D10,I$4&lt;=$E10),1,0)</f>
        <v>0</v>
      </c>
      <c r="J10" s="29" t="n">
        <f aca="false">IF(AND(J$4&gt;=$D10,J$4&lt;=$E10),1,0)</f>
        <v>1</v>
      </c>
      <c r="K10" s="29" t="n">
        <f aca="false">IF(AND(K$4&gt;=$D10,K$4&lt;=$E10),1,0)</f>
        <v>1</v>
      </c>
      <c r="L10" s="29" t="n">
        <f aca="false">IF(AND(L$4&gt;=$D10,L$4&lt;=$E10),1,0)</f>
        <v>0</v>
      </c>
      <c r="M10" s="29" t="n">
        <f aca="false">IF(AND(M$4&gt;=$D10,M$4&lt;=$E10),1,0)</f>
        <v>0</v>
      </c>
      <c r="N10" s="29" t="n">
        <f aca="false">IF(AND(N$4&gt;=$D10,N$4&lt;=$E10),1,0)</f>
        <v>0</v>
      </c>
      <c r="O10" s="29" t="n">
        <f aca="false">IF(AND(O$4&gt;=$D10,O$4&lt;=$E10),1,0)</f>
        <v>0</v>
      </c>
      <c r="P10" s="29" t="n">
        <f aca="false">IF(AND(P$4&gt;=$D10,P$4&lt;=$E10),1,0)</f>
        <v>0</v>
      </c>
      <c r="Q10" s="29" t="n">
        <f aca="false">IF(AND(Q$4&gt;=$D10,Q$4&lt;=$E10),1,0)</f>
        <v>0</v>
      </c>
      <c r="R10" s="29" t="n">
        <f aca="false">IF(AND(R$4&gt;=$D10,R$4&lt;=$E10),1,0)</f>
        <v>0</v>
      </c>
      <c r="S10" s="29" t="n">
        <f aca="false">IF(AND(S$4&gt;=$D10,S$4&lt;=$E10),1,0)</f>
        <v>0</v>
      </c>
      <c r="T10" s="29" t="n">
        <f aca="false">IF(AND(T$4&gt;=$D10,T$4&lt;=$E10),1,0)</f>
        <v>0</v>
      </c>
    </row>
    <row r="11" customFormat="false" ht="15" hidden="false" customHeight="false" outlineLevel="0" collapsed="false">
      <c r="A11" s="30"/>
      <c r="B11" s="31" t="s">
        <v>132</v>
      </c>
      <c r="C11" s="30" t="n">
        <v>0</v>
      </c>
      <c r="D11" s="30" t="n">
        <f aca="false">E10</f>
        <v>5</v>
      </c>
      <c r="E11" s="30" t="n">
        <f aca="false">E10</f>
        <v>5</v>
      </c>
      <c r="F11" s="31" t="s">
        <v>129</v>
      </c>
      <c r="G11" s="29" t="n">
        <f aca="false">IF(AND(G$4&gt;=$D11,G$4&lt;=$E11),1,0)</f>
        <v>0</v>
      </c>
      <c r="H11" s="29" t="n">
        <f aca="false">IF(AND(H$4&gt;=$D11,H$4&lt;=$E11),1,0)</f>
        <v>0</v>
      </c>
      <c r="I11" s="29" t="n">
        <f aca="false">IF(AND(I$4&gt;=$D11,I$4&lt;=$E11),1,0)</f>
        <v>0</v>
      </c>
      <c r="J11" s="29" t="n">
        <f aca="false">IF(AND(J$4&gt;=$D11,J$4&lt;=$E11),1,0)</f>
        <v>0</v>
      </c>
      <c r="K11" s="29" t="n">
        <f aca="false">IF(AND(K$4&gt;=$D11,K$4&lt;=$E11),1,0)</f>
        <v>1</v>
      </c>
      <c r="L11" s="29" t="n">
        <f aca="false">IF(AND(L$4&gt;=$D11,L$4&lt;=$E11),1,0)</f>
        <v>0</v>
      </c>
      <c r="M11" s="29" t="n">
        <f aca="false">IF(AND(M$4&gt;=$D11,M$4&lt;=$E11),1,0)</f>
        <v>0</v>
      </c>
      <c r="N11" s="29" t="n">
        <f aca="false">IF(AND(N$4&gt;=$D11,N$4&lt;=$E11),1,0)</f>
        <v>0</v>
      </c>
      <c r="O11" s="29" t="n">
        <f aca="false">IF(AND(O$4&gt;=$D11,O$4&lt;=$E11),1,0)</f>
        <v>0</v>
      </c>
      <c r="P11" s="29" t="n">
        <f aca="false">IF(AND(P$4&gt;=$D11,P$4&lt;=$E11),1,0)</f>
        <v>0</v>
      </c>
      <c r="Q11" s="29" t="n">
        <f aca="false">IF(AND(Q$4&gt;=$D11,Q$4&lt;=$E11),1,0)</f>
        <v>0</v>
      </c>
      <c r="R11" s="29" t="n">
        <f aca="false">IF(AND(R$4&gt;=$D11,R$4&lt;=$E11),1,0)</f>
        <v>0</v>
      </c>
      <c r="S11" s="29" t="n">
        <f aca="false">IF(AND(S$4&gt;=$D11,S$4&lt;=$E11),1,0)</f>
        <v>0</v>
      </c>
      <c r="T11" s="29" t="n">
        <f aca="false">IF(AND(T$4&gt;=$D11,T$4&lt;=$E11),1,0)</f>
        <v>0</v>
      </c>
    </row>
    <row r="12" customFormat="false" ht="15" hidden="false" customHeight="false" outlineLevel="0" collapsed="false">
      <c r="A12" s="27" t="n">
        <v>5</v>
      </c>
      <c r="B12" s="14" t="s">
        <v>133</v>
      </c>
      <c r="C12" s="28" t="n">
        <v>3</v>
      </c>
      <c r="D12" s="27" t="n">
        <f aca="false">E10+1</f>
        <v>6</v>
      </c>
      <c r="E12" s="27" t="n">
        <f aca="false">D12+C12-1</f>
        <v>8</v>
      </c>
      <c r="F12" s="14" t="s">
        <v>134</v>
      </c>
      <c r="G12" s="29" t="n">
        <f aca="false">IF(AND(G$4&gt;=$D12,G$4&lt;=$E12),1,0)</f>
        <v>0</v>
      </c>
      <c r="H12" s="29" t="n">
        <f aca="false">IF(AND(H$4&gt;=$D12,H$4&lt;=$E12),1,0)</f>
        <v>0</v>
      </c>
      <c r="I12" s="29" t="n">
        <f aca="false">IF(AND(I$4&gt;=$D12,I$4&lt;=$E12),1,0)</f>
        <v>0</v>
      </c>
      <c r="J12" s="29" t="n">
        <f aca="false">IF(AND(J$4&gt;=$D12,J$4&lt;=$E12),1,0)</f>
        <v>0</v>
      </c>
      <c r="K12" s="29" t="n">
        <f aca="false">IF(AND(K$4&gt;=$D12,K$4&lt;=$E12),1,0)</f>
        <v>0</v>
      </c>
      <c r="L12" s="29" t="n">
        <f aca="false">IF(AND(L$4&gt;=$D12,L$4&lt;=$E12),1,0)</f>
        <v>1</v>
      </c>
      <c r="M12" s="29" t="n">
        <f aca="false">IF(AND(M$4&gt;=$D12,M$4&lt;=$E12),1,0)</f>
        <v>1</v>
      </c>
      <c r="N12" s="29" t="n">
        <f aca="false">IF(AND(N$4&gt;=$D12,N$4&lt;=$E12),1,0)</f>
        <v>1</v>
      </c>
      <c r="O12" s="29" t="n">
        <f aca="false">IF(AND(O$4&gt;=$D12,O$4&lt;=$E12),1,0)</f>
        <v>0</v>
      </c>
      <c r="P12" s="29" t="n">
        <f aca="false">IF(AND(P$4&gt;=$D12,P$4&lt;=$E12),1,0)</f>
        <v>0</v>
      </c>
      <c r="Q12" s="29" t="n">
        <f aca="false">IF(AND(Q$4&gt;=$D12,Q$4&lt;=$E12),1,0)</f>
        <v>0</v>
      </c>
      <c r="R12" s="29" t="n">
        <f aca="false">IF(AND(R$4&gt;=$D12,R$4&lt;=$E12),1,0)</f>
        <v>0</v>
      </c>
      <c r="S12" s="29" t="n">
        <f aca="false">IF(AND(S$4&gt;=$D12,S$4&lt;=$E12),1,0)</f>
        <v>0</v>
      </c>
      <c r="T12" s="29" t="n">
        <f aca="false">IF(AND(T$4&gt;=$D12,T$4&lt;=$E12),1,0)</f>
        <v>0</v>
      </c>
    </row>
    <row r="13" customFormat="false" ht="15" hidden="false" customHeight="false" outlineLevel="0" collapsed="false">
      <c r="A13" s="30"/>
      <c r="B13" s="31" t="s">
        <v>135</v>
      </c>
      <c r="C13" s="30" t="n">
        <v>0</v>
      </c>
      <c r="D13" s="30" t="n">
        <f aca="false">E12</f>
        <v>8</v>
      </c>
      <c r="E13" s="30" t="n">
        <f aca="false">E12</f>
        <v>8</v>
      </c>
      <c r="F13" s="31" t="s">
        <v>129</v>
      </c>
      <c r="G13" s="29" t="n">
        <f aca="false">IF(AND(G$4&gt;=$D13,G$4&lt;=$E13),1,0)</f>
        <v>0</v>
      </c>
      <c r="H13" s="29" t="n">
        <f aca="false">IF(AND(H$4&gt;=$D13,H$4&lt;=$E13),1,0)</f>
        <v>0</v>
      </c>
      <c r="I13" s="29" t="n">
        <f aca="false">IF(AND(I$4&gt;=$D13,I$4&lt;=$E13),1,0)</f>
        <v>0</v>
      </c>
      <c r="J13" s="29" t="n">
        <f aca="false">IF(AND(J$4&gt;=$D13,J$4&lt;=$E13),1,0)</f>
        <v>0</v>
      </c>
      <c r="K13" s="29" t="n">
        <f aca="false">IF(AND(K$4&gt;=$D13,K$4&lt;=$E13),1,0)</f>
        <v>0</v>
      </c>
      <c r="L13" s="29" t="n">
        <f aca="false">IF(AND(L$4&gt;=$D13,L$4&lt;=$E13),1,0)</f>
        <v>0</v>
      </c>
      <c r="M13" s="29" t="n">
        <f aca="false">IF(AND(M$4&gt;=$D13,M$4&lt;=$E13),1,0)</f>
        <v>0</v>
      </c>
      <c r="N13" s="29" t="n">
        <f aca="false">IF(AND(N$4&gt;=$D13,N$4&lt;=$E13),1,0)</f>
        <v>1</v>
      </c>
      <c r="O13" s="29" t="n">
        <f aca="false">IF(AND(O$4&gt;=$D13,O$4&lt;=$E13),1,0)</f>
        <v>0</v>
      </c>
      <c r="P13" s="29" t="n">
        <f aca="false">IF(AND(P$4&gt;=$D13,P$4&lt;=$E13),1,0)</f>
        <v>0</v>
      </c>
      <c r="Q13" s="29" t="n">
        <f aca="false">IF(AND(Q$4&gt;=$D13,Q$4&lt;=$E13),1,0)</f>
        <v>0</v>
      </c>
      <c r="R13" s="29" t="n">
        <f aca="false">IF(AND(R$4&gt;=$D13,R$4&lt;=$E13),1,0)</f>
        <v>0</v>
      </c>
      <c r="S13" s="29" t="n">
        <f aca="false">IF(AND(S$4&gt;=$D13,S$4&lt;=$E13),1,0)</f>
        <v>0</v>
      </c>
      <c r="T13" s="29" t="n">
        <f aca="false">IF(AND(T$4&gt;=$D13,T$4&lt;=$E13),1,0)</f>
        <v>0</v>
      </c>
    </row>
    <row r="14" customFormat="false" ht="15" hidden="false" customHeight="false" outlineLevel="0" collapsed="false">
      <c r="A14" s="27" t="n">
        <v>6</v>
      </c>
      <c r="B14" s="14" t="s">
        <v>136</v>
      </c>
      <c r="C14" s="28" t="n">
        <v>2</v>
      </c>
      <c r="D14" s="27" t="n">
        <f aca="false">E12+1</f>
        <v>9</v>
      </c>
      <c r="E14" s="27" t="n">
        <f aca="false">D14+C14-1</f>
        <v>10</v>
      </c>
      <c r="F14" s="14" t="s">
        <v>137</v>
      </c>
      <c r="G14" s="29" t="n">
        <f aca="false">IF(AND(G$4&gt;=$D14,G$4&lt;=$E14),1,0)</f>
        <v>0</v>
      </c>
      <c r="H14" s="29" t="n">
        <f aca="false">IF(AND(H$4&gt;=$D14,H$4&lt;=$E14),1,0)</f>
        <v>0</v>
      </c>
      <c r="I14" s="29" t="n">
        <f aca="false">IF(AND(I$4&gt;=$D14,I$4&lt;=$E14),1,0)</f>
        <v>0</v>
      </c>
      <c r="J14" s="29" t="n">
        <f aca="false">IF(AND(J$4&gt;=$D14,J$4&lt;=$E14),1,0)</f>
        <v>0</v>
      </c>
      <c r="K14" s="29" t="n">
        <f aca="false">IF(AND(K$4&gt;=$D14,K$4&lt;=$E14),1,0)</f>
        <v>0</v>
      </c>
      <c r="L14" s="29" t="n">
        <f aca="false">IF(AND(L$4&gt;=$D14,L$4&lt;=$E14),1,0)</f>
        <v>0</v>
      </c>
      <c r="M14" s="29" t="n">
        <f aca="false">IF(AND(M$4&gt;=$D14,M$4&lt;=$E14),1,0)</f>
        <v>0</v>
      </c>
      <c r="N14" s="29" t="n">
        <f aca="false">IF(AND(N$4&gt;=$D14,N$4&lt;=$E14),1,0)</f>
        <v>0</v>
      </c>
      <c r="O14" s="29" t="n">
        <f aca="false">IF(AND(O$4&gt;=$D14,O$4&lt;=$E14),1,0)</f>
        <v>1</v>
      </c>
      <c r="P14" s="29" t="n">
        <f aca="false">IF(AND(P$4&gt;=$D14,P$4&lt;=$E14),1,0)</f>
        <v>1</v>
      </c>
      <c r="Q14" s="29" t="n">
        <f aca="false">IF(AND(Q$4&gt;=$D14,Q$4&lt;=$E14),1,0)</f>
        <v>0</v>
      </c>
      <c r="R14" s="29" t="n">
        <f aca="false">IF(AND(R$4&gt;=$D14,R$4&lt;=$E14),1,0)</f>
        <v>0</v>
      </c>
      <c r="S14" s="29" t="n">
        <f aca="false">IF(AND(S$4&gt;=$D14,S$4&lt;=$E14),1,0)</f>
        <v>0</v>
      </c>
      <c r="T14" s="29" t="n">
        <f aca="false">IF(AND(T$4&gt;=$D14,T$4&lt;=$E14),1,0)</f>
        <v>0</v>
      </c>
    </row>
    <row r="15" customFormat="false" ht="15" hidden="false" customHeight="false" outlineLevel="0" collapsed="false">
      <c r="A15" s="27" t="n">
        <v>7</v>
      </c>
      <c r="B15" s="14" t="s">
        <v>138</v>
      </c>
      <c r="C15" s="28" t="n">
        <v>1</v>
      </c>
      <c r="D15" s="27" t="n">
        <f aca="false">E14+1</f>
        <v>11</v>
      </c>
      <c r="E15" s="27" t="n">
        <f aca="false">D15+C15-1</f>
        <v>11</v>
      </c>
      <c r="F15" s="14" t="s">
        <v>139</v>
      </c>
      <c r="G15" s="29" t="n">
        <f aca="false">IF(AND(G$4&gt;=$D15,G$4&lt;=$E15),1,0)</f>
        <v>0</v>
      </c>
      <c r="H15" s="29" t="n">
        <f aca="false">IF(AND(H$4&gt;=$D15,H$4&lt;=$E15),1,0)</f>
        <v>0</v>
      </c>
      <c r="I15" s="29" t="n">
        <f aca="false">IF(AND(I$4&gt;=$D15,I$4&lt;=$E15),1,0)</f>
        <v>0</v>
      </c>
      <c r="J15" s="29" t="n">
        <f aca="false">IF(AND(J$4&gt;=$D15,J$4&lt;=$E15),1,0)</f>
        <v>0</v>
      </c>
      <c r="K15" s="29" t="n">
        <f aca="false">IF(AND(K$4&gt;=$D15,K$4&lt;=$E15),1,0)</f>
        <v>0</v>
      </c>
      <c r="L15" s="29" t="n">
        <f aca="false">IF(AND(L$4&gt;=$D15,L$4&lt;=$E15),1,0)</f>
        <v>0</v>
      </c>
      <c r="M15" s="29" t="n">
        <f aca="false">IF(AND(M$4&gt;=$D15,M$4&lt;=$E15),1,0)</f>
        <v>0</v>
      </c>
      <c r="N15" s="29" t="n">
        <f aca="false">IF(AND(N$4&gt;=$D15,N$4&lt;=$E15),1,0)</f>
        <v>0</v>
      </c>
      <c r="O15" s="29" t="n">
        <f aca="false">IF(AND(O$4&gt;=$D15,O$4&lt;=$E15),1,0)</f>
        <v>0</v>
      </c>
      <c r="P15" s="29" t="n">
        <f aca="false">IF(AND(P$4&gt;=$D15,P$4&lt;=$E15),1,0)</f>
        <v>0</v>
      </c>
      <c r="Q15" s="29" t="n">
        <f aca="false">IF(AND(Q$4&gt;=$D15,Q$4&lt;=$E15),1,0)</f>
        <v>1</v>
      </c>
      <c r="R15" s="29" t="n">
        <f aca="false">IF(AND(R$4&gt;=$D15,R$4&lt;=$E15),1,0)</f>
        <v>0</v>
      </c>
      <c r="S15" s="29" t="n">
        <f aca="false">IF(AND(S$4&gt;=$D15,S$4&lt;=$E15),1,0)</f>
        <v>0</v>
      </c>
      <c r="T15" s="29" t="n">
        <f aca="false">IF(AND(T$4&gt;=$D15,T$4&lt;=$E15),1,0)</f>
        <v>0</v>
      </c>
    </row>
    <row r="16" customFormat="false" ht="15" hidden="false" customHeight="false" outlineLevel="0" collapsed="false">
      <c r="A16" s="27" t="n">
        <v>8</v>
      </c>
      <c r="B16" s="14" t="s">
        <v>140</v>
      </c>
      <c r="C16" s="28" t="n">
        <v>2</v>
      </c>
      <c r="D16" s="27" t="n">
        <f aca="false">E15+1</f>
        <v>12</v>
      </c>
      <c r="E16" s="27" t="n">
        <f aca="false">D16+C16-1</f>
        <v>13</v>
      </c>
      <c r="F16" s="14" t="s">
        <v>141</v>
      </c>
      <c r="G16" s="29" t="n">
        <f aca="false">IF(AND(G$4&gt;=$D16,G$4&lt;=$E16),1,0)</f>
        <v>0</v>
      </c>
      <c r="H16" s="29" t="n">
        <f aca="false">IF(AND(H$4&gt;=$D16,H$4&lt;=$E16),1,0)</f>
        <v>0</v>
      </c>
      <c r="I16" s="29" t="n">
        <f aca="false">IF(AND(I$4&gt;=$D16,I$4&lt;=$E16),1,0)</f>
        <v>0</v>
      </c>
      <c r="J16" s="29" t="n">
        <f aca="false">IF(AND(J$4&gt;=$D16,J$4&lt;=$E16),1,0)</f>
        <v>0</v>
      </c>
      <c r="K16" s="29" t="n">
        <f aca="false">IF(AND(K$4&gt;=$D16,K$4&lt;=$E16),1,0)</f>
        <v>0</v>
      </c>
      <c r="L16" s="29" t="n">
        <f aca="false">IF(AND(L$4&gt;=$D16,L$4&lt;=$E16),1,0)</f>
        <v>0</v>
      </c>
      <c r="M16" s="29" t="n">
        <f aca="false">IF(AND(M$4&gt;=$D16,M$4&lt;=$E16),1,0)</f>
        <v>0</v>
      </c>
      <c r="N16" s="29" t="n">
        <f aca="false">IF(AND(N$4&gt;=$D16,N$4&lt;=$E16),1,0)</f>
        <v>0</v>
      </c>
      <c r="O16" s="29" t="n">
        <f aca="false">IF(AND(O$4&gt;=$D16,O$4&lt;=$E16),1,0)</f>
        <v>0</v>
      </c>
      <c r="P16" s="29" t="n">
        <f aca="false">IF(AND(P$4&gt;=$D16,P$4&lt;=$E16),1,0)</f>
        <v>0</v>
      </c>
      <c r="Q16" s="29" t="n">
        <f aca="false">IF(AND(Q$4&gt;=$D16,Q$4&lt;=$E16),1,0)</f>
        <v>0</v>
      </c>
      <c r="R16" s="29" t="n">
        <f aca="false">IF(AND(R$4&gt;=$D16,R$4&lt;=$E16),1,0)</f>
        <v>1</v>
      </c>
      <c r="S16" s="29" t="n">
        <f aca="false">IF(AND(S$4&gt;=$D16,S$4&lt;=$E16),1,0)</f>
        <v>1</v>
      </c>
      <c r="T16" s="29" t="n">
        <f aca="false">IF(AND(T$4&gt;=$D16,T$4&lt;=$E16),1,0)</f>
        <v>0</v>
      </c>
    </row>
    <row r="17" customFormat="false" ht="15" hidden="false" customHeight="false" outlineLevel="0" collapsed="false">
      <c r="B17" s="3" t="s">
        <v>142</v>
      </c>
      <c r="F17" s="3" t="s">
        <v>143</v>
      </c>
    </row>
    <row r="19" customFormat="false" ht="15" hidden="false" customHeight="false" outlineLevel="0" collapsed="false">
      <c r="B19" s="20" t="s">
        <v>144</v>
      </c>
    </row>
    <row r="20" customFormat="false" ht="15" hidden="false" customHeight="false" outlineLevel="0" collapsed="false">
      <c r="B20" s="2" t="s">
        <v>145</v>
      </c>
      <c r="C20" s="32"/>
    </row>
    <row r="21" customFormat="false" ht="15" hidden="false" customHeight="false" outlineLevel="0" collapsed="false">
      <c r="B21" s="2" t="s">
        <v>146</v>
      </c>
      <c r="C21" s="33"/>
    </row>
    <row r="22" customFormat="false" ht="15" hidden="false" customHeight="false" outlineLevel="0" collapsed="false">
      <c r="B22" s="2" t="s">
        <v>147</v>
      </c>
      <c r="D22" s="2" t="n">
        <f aca="false">SUM(C6:C16)-C8</f>
        <v>13</v>
      </c>
    </row>
    <row r="23" customFormat="false" ht="15" hidden="false" customHeight="false" outlineLevel="0" collapsed="false">
      <c r="B23" s="3" t="s">
        <v>148</v>
      </c>
    </row>
  </sheetData>
  <mergeCells count="1">
    <mergeCell ref="A2:T2"/>
  </mergeCells>
  <conditionalFormatting sqref="G6:T16">
    <cfRule type="expression" priority="2" aboveAverage="0" equalAverage="0" bottom="0" percent="0" rank="0" text="" dxfId="0">
      <formula>AND(G6=1,$C6=0)</formula>
    </cfRule>
    <cfRule type="expression" priority="3" aboveAverage="0" equalAverage="0" bottom="0" percent="0" rank="0" text="" dxfId="1">
      <formula>G6=1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5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3" t="s">
        <v>150</v>
      </c>
    </row>
    <row r="4" customFormat="false" ht="15" hidden="false" customHeight="false" outlineLevel="0" collapsed="false">
      <c r="A4" s="34" t="s">
        <v>151</v>
      </c>
      <c r="B4" s="34" t="s">
        <v>152</v>
      </c>
      <c r="C4" s="34" t="s">
        <v>153</v>
      </c>
    </row>
    <row r="5" customFormat="false" ht="15" hidden="false" customHeight="false" outlineLevel="0" collapsed="false">
      <c r="A5" s="35" t="s">
        <v>154</v>
      </c>
      <c r="B5" s="35" t="s">
        <v>155</v>
      </c>
      <c r="C5" s="36" t="s">
        <v>156</v>
      </c>
    </row>
    <row r="6" customFormat="false" ht="15" hidden="false" customHeight="false" outlineLevel="0" collapsed="false">
      <c r="A6" s="35" t="s">
        <v>154</v>
      </c>
      <c r="B6" s="35" t="s">
        <v>157</v>
      </c>
      <c r="C6" s="36" t="s">
        <v>158</v>
      </c>
    </row>
    <row r="7" customFormat="false" ht="15" hidden="false" customHeight="false" outlineLevel="0" collapsed="false">
      <c r="A7" s="35" t="s">
        <v>154</v>
      </c>
      <c r="B7" s="35" t="s">
        <v>159</v>
      </c>
      <c r="C7" s="36" t="s">
        <v>160</v>
      </c>
    </row>
    <row r="8" customFormat="false" ht="15" hidden="false" customHeight="false" outlineLevel="0" collapsed="false">
      <c r="A8" s="35" t="s">
        <v>154</v>
      </c>
      <c r="B8" s="35" t="s">
        <v>161</v>
      </c>
      <c r="C8" s="36" t="s">
        <v>162</v>
      </c>
    </row>
    <row r="9" customFormat="false" ht="15" hidden="false" customHeight="false" outlineLevel="0" collapsed="false">
      <c r="A9" s="35" t="s">
        <v>154</v>
      </c>
      <c r="B9" s="35" t="s">
        <v>163</v>
      </c>
      <c r="C9" s="36" t="s">
        <v>164</v>
      </c>
    </row>
    <row r="10" customFormat="false" ht="15" hidden="false" customHeight="false" outlineLevel="0" collapsed="false">
      <c r="A10" s="35" t="s">
        <v>154</v>
      </c>
      <c r="B10" s="35" t="s">
        <v>165</v>
      </c>
      <c r="C10" s="36" t="s">
        <v>166</v>
      </c>
    </row>
    <row r="11" customFormat="false" ht="15" hidden="false" customHeight="false" outlineLevel="0" collapsed="false">
      <c r="A11" s="35" t="s">
        <v>167</v>
      </c>
      <c r="B11" s="35" t="s">
        <v>168</v>
      </c>
      <c r="C11" s="36" t="s">
        <v>169</v>
      </c>
    </row>
    <row r="12" customFormat="false" ht="15" hidden="false" customHeight="false" outlineLevel="0" collapsed="false">
      <c r="A12" s="35" t="s">
        <v>167</v>
      </c>
      <c r="B12" s="35" t="s">
        <v>170</v>
      </c>
      <c r="C12" s="36" t="s">
        <v>171</v>
      </c>
    </row>
    <row r="13" customFormat="false" ht="15" hidden="false" customHeight="false" outlineLevel="0" collapsed="false">
      <c r="A13" s="35" t="s">
        <v>167</v>
      </c>
      <c r="B13" s="35" t="s">
        <v>172</v>
      </c>
      <c r="C13" s="36" t="s">
        <v>173</v>
      </c>
    </row>
    <row r="14" customFormat="false" ht="15" hidden="false" customHeight="false" outlineLevel="0" collapsed="false">
      <c r="A14" s="35" t="s">
        <v>167</v>
      </c>
      <c r="B14" s="35" t="s">
        <v>174</v>
      </c>
      <c r="C14" s="36" t="s">
        <v>175</v>
      </c>
    </row>
    <row r="15" customFormat="false" ht="15" hidden="false" customHeight="false" outlineLevel="0" collapsed="false">
      <c r="A15" s="35" t="s">
        <v>167</v>
      </c>
      <c r="B15" s="35" t="s">
        <v>176</v>
      </c>
      <c r="C15" s="36" t="s">
        <v>177</v>
      </c>
    </row>
    <row r="16" customFormat="false" ht="15" hidden="false" customHeight="false" outlineLevel="0" collapsed="false">
      <c r="A16" s="35" t="s">
        <v>167</v>
      </c>
      <c r="B16" s="35" t="s">
        <v>178</v>
      </c>
      <c r="C16" s="36" t="s">
        <v>179</v>
      </c>
    </row>
    <row r="17" customFormat="false" ht="15" hidden="false" customHeight="false" outlineLevel="0" collapsed="false">
      <c r="A17" s="35" t="s">
        <v>180</v>
      </c>
      <c r="B17" s="35" t="s">
        <v>181</v>
      </c>
      <c r="C17" s="36" t="s">
        <v>182</v>
      </c>
    </row>
    <row r="18" customFormat="false" ht="15" hidden="false" customHeight="false" outlineLevel="0" collapsed="false">
      <c r="A18" s="35" t="s">
        <v>180</v>
      </c>
      <c r="B18" s="35" t="s">
        <v>183</v>
      </c>
      <c r="C18" s="36" t="s">
        <v>184</v>
      </c>
    </row>
    <row r="19" customFormat="false" ht="15" hidden="false" customHeight="false" outlineLevel="0" collapsed="false">
      <c r="A19" s="35" t="s">
        <v>180</v>
      </c>
      <c r="B19" s="35" t="s">
        <v>185</v>
      </c>
      <c r="C19" s="36" t="s">
        <v>186</v>
      </c>
    </row>
    <row r="20" customFormat="false" ht="15" hidden="false" customHeight="false" outlineLevel="0" collapsed="false">
      <c r="A20" s="35" t="s">
        <v>187</v>
      </c>
      <c r="B20" s="35" t="s">
        <v>188</v>
      </c>
      <c r="C20" s="36" t="s">
        <v>189</v>
      </c>
    </row>
    <row r="21" customFormat="false" ht="15" hidden="false" customHeight="false" outlineLevel="0" collapsed="false">
      <c r="A21" s="35" t="s">
        <v>187</v>
      </c>
      <c r="B21" s="35" t="s">
        <v>190</v>
      </c>
      <c r="C21" s="36" t="s">
        <v>191</v>
      </c>
    </row>
    <row r="22" customFormat="false" ht="15" hidden="false" customHeight="false" outlineLevel="0" collapsed="false">
      <c r="A22" s="35" t="s">
        <v>187</v>
      </c>
      <c r="B22" s="35" t="s">
        <v>192</v>
      </c>
      <c r="C22" s="36" t="s">
        <v>193</v>
      </c>
    </row>
    <row r="23" customFormat="false" ht="15" hidden="false" customHeight="false" outlineLevel="0" collapsed="false">
      <c r="A23" s="35" t="s">
        <v>194</v>
      </c>
      <c r="B23" s="35" t="s">
        <v>195</v>
      </c>
      <c r="C23" s="36" t="s">
        <v>196</v>
      </c>
    </row>
    <row r="24" customFormat="false" ht="15" hidden="false" customHeight="false" outlineLevel="0" collapsed="false">
      <c r="A24" s="35" t="s">
        <v>194</v>
      </c>
      <c r="B24" s="35" t="s">
        <v>197</v>
      </c>
      <c r="C24" s="36" t="s">
        <v>198</v>
      </c>
    </row>
    <row r="25" customFormat="false" ht="15" hidden="false" customHeight="false" outlineLevel="0" collapsed="false">
      <c r="A25" s="35" t="s">
        <v>199</v>
      </c>
      <c r="B25" s="35" t="s">
        <v>195</v>
      </c>
      <c r="C25" s="36" t="s">
        <v>200</v>
      </c>
    </row>
    <row r="26" customFormat="false" ht="15" hidden="false" customHeight="false" outlineLevel="0" collapsed="false">
      <c r="A26" s="35" t="s">
        <v>201</v>
      </c>
      <c r="B26" s="35" t="s">
        <v>202</v>
      </c>
      <c r="C26" s="36" t="s">
        <v>203</v>
      </c>
    </row>
    <row r="27" customFormat="false" ht="15" hidden="false" customHeight="false" outlineLevel="0" collapsed="false">
      <c r="A27" s="35" t="s">
        <v>201</v>
      </c>
      <c r="B27" s="35" t="s">
        <v>204</v>
      </c>
      <c r="C27" s="36" t="s">
        <v>205</v>
      </c>
    </row>
    <row r="28" customFormat="false" ht="15" hidden="false" customHeight="false" outlineLevel="0" collapsed="false">
      <c r="A28" s="35" t="s">
        <v>206</v>
      </c>
      <c r="B28" s="35" t="s">
        <v>195</v>
      </c>
      <c r="C28" s="36" t="s">
        <v>207</v>
      </c>
    </row>
    <row r="29" customFormat="false" ht="15" hidden="false" customHeight="false" outlineLevel="0" collapsed="false">
      <c r="A29" s="35" t="s">
        <v>206</v>
      </c>
      <c r="B29" s="35" t="s">
        <v>208</v>
      </c>
      <c r="C29" s="36" t="s">
        <v>209</v>
      </c>
    </row>
    <row r="30" customFormat="false" ht="15" hidden="false" customHeight="false" outlineLevel="0" collapsed="false">
      <c r="A30" s="35" t="s">
        <v>210</v>
      </c>
      <c r="B30" s="35" t="s">
        <v>211</v>
      </c>
      <c r="C30" s="36" t="s">
        <v>212</v>
      </c>
    </row>
    <row r="31" customFormat="false" ht="15" hidden="false" customHeight="false" outlineLevel="0" collapsed="false">
      <c r="A31" s="35" t="s">
        <v>210</v>
      </c>
      <c r="B31" s="35" t="s">
        <v>213</v>
      </c>
      <c r="C31" s="36" t="s">
        <v>214</v>
      </c>
    </row>
    <row r="32" customFormat="false" ht="15" hidden="false" customHeight="false" outlineLevel="0" collapsed="false">
      <c r="A32" s="35" t="s">
        <v>210</v>
      </c>
      <c r="B32" s="35" t="s">
        <v>215</v>
      </c>
      <c r="C32" s="36" t="s">
        <v>216</v>
      </c>
    </row>
    <row r="33" customFormat="false" ht="15" hidden="false" customHeight="false" outlineLevel="0" collapsed="false">
      <c r="A33" s="35" t="s">
        <v>217</v>
      </c>
      <c r="B33" s="35" t="s">
        <v>218</v>
      </c>
      <c r="C33" s="36" t="s">
        <v>219</v>
      </c>
    </row>
    <row r="34" customFormat="false" ht="15" hidden="false" customHeight="false" outlineLevel="0" collapsed="false">
      <c r="A34" s="35" t="s">
        <v>217</v>
      </c>
      <c r="B34" s="35" t="s">
        <v>220</v>
      </c>
      <c r="C34" s="36" t="s">
        <v>221</v>
      </c>
    </row>
    <row r="35" customFormat="false" ht="15" hidden="false" customHeight="false" outlineLevel="0" collapsed="false">
      <c r="A35" s="35" t="s">
        <v>222</v>
      </c>
      <c r="B35" s="35" t="s">
        <v>223</v>
      </c>
      <c r="C35" s="36" t="s">
        <v>224</v>
      </c>
    </row>
    <row r="36" customFormat="false" ht="15" hidden="false" customHeight="false" outlineLevel="0" collapsed="false">
      <c r="A36" s="35" t="s">
        <v>222</v>
      </c>
      <c r="B36" s="35" t="s">
        <v>225</v>
      </c>
      <c r="C36" s="36" t="s">
        <v>226</v>
      </c>
    </row>
    <row r="37" customFormat="false" ht="15" hidden="false" customHeight="false" outlineLevel="0" collapsed="false">
      <c r="A37" s="35" t="s">
        <v>227</v>
      </c>
      <c r="B37" s="35" t="s">
        <v>228</v>
      </c>
      <c r="C37" s="36" t="s">
        <v>229</v>
      </c>
    </row>
  </sheetData>
  <hyperlinks>
    <hyperlink ref="C5" r:id="rId1" display="https://www.mercedes-amg.com/en/concept-amg-gt-xx"/>
    <hyperlink ref="C6" r:id="rId2" display="https://group.mercedes-benz.com/technology/e-mobility/charging/megawatt-charging-amg-gt-xx.html"/>
    <hyperlink ref="C7" r:id="rId3" display="https://www.designnews.com/automotive-engineering/mercedes-concept-amg-gt-xx"/>
    <hyperlink ref="C8" r:id="rId4" display="https://www.motor1.com/news/763606/amg-gt-xx-concept-first-look/"/>
    <hyperlink ref="C9" r:id="rId5" display="https://interestingengineering.com/photo-story/mercedes-amg-ev-concept-breaks-records"/>
    <hyperlink ref="C10" r:id="rId6" display="https://www.drivencarguide.co.nz/news/mercedes-amgs-concept-amg-gt-xx-packs-serious-tech-under-throwback-looks/"/>
    <hyperlink ref="C11" r:id="rId7" display="https://www.mercedes-amg.com/en/gt-4-door-coupe"/>
    <hyperlink ref="C12" r:id="rId8" display="https://group.mercedes-benz.com/company/production/news/axial-flux-motor-berlin.html"/>
    <hyperlink ref="C13" r:id="rId9" display="https://www.electrive.com/2026/05/20/electric-powerhouse-mercedes-amg-unveils-gt-4-door-coupe/"/>
    <hyperlink ref="C14" r:id="rId10" display="https://www.autocarindia.com/car-news/2026-mercedes-amg-gt-4-door-coupe-revealed-makes-up-to-1169hp-439771"/>
    <hyperlink ref="C15" r:id="rId11" display="https://www.arenaev.com/mercedes_amg_gt_4_door_coup%c3%a9_gt_63_2026-specs-986.php"/>
    <hyperlink ref="C16" r:id="rId12" display="https://www.automobile-catalog.com/car/2026/3653165/mercedes-amg_gt_63_4-door_coupe_ev.html"/>
    <hyperlink ref="C17" r:id="rId13" display="https://newsroom.porsche.com/en/2024/products/porsche-the-new-taycan-turbo-gt-35479.html"/>
    <hyperlink ref="C18" r:id="rId14" display="https://newsroom.porsche.com/dam/jcr:c96cbebc-3745-4700-b385-981a9c4fe91d/pag-taycan-turbo-gt-weissachpaket-td-en.pdf"/>
    <hyperlink ref="C19" r:id="rId15" display="https://newsroom.porsche.com/en/2025/products/porsche-taycan-turbo-gt-most-powerful-poduction-porsche-38431.html"/>
    <hyperlink ref="C20" r:id="rId16" display="https://www.audi.com/en/press-releases/audis-most-powerful-production-vehicle-the-new-rs-e-tron-gt-performance-16222"/>
    <hyperlink ref="C21" r:id="rId17" display="https://uploads.audi-mediacenter.com/system/production/car_motorizations/1392/file_en/91bfc69ec55530e277b5023245b77c1c82772920/eTD-Audi-RS-e-tron-GT-performance-550kW_250515.pdf"/>
    <hyperlink ref="C22" r:id="rId18" display="https://magazine.audi.com.au/article/peak-performance"/>
    <hyperlink ref="C23" r:id="rId19" display="https://evkx.net/models/lotus/emeya/emeya_r/specifications"/>
    <hyperlink ref="C24" r:id="rId20" display="https://data.carnewschina.com/database/lotus/lotus-emeya/2024"/>
    <hyperlink ref="C25" r:id="rId21" display="https://evkx.net/models/tesla/model_s/model_s_plaid/specifications/"/>
    <hyperlink ref="C26" r:id="rId22" display="https://lucidmotors.com/stories/final-production-specs-sapphire"/>
    <hyperlink ref="C27" r:id="rId23" display="https://lucidmotors.com/media/document/lucid-air-sapphire-technical-specs-2024.pdf"/>
    <hyperlink ref="C28" r:id="rId24" display="https://evkx.net/models/xiaomi/su7/su7_ultra/specifications"/>
    <hyperlink ref="C29" r:id="rId25" display="https://carnewschina.com/2024/07/19/new-xiaomi-su7-ultra-with-1548-horsepower-and-v8s-motor-unveiled-in-china"/>
    <hyperlink ref="C30" r:id="rId26" display="https://autotijd.be/en/specs/yangwang/u9/960-kw-awd-4586"/>
    <hyperlink ref="C31" r:id="rId27" display="https://data.carnewschina.com/database/yangwang/yangwang-u9/2024/params"/>
    <hyperlink ref="C32" r:id="rId28" display="https://www.cars24.com.au/car-news/yangwang-u9-track-edition-sets-global-ev-speed-record/"/>
    <hyperlink ref="C33" r:id="rId29" display="https://web-cdn.rimac-automobili.com/wp-content/uploads/2023/11/20171226/Nevera_Technical-specifications.pdf"/>
    <hyperlink ref="C34" r:id="rId30" display="https://www.rimac-automobili.com/nevera/"/>
    <hyperlink ref="C35" r:id="rId31" display="https://www.maserati.com/us/en/models/granturismo/granturismo-folgore"/>
    <hyperlink ref="C36" r:id="rId32" display="https://m.arenaev.com/maserati_granturismo_folgore_92kwh_2023-specs-amps-362.php"/>
    <hyperlink ref="C37" r:id="rId33" display="https://unarte.org/wp-content/uploads/2026/08/Structura-anului-universitar-2026-2027.pdf"/>
  </hyperlink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2026-10-07T09:41:37Z</dcterms:created>
  <dc:creator>openpyxl</dc:creator>
  <dc:description/>
  <dc:language>en-US</dc:language>
  <cp:lastModifiedBy/>
  <dcterms:modified xsi:type="dcterms:W3CDTF">2026-10-07T09:41:37Z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