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te documentare" sheetId="1" state="visible" r:id="rId3"/>
    <sheet name="Sinteză" sheetId="2" state="visible" r:id="rId4"/>
    <sheet name="Ipoteze" sheetId="3" state="visible" r:id="rId5"/>
    <sheet name="P2 Putere" sheetId="4" state="visible" r:id="rId6"/>
    <sheet name="P3 Energie" sheetId="5" state="visible" r:id="rId7"/>
    <sheet name="P3 n=100" sheetId="6" state="visible" r:id="rId8"/>
    <sheet name="P3 n=1000" sheetId="7" state="visible" r:id="rId9"/>
    <sheet name="Baterie" sheetId="8" state="visible" r:id="rId10"/>
    <sheet name="Surse" sheetId="9" state="visible" r:id="rId11"/>
  </sheets>
  <definedNames>
    <definedName function="false" hidden="false" name="cel_Cap" vbProcedure="false">Ipoteze!$C$25</definedName>
    <definedName function="false" hidden="false" name="cel_I" vbProcedure="false">Ipoteze!$C$27</definedName>
    <definedName function="false" hidden="false" name="cel_kcp" vbProcedure="false">Ipoteze!$C$28</definedName>
    <definedName function="false" hidden="false" name="cel_m" vbProcedure="false">Ipoteze!$C$26</definedName>
    <definedName function="false" hidden="false" name="cel_U_max" vbProcedure="false">Ipoteze!$C$23</definedName>
    <definedName function="false" hidden="false" name="cel_U_min" vbProcedure="false">Ipoteze!$C$24</definedName>
    <definedName function="false" hidden="false" name="cel_U_nom" vbProcedure="false">Ipoteze!$C$22</definedName>
    <definedName function="false" hidden="false" name="c_alpha" vbProcedure="false">Ipoteze!$C$9</definedName>
    <definedName function="false" hidden="false" name="c_eta" vbProcedure="false">Ipoteze!$C$16</definedName>
    <definedName function="false" hidden="false" name="c_g" vbProcedure="false">Ipoteze!$C$5</definedName>
    <definedName function="false" hidden="false" name="c_k_masa" vbProcedure="false">Ipoteze!$C$19</definedName>
    <definedName function="false" hidden="false" name="c_mu_a" vbProcedure="false">Ipoteze!$C$8</definedName>
    <definedName function="false" hidden="false" name="c_mu_f" vbProcedure="false">Ipoteze!$C$7</definedName>
    <definedName function="false" hidden="false" name="c_n_max" vbProcedure="false">Ipoteze!$C$14</definedName>
    <definedName function="false" hidden="false" name="c_pp" vbProcedure="false">Ipoteze!$C$12</definedName>
    <definedName function="false" hidden="false" name="c_r" vbProcedure="false">Ipoteze!$C$11</definedName>
    <definedName function="false" hidden="false" name="c_rez" vbProcedure="false">Ipoteze!$C$17</definedName>
    <definedName function="false" hidden="false" name="c_rho" vbProcedure="false">Ipoteze!$C$6</definedName>
    <definedName function="false" hidden="false" name="c_U_tinta" vbProcedure="false">Ipoteze!$C$18</definedName>
    <definedName function="false" hidden="false" name="c_V1_kmh" vbProcedure="false">Ipoteze!$C$15</definedName>
    <definedName function="false" hidden="false" name="c_Va_kmh" vbProcedure="false">Ipoteze!$C$13</definedName>
    <definedName function="false" hidden="false" name="c_Vv" vbProcedure="false">Ipoteze!$C$10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<sst xmlns="http://schemas.openxmlformats.org/spreadsheetml/2006/main" count="771" uniqueCount="482">
  <si>
    <t xml:space="preserve">Date din documentare (etapa 1) transformate în unități S.I.</t>
  </si>
  <si>
    <t xml:space="preserve">Se preiau datele medii din faza de documentare (suport P2/P3, slide 2). Celulele goale = valoare nedeclarată; media se face doar pe valorile existente. Rândul galben = vehiculul de referință.</t>
  </si>
  <si>
    <t xml:space="preserve">Text albastru = valoare preluată din sursă; text negru = formulă.</t>
  </si>
  <si>
    <t xml:space="preserve">Nr.</t>
  </si>
  <si>
    <t xml:space="preserve">Vehicul</t>
  </si>
  <si>
    <t xml:space="preserve">P max [kW]</t>
  </si>
  <si>
    <t xml:space="preserve">v max [km/h]</t>
  </si>
  <si>
    <t xml:space="preserve">t accel. [s]</t>
  </si>
  <si>
    <t xml:space="preserve">până la v [km/h]</t>
  </si>
  <si>
    <t xml:space="preserve">Masă [kg]</t>
  </si>
  <si>
    <t xml:space="preserve">Cuplu [Nm]</t>
  </si>
  <si>
    <t xml:space="preserve">Baterie [kWh]</t>
  </si>
  <si>
    <t xml:space="preserve">Autonomie min [km]</t>
  </si>
  <si>
    <t xml:space="preserve">Autonomie max [km]</t>
  </si>
  <si>
    <t xml:space="preserve">Ciclu</t>
  </si>
  <si>
    <t xml:space="preserve">Consum min [kWh/100 km]</t>
  </si>
  <si>
    <t xml:space="preserve">Consum max [kWh/100 km]</t>
  </si>
  <si>
    <t xml:space="preserve">Cx</t>
  </si>
  <si>
    <t xml:space="preserve">S [m²]</t>
  </si>
  <si>
    <t xml:space="preserve">Anvelopă spate lățime [mm]</t>
  </si>
  <si>
    <t xml:space="preserve">Profil [%]</t>
  </si>
  <si>
    <t xml:space="preserve">Jantă [inch]</t>
  </si>
  <si>
    <t xml:space="preserve">P max [W]</t>
  </si>
  <si>
    <t xml:space="preserve">v max [m/s]</t>
  </si>
  <si>
    <t xml:space="preserve">a medie [m/s²]</t>
  </si>
  <si>
    <t xml:space="preserve">Baterie [Ws]</t>
  </si>
  <si>
    <t xml:space="preserve">Autonomie medie [km]</t>
  </si>
  <si>
    <t xml:space="preserve">Consum mediu [kWh/100 km]</t>
  </si>
  <si>
    <t xml:space="preserve">Consum [Ws/m]</t>
  </si>
  <si>
    <t xml:space="preserve">r roată (static) [m]</t>
  </si>
  <si>
    <t xml:space="preserve">Mercedes-AMG GT 63 4MATIC+ 4-Door Coupe</t>
  </si>
  <si>
    <t xml:space="preserve">WLTP</t>
  </si>
  <si>
    <t xml:space="preserve">Porsche Taycan Turbo GT (Weissach)</t>
  </si>
  <si>
    <t xml:space="preserve">Audi RS e-tron GT performance</t>
  </si>
  <si>
    <t xml:space="preserve">Lotus Emeya R</t>
  </si>
  <si>
    <t xml:space="preserve">Tesla Model S Plaid</t>
  </si>
  <si>
    <t xml:space="preserve">Lucid Air Sapphire</t>
  </si>
  <si>
    <t xml:space="preserve">Xiaomi SU7 Ultra</t>
  </si>
  <si>
    <t xml:space="preserve">CLTC</t>
  </si>
  <si>
    <t xml:space="preserve">Yangwang U9</t>
  </si>
  <si>
    <t xml:space="preserve">Rimac Nevera</t>
  </si>
  <si>
    <t xml:space="preserve">Maserati GranTurismo Folgore</t>
  </si>
  <si>
    <t xml:space="preserve">MEDIE (vehicul mediu)</t>
  </si>
  <si>
    <t xml:space="preserve">Număr de valori</t>
  </si>
  <si>
    <t xml:space="preserve">Note: Lucid Air Sapphire – 1,89 s este 0–60 mph (96,56 km/h). Autonomia și consumul se mediază doar pe valorile WLTP (Xiaomi și Yangwang declară ciclul chinezesc CLTC, mai optimist). Lotus nu publică un consum WLTP separat pentru Emeya R. Tesla și Maserati: autonomie și consum din EV Database (sursă secundară). Raza roții se calculează din anvelopa punții spate: r = D_jantă/2 + lățime·profil.</t>
  </si>
  <si>
    <t xml:space="preserve">Sinteză – date pentru proiectare (tema de proiectare)</t>
  </si>
  <si>
    <t xml:space="preserve">Valorile provin din foile P2, P3 și Baterie. Vehiculul mediu este baza temei; GT 63 este comparația.</t>
  </si>
  <si>
    <t xml:space="preserve">Subsistem</t>
  </si>
  <si>
    <t xml:space="preserve">Mărime</t>
  </si>
  <si>
    <t xml:space="preserve">Unitate</t>
  </si>
  <si>
    <t xml:space="preserve">Vehicul mediu</t>
  </si>
  <si>
    <t xml:space="preserve">GT 63 (referință)</t>
  </si>
  <si>
    <t xml:space="preserve">Mașina electrică</t>
  </si>
  <si>
    <t xml:space="preserve">Puterea maximă (vârf)</t>
  </si>
  <si>
    <t xml:space="preserve">kW</t>
  </si>
  <si>
    <t xml:space="preserve">Puterea nominală (Vmax constant)</t>
  </si>
  <si>
    <t xml:space="preserve">Cuplul maxim la ax</t>
  </si>
  <si>
    <t xml:space="preserve">Nm</t>
  </si>
  <si>
    <t xml:space="preserve">Turația de bază</t>
  </si>
  <si>
    <t xml:space="preserve">rot/min</t>
  </si>
  <si>
    <t xml:space="preserve">Turația maximă</t>
  </si>
  <si>
    <t xml:space="preserve">Reductor</t>
  </si>
  <si>
    <t xml:space="preserve">Raportul i_rd = Ωr/Ωax</t>
  </si>
  <si>
    <t xml:space="preserve">-</t>
  </si>
  <si>
    <t xml:space="preserve">Raportul de reducere n_motor/n_roată</t>
  </si>
  <si>
    <t xml:space="preserve">Accelerația realizabilă (aderență)</t>
  </si>
  <si>
    <t xml:space="preserve">m/s²</t>
  </si>
  <si>
    <t xml:space="preserve">Timpul 0–100 km/h realizabil</t>
  </si>
  <si>
    <t xml:space="preserve">s</t>
  </si>
  <si>
    <t xml:space="preserve">Sistem de stocare</t>
  </si>
  <si>
    <t xml:space="preserve">Energia necesară în baterie</t>
  </si>
  <si>
    <t xml:space="preserve">kWh</t>
  </si>
  <si>
    <t xml:space="preserve">Consumul echivalent al ciclului P3</t>
  </si>
  <si>
    <t xml:space="preserve">kWh/100 km</t>
  </si>
  <si>
    <t xml:space="preserve">Celule (serie × paralel = total)</t>
  </si>
  <si>
    <t xml:space="preserve">Energia instalată</t>
  </si>
  <si>
    <t xml:space="preserve">Tensiunea nominală (min – max)</t>
  </si>
  <si>
    <t xml:space="preserve">V</t>
  </si>
  <si>
    <t xml:space="preserve">Convertor / invertor</t>
  </si>
  <si>
    <t xml:space="preserve">Curentul maxim al bateriei</t>
  </si>
  <si>
    <t xml:space="preserve">A</t>
  </si>
  <si>
    <t xml:space="preserve">Masa celulelor / pachetului (estimare)</t>
  </si>
  <si>
    <t xml:space="preserve">kg</t>
  </si>
  <si>
    <t xml:space="preserve">Ipoteze și constante de calcul</t>
  </si>
  <si>
    <t xml:space="preserve">Celulele albastre se pot modifica; toate foile de calcul folosesc numele definite din coloana A.</t>
  </si>
  <si>
    <t xml:space="preserve">Nume definit</t>
  </si>
  <si>
    <t xml:space="preserve">Valoare</t>
  </si>
  <si>
    <t xml:space="preserve">Justificare / sursă</t>
  </si>
  <si>
    <t xml:space="preserve">c_g</t>
  </si>
  <si>
    <t xml:space="preserve">Accelerația gravitațională g</t>
  </si>
  <si>
    <t xml:space="preserve">Valoare uzuală (g_n = 9,80665 m/s²)</t>
  </si>
  <si>
    <t xml:space="preserve">c_rho</t>
  </si>
  <si>
    <t xml:space="preserve">Densitatea aerului ρ (condiții normale: 0 °C, 101 325 Pa)</t>
  </si>
  <si>
    <t xml:space="preserve">kg/m³</t>
  </si>
  <si>
    <t xml:space="preserve">ρ = p/(R_s·T) = 101325/(287,05·273,15)</t>
  </si>
  <si>
    <t xml:space="preserve">c_mu_f</t>
  </si>
  <si>
    <t xml:space="preserve">Coeficient de frecare la rulare µf</t>
  </si>
  <si>
    <t xml:space="preserve">Exemplul din curs (P2, slide 5)</t>
  </si>
  <si>
    <t xml:space="preserve">c_mu_a</t>
  </si>
  <si>
    <t xml:space="preserve">Coeficient de aderență µa</t>
  </si>
  <si>
    <t xml:space="preserve">c_alpha</t>
  </si>
  <si>
    <t xml:space="preserve">Unghiul de înclinare al drumului α</t>
  </si>
  <si>
    <t xml:space="preserve">rad</t>
  </si>
  <si>
    <t xml:space="preserve">Drum drept (simplificare curs)</t>
  </si>
  <si>
    <t xml:space="preserve">c_Vv</t>
  </si>
  <si>
    <t xml:space="preserve">Viteza vântului Vv</t>
  </si>
  <si>
    <t xml:space="preserve">m/s</t>
  </si>
  <si>
    <t xml:space="preserve">Fără vânt (simplificare curs)</t>
  </si>
  <si>
    <t xml:space="preserve">c_r</t>
  </si>
  <si>
    <t xml:space="preserve">Raza dinamică a roții r</t>
  </si>
  <si>
    <t xml:space="preserve">m</t>
  </si>
  <si>
    <t xml:space="preserve">Media razelor anvelopelor spate ≈ 0,36 m × 0,97 ≈ 0,35 m</t>
  </si>
  <si>
    <t xml:space="preserve">c_pp</t>
  </si>
  <si>
    <t xml:space="preserve">Pierderi în reductor Pp / Pax</t>
  </si>
  <si>
    <t xml:space="preserve">Pp = Pax/100 (curs, P2 slide 7)</t>
  </si>
  <si>
    <t xml:space="preserve">c_Va_kmh</t>
  </si>
  <si>
    <t xml:space="preserve">Viteza Va (sfârșitul accelerării)</t>
  </si>
  <si>
    <t xml:space="preserve">km/h</t>
  </si>
  <si>
    <t xml:space="preserve">0–100 km/h</t>
  </si>
  <si>
    <t xml:space="preserve">c_n_max</t>
  </si>
  <si>
    <t xml:space="preserve">Turația maximă a mașinii electrice la v_max</t>
  </si>
  <si>
    <t xml:space="preserve">Alegere de proiectare (motoarele clasei: 13 000–20 000 rot/min)</t>
  </si>
  <si>
    <t xml:space="preserve">c_V1_kmh</t>
  </si>
  <si>
    <t xml:space="preserve">Viteza constantă a ciclului P3, V1</t>
  </si>
  <si>
    <t xml:space="preserve">Curs, P3 slide 4</t>
  </si>
  <si>
    <t xml:space="preserve">c_eta</t>
  </si>
  <si>
    <t xml:space="preserve">Randament η_el-mec = η_mec-el</t>
  </si>
  <si>
    <t xml:space="preserve">Curs, P3 slide 8</t>
  </si>
  <si>
    <t xml:space="preserve">c_rez</t>
  </si>
  <si>
    <t xml:space="preserve">Rezervă de energie în baterie</t>
  </si>
  <si>
    <t xml:space="preserve">c_U_tinta</t>
  </si>
  <si>
    <t xml:space="preserve">Tensiunea nominală țintă a bateriei</t>
  </si>
  <si>
    <t xml:space="preserve">Arhitectura de 800 V a clasei</t>
  </si>
  <si>
    <t xml:space="preserve">c_k_masa</t>
  </si>
  <si>
    <t xml:space="preserve">Masa maximă a bateriei / masa vehiculului</t>
  </si>
  <si>
    <t xml:space="preserve">Curs, P3 slide 9</t>
  </si>
  <si>
    <t xml:space="preserve">Celula Li-ion aleasă: Molicel INR-21700-P50B</t>
  </si>
  <si>
    <t xml:space="preserve">https://www.molicel.com/wp-content/uploads/4.TR%E7%B0%A1%E6%98%93%E8%A6%8F%E6%A0%BC_INR21700P50B_1.1_Product-Data-Sheet-of-INR-21700-P50B-80122.pdf</t>
  </si>
  <si>
    <t xml:space="preserve">cel_U_nom</t>
  </si>
  <si>
    <t xml:space="preserve">Tensiune nominală celulă</t>
  </si>
  <si>
    <t xml:space="preserve">Fișa tehnică Molicel P50B v1.1</t>
  </si>
  <si>
    <t xml:space="preserve">cel_U_max</t>
  </si>
  <si>
    <t xml:space="preserve">Tensiune maximă (încărcare)</t>
  </si>
  <si>
    <t xml:space="preserve">Tensiunea de încărcare</t>
  </si>
  <si>
    <t xml:space="preserve">cel_U_min</t>
  </si>
  <si>
    <t xml:space="preserve">Tensiune minimă (descărcare)</t>
  </si>
  <si>
    <t xml:space="preserve">Tensiunea de descărcare (cut-off)</t>
  </si>
  <si>
    <t xml:space="preserve">cel_Cap</t>
  </si>
  <si>
    <t xml:space="preserve">Capacitate nominală</t>
  </si>
  <si>
    <t xml:space="preserve">Ah</t>
  </si>
  <si>
    <t xml:space="preserve">Capacitate tipică 5000 mAh (minimă 4850 mAh); 18,0 Wh</t>
  </si>
  <si>
    <t xml:space="preserve">cel_m</t>
  </si>
  <si>
    <t xml:space="preserve">Masă celulă</t>
  </si>
  <si>
    <t xml:space="preserve">Masă maximă 71 g (260 Wh/kg)</t>
  </si>
  <si>
    <t xml:space="preserve">cel_I</t>
  </si>
  <si>
    <t xml:space="preserve">Curent maxim de descărcare continuă</t>
  </si>
  <si>
    <t xml:space="preserve">Descărcare continuă 60 A (cu limită de temperatură 80 °C)</t>
  </si>
  <si>
    <t xml:space="preserve">cel_kcp</t>
  </si>
  <si>
    <t xml:space="preserve">Raport masă celule / masă pachet</t>
  </si>
  <si>
    <t xml:space="preserve">Estimare pentru pachete cu celule cilindrice (vezi README)</t>
  </si>
  <si>
    <t xml:space="preserve">P2 – Calculul puterii mașinii electrice (pașii 1–9)</t>
  </si>
  <si>
    <t xml:space="preserve">Strategie: se pleacă de la forțele rezistente pe vehicul: Ft → Mr → Pr → Pax. Simplificări: α = 0, Vv = 0, deplasare în linie dreaptă (Vr = V).</t>
  </si>
  <si>
    <t xml:space="preserve">Pas</t>
  </si>
  <si>
    <t xml:space="preserve">Simbol</t>
  </si>
  <si>
    <t xml:space="preserve">Formulă / observație</t>
  </si>
  <si>
    <t xml:space="preserve">Date de intrare (din documentare, S.I.)</t>
  </si>
  <si>
    <t xml:space="preserve">Masa vehiculului</t>
  </si>
  <si>
    <t xml:space="preserve">M</t>
  </si>
  <si>
    <t xml:space="preserve">medie / rândul GT 63</t>
  </si>
  <si>
    <t xml:space="preserve">Coeficient aerodinamic</t>
  </si>
  <si>
    <t xml:space="preserve">Suprafața frontală</t>
  </si>
  <si>
    <t xml:space="preserve">S</t>
  </si>
  <si>
    <t xml:space="preserve">m²</t>
  </si>
  <si>
    <t xml:space="preserve">Viteza maximă</t>
  </si>
  <si>
    <t xml:space="preserve">Vmax</t>
  </si>
  <si>
    <t xml:space="preserve">Accelerația medie 0–100 km/h (documentare)</t>
  </si>
  <si>
    <t xml:space="preserve">a_doc</t>
  </si>
  <si>
    <t xml:space="preserve">Puterea maximă declarată</t>
  </si>
  <si>
    <t xml:space="preserve">P_doc</t>
  </si>
  <si>
    <t xml:space="preserve">W</t>
  </si>
  <si>
    <t xml:space="preserve">Raza roții</t>
  </si>
  <si>
    <t xml:space="preserve">r</t>
  </si>
  <si>
    <t xml:space="preserve">Ipoteze</t>
  </si>
  <si>
    <t xml:space="preserve">Pașii 1–4: forța de tracțiune în punctul (Va, ta) și aderența</t>
  </si>
  <si>
    <t xml:space="preserve">1–2</t>
  </si>
  <si>
    <t xml:space="preserve">Viteza la sfârșitul accelerării</t>
  </si>
  <si>
    <t xml:space="preserve">Va</t>
  </si>
  <si>
    <t xml:space="preserve">Va = 100 km/h</t>
  </si>
  <si>
    <t xml:space="preserve">2</t>
  </si>
  <si>
    <t xml:space="preserve">Timpul de accelerare (documentare)</t>
  </si>
  <si>
    <t xml:space="preserve">ta</t>
  </si>
  <si>
    <t xml:space="preserve">ta = Va / a</t>
  </si>
  <si>
    <t xml:space="preserve">3</t>
  </si>
  <si>
    <t xml:space="preserve">Forța de frecare la rulare</t>
  </si>
  <si>
    <t xml:space="preserve">Ff</t>
  </si>
  <si>
    <t xml:space="preserve">N</t>
  </si>
  <si>
    <t xml:space="preserve">Ff = µf·M·g·cos α</t>
  </si>
  <si>
    <t xml:space="preserve">Rezistența aerodinamică la Va</t>
  </si>
  <si>
    <t xml:space="preserve">Fra</t>
  </si>
  <si>
    <t xml:space="preserve">Fra = ½·ρ·S·Cx·(V − Vv)²</t>
  </si>
  <si>
    <t xml:space="preserve">Componenta tangențială a greutății</t>
  </si>
  <si>
    <t xml:space="preserve">Gt</t>
  </si>
  <si>
    <t xml:space="preserve">Gt = M·g·sin α</t>
  </si>
  <si>
    <t xml:space="preserve">Forța de inerție cu a_doc</t>
  </si>
  <si>
    <t xml:space="preserve">M·a</t>
  </si>
  <si>
    <t xml:space="preserve">Forța de tracțiune necesară</t>
  </si>
  <si>
    <t xml:space="preserve">Ft</t>
  </si>
  <si>
    <t xml:space="preserve">Ft = Fra + Ff + Gt + M·a</t>
  </si>
  <si>
    <t xml:space="preserve">4</t>
  </si>
  <si>
    <t xml:space="preserve">Forța de aderență</t>
  </si>
  <si>
    <t xml:space="preserve">Fa</t>
  </si>
  <si>
    <t xml:space="preserve">Fa = µa·M·g·cos α</t>
  </si>
  <si>
    <t xml:space="preserve">Aderența respectată? (Ft ≤ Fa)</t>
  </si>
  <si>
    <t xml:space="preserve">Dacă NU: Ft = Fa și se recalculează accelerația</t>
  </si>
  <si>
    <t xml:space="preserve">Accelerația realizabilă</t>
  </si>
  <si>
    <t xml:space="preserve">a</t>
  </si>
  <si>
    <t xml:space="preserve">a = (Fa − Fra − Ff − Gt)/M</t>
  </si>
  <si>
    <t xml:space="preserve">Forța de tracțiune de calcul</t>
  </si>
  <si>
    <t xml:space="preserve">Pasul 5: cuplul și puterea la roată; puterea la axul mașinii</t>
  </si>
  <si>
    <t xml:space="preserve">5</t>
  </si>
  <si>
    <t xml:space="preserve">Viteza unghiulară a roții la Va</t>
  </si>
  <si>
    <t xml:space="preserve">Ωr</t>
  </si>
  <si>
    <t xml:space="preserve">rad/s</t>
  </si>
  <si>
    <t xml:space="preserve">Ωr = Va / r</t>
  </si>
  <si>
    <t xml:space="preserve">Cuplul la roată (total)</t>
  </si>
  <si>
    <t xml:space="preserve">Mr</t>
  </si>
  <si>
    <t xml:space="preserve">Mr = r·Ft</t>
  </si>
  <si>
    <t xml:space="preserve">Puterea la roată</t>
  </si>
  <si>
    <t xml:space="preserve">Pr</t>
  </si>
  <si>
    <t xml:space="preserve">Pr = Mr·Ωr = Ft·Vr</t>
  </si>
  <si>
    <t xml:space="preserve">Puterea la axul mașinii electrice</t>
  </si>
  <si>
    <t xml:space="preserve">Pax</t>
  </si>
  <si>
    <t xml:space="preserve">Pax = Pr + Pp, Pp = Pax/100  ⇒  Pax = Pr/0,99</t>
  </si>
  <si>
    <t xml:space="preserve">Pierderi în reductor și transmisie</t>
  </si>
  <si>
    <t xml:space="preserve">Pp</t>
  </si>
  <si>
    <t xml:space="preserve">Pasul 6: reductorul și cuplul la axul mașinii</t>
  </si>
  <si>
    <t xml:space="preserve">6</t>
  </si>
  <si>
    <t xml:space="preserve">Viteza unghiulară a roții la Vmax</t>
  </si>
  <si>
    <t xml:space="preserve">Ωr,max</t>
  </si>
  <si>
    <t xml:space="preserve">Viteza unghiulară maximă a mașinii</t>
  </si>
  <si>
    <t xml:space="preserve">Ωax,max</t>
  </si>
  <si>
    <t xml:space="preserve">din n_max ales (Ipoteze)</t>
  </si>
  <si>
    <t xml:space="preserve">Raportul reductorului</t>
  </si>
  <si>
    <t xml:space="preserve">i_rd</t>
  </si>
  <si>
    <t xml:space="preserve">i_rd = Ωr / Ωax</t>
  </si>
  <si>
    <t xml:space="preserve">Raport de reducere (n_motor / n_roată)</t>
  </si>
  <si>
    <t xml:space="preserve">1/i_rd</t>
  </si>
  <si>
    <t xml:space="preserve">Viteza unghiulară a mașinii la Va (de bază)</t>
  </si>
  <si>
    <t xml:space="preserve">Ωax</t>
  </si>
  <si>
    <t xml:space="preserve">Turația de bază a mașinii</t>
  </si>
  <si>
    <t xml:space="preserve">n_b</t>
  </si>
  <si>
    <t xml:space="preserve">Cuplul maxim la axul mașinii</t>
  </si>
  <si>
    <t xml:space="preserve">Max</t>
  </si>
  <si>
    <t xml:space="preserve">Max = Pax / Ωax</t>
  </si>
  <si>
    <t xml:space="preserve">Pașii 7–9: rulare cu Vmax constantă (a = 0) – puterea nominală</t>
  </si>
  <si>
    <t xml:space="preserve">7</t>
  </si>
  <si>
    <t xml:space="preserve">Rezistența aerodinamică la Vmax</t>
  </si>
  <si>
    <t xml:space="preserve">Forța de tracțiune la Vmax</t>
  </si>
  <si>
    <t xml:space="preserve">Ft = Fra + Ff + Gt</t>
  </si>
  <si>
    <t xml:space="preserve">8</t>
  </si>
  <si>
    <t xml:space="preserve">Aderența respectată la Vmax?</t>
  </si>
  <si>
    <t xml:space="preserve">Dacă NU se reduce Vmax până la Ft = Fa</t>
  </si>
  <si>
    <t xml:space="preserve">Viteza maximă de calcul</t>
  </si>
  <si>
    <t xml:space="preserve">Forța de tracțiune de calcul la Vmax</t>
  </si>
  <si>
    <t xml:space="preserve">Cuplul la roată la Vmax</t>
  </si>
  <si>
    <t xml:space="preserve">Puterea la roată la Vmax</t>
  </si>
  <si>
    <t xml:space="preserve">Puterea la axul mașinii la Vmax</t>
  </si>
  <si>
    <t xml:space="preserve">Cuplul la axul mașinii la Vmax</t>
  </si>
  <si>
    <t xml:space="preserve">9</t>
  </si>
  <si>
    <t xml:space="preserve">PUTEREA MAXIMĂ a mașinii electrice</t>
  </si>
  <si>
    <t xml:space="preserve">P_max</t>
  </si>
  <si>
    <t xml:space="preserve">din pasul 5</t>
  </si>
  <si>
    <t xml:space="preserve">PUTEREA NOMINALĂ a mașinii electrice</t>
  </si>
  <si>
    <t xml:space="preserve">P_nom</t>
  </si>
  <si>
    <t xml:space="preserve">din pasul 8</t>
  </si>
  <si>
    <t xml:space="preserve">Verificarea coerenței cu documentarea</t>
  </si>
  <si>
    <t xml:space="preserve">Pax cu accelerația documentată (fără limita de aderență)</t>
  </si>
  <si>
    <t xml:space="preserve">aceeași formulă cu a_doc</t>
  </si>
  <si>
    <t xml:space="preserve">Puterea maximă declarată (documentare)</t>
  </si>
  <si>
    <t xml:space="preserve">Vmax / Va (domeniu de putere constantă necesar)</t>
  </si>
  <si>
    <t xml:space="preserve">P3 – Necesarul de energie electrică (pașii 1–14)</t>
  </si>
  <si>
    <t xml:space="preserve">Ciclu: accelerare cu a până la V1 = 50 km/h, rulare cu V1 constantă, decelerare (df = d1). Distanța totală a ciclului = autonomia medie din documentare.</t>
  </si>
  <si>
    <t xml:space="preserve">Date de intrare</t>
  </si>
  <si>
    <t xml:space="preserve">Cerința de autonomie</t>
  </si>
  <si>
    <t xml:space="preserve">d</t>
  </si>
  <si>
    <t xml:space="preserve">media din documentare</t>
  </si>
  <si>
    <t xml:space="preserve">Accelerația calculată în P2</t>
  </si>
  <si>
    <t xml:space="preserve">sesiunea precedentă (P2, pasul 4)</t>
  </si>
  <si>
    <t xml:space="preserve">Pașii 1–6: puterea P1 (cu a), P1' (fără a), timpul t1</t>
  </si>
  <si>
    <t xml:space="preserve">1</t>
  </si>
  <si>
    <t xml:space="preserve">Viteza constantă a ciclului</t>
  </si>
  <si>
    <t xml:space="preserve">V1</t>
  </si>
  <si>
    <t xml:space="preserve">V1 = 50 km/h</t>
  </si>
  <si>
    <t xml:space="preserve">Rezistența aerodinamică la V1</t>
  </si>
  <si>
    <t xml:space="preserve">Ft1 cu accelerația din P2</t>
  </si>
  <si>
    <t xml:space="preserve">Ft1</t>
  </si>
  <si>
    <t xml:space="preserve">Aderența respectată? (Ft1 ≤ Fa)</t>
  </si>
  <si>
    <t xml:space="preserve">Accelerația folosită</t>
  </si>
  <si>
    <t xml:space="preserve">Forța de tracțiune în (V1, t1)</t>
  </si>
  <si>
    <t xml:space="preserve">Ft1 = Fra + Ff + Gt + M·a</t>
  </si>
  <si>
    <t xml:space="preserve">Puterea P1 (cu accelerație)</t>
  </si>
  <si>
    <t xml:space="preserve">P1</t>
  </si>
  <si>
    <t xml:space="preserve">P1 = Ft1·V1</t>
  </si>
  <si>
    <t xml:space="preserve">Forța de tracțiune la V1 constant</t>
  </si>
  <si>
    <t xml:space="preserve">Ft1'</t>
  </si>
  <si>
    <t xml:space="preserve">Ft1' = Fra + Ff + Gt</t>
  </si>
  <si>
    <t xml:space="preserve">Puterea P1' (fără accelerație)</t>
  </si>
  <si>
    <t xml:space="preserve">P1'</t>
  </si>
  <si>
    <t xml:space="preserve">P1' = Ft1'·V1</t>
  </si>
  <si>
    <t xml:space="preserve">Timpul de accelerare până la V1</t>
  </si>
  <si>
    <t xml:space="preserve">t1</t>
  </si>
  <si>
    <t xml:space="preserve">t1 = V1 / a</t>
  </si>
  <si>
    <t xml:space="preserve">Pașii 7–8: puterea medie și energia pe [0, t1]</t>
  </si>
  <si>
    <t xml:space="preserve">Puterea medie (aproximare)</t>
  </si>
  <si>
    <t xml:space="preserve">Pmed</t>
  </si>
  <si>
    <t xml:space="preserve">Pmed = (P0 + P1)/2, P0 = 0</t>
  </si>
  <si>
    <t xml:space="preserve">Puterea medie discretizată, n = 100</t>
  </si>
  <si>
    <t xml:space="preserve">P01-med</t>
  </si>
  <si>
    <t xml:space="preserve">(1/n)·Σ Fti·Vti (foaia P3 n=100)</t>
  </si>
  <si>
    <t xml:space="preserve">Energia W01 discretizată, n = 100</t>
  </si>
  <si>
    <t xml:space="preserve">W01</t>
  </si>
  <si>
    <t xml:space="preserve">Ws</t>
  </si>
  <si>
    <t xml:space="preserve">Σ Pti·Δti</t>
  </si>
  <si>
    <t xml:space="preserve">Puterea medie discretizată, n = 1000</t>
  </si>
  <si>
    <t xml:space="preserve">(1/n)·Σ Fti·Vti (foaia P3 n=1000)</t>
  </si>
  <si>
    <t xml:space="preserve">Energia W01 discretizată, n = 1000</t>
  </si>
  <si>
    <t xml:space="preserve">Energia W01 exactă (integrală analitică)</t>
  </si>
  <si>
    <t xml:space="preserve">∫(A + B·v²)·v dt, v = a·t (Vv = 0)</t>
  </si>
  <si>
    <t xml:space="preserve">Eroarea W01 pentru n = 100</t>
  </si>
  <si>
    <t xml:space="preserve">%</t>
  </si>
  <si>
    <t xml:space="preserve">Eroarea W01 pentru n = 1000</t>
  </si>
  <si>
    <t xml:space="preserve">Energia cu puterea medie</t>
  </si>
  <si>
    <t xml:space="preserve">Wmed</t>
  </si>
  <si>
    <t xml:space="preserve">Wmed = Pmed·t1</t>
  </si>
  <si>
    <t xml:space="preserve">Energia cu P01-med (n = 1000)</t>
  </si>
  <si>
    <t xml:space="preserve">W01-med</t>
  </si>
  <si>
    <t xml:space="preserve">W01-med = P01-med·t1</t>
  </si>
  <si>
    <t xml:space="preserve">Energia W01 folosită mai departe (n = 1000)</t>
  </si>
  <si>
    <t xml:space="preserve">Pașii 9–12: distanțe și energia mecanică pe ciclu</t>
  </si>
  <si>
    <t xml:space="preserve">Distanța de accelerare</t>
  </si>
  <si>
    <t xml:space="preserve">d1</t>
  </si>
  <si>
    <t xml:space="preserve">d1 = V1·t1/2</t>
  </si>
  <si>
    <t xml:space="preserve">10</t>
  </si>
  <si>
    <t xml:space="preserve">Distanța de decelerare</t>
  </si>
  <si>
    <t xml:space="preserve">df</t>
  </si>
  <si>
    <t xml:space="preserve">df = d1</t>
  </si>
  <si>
    <t xml:space="preserve">Distanța la viteză constantă</t>
  </si>
  <si>
    <t xml:space="preserve">d2</t>
  </si>
  <si>
    <t xml:space="preserve">autonomie = d1 + d2 + df</t>
  </si>
  <si>
    <t xml:space="preserve">Durata rulării cu V1</t>
  </si>
  <si>
    <t xml:space="preserve">t2 − t1</t>
  </si>
  <si>
    <t xml:space="preserve">t2 − t1 = d2 / V1</t>
  </si>
  <si>
    <t xml:space="preserve">Momentul t2</t>
  </si>
  <si>
    <t xml:space="preserve">t2</t>
  </si>
  <si>
    <t xml:space="preserve">Durata totală a ciclului</t>
  </si>
  <si>
    <t xml:space="preserve">tf</t>
  </si>
  <si>
    <t xml:space="preserve">decelerare simetrică</t>
  </si>
  <si>
    <t xml:space="preserve">11</t>
  </si>
  <si>
    <t xml:space="preserve">Energia la viteză constantă</t>
  </si>
  <si>
    <t xml:space="preserve">W12</t>
  </si>
  <si>
    <t xml:space="preserve">W12 = P1'·(t2 − t1)</t>
  </si>
  <si>
    <t xml:space="preserve">12</t>
  </si>
  <si>
    <t xml:space="preserve">Energia recuperabilă la decelerare</t>
  </si>
  <si>
    <t xml:space="preserve">W2f</t>
  </si>
  <si>
    <t xml:space="preserve">W2f = W01</t>
  </si>
  <si>
    <t xml:space="preserve">Energia mecanică pe ciclu</t>
  </si>
  <si>
    <t xml:space="preserve">Wmec</t>
  </si>
  <si>
    <t xml:space="preserve">Wmec = W01 + W12 − W2f</t>
  </si>
  <si>
    <t xml:space="preserve">Pașii 13–14: energia electrică în baterie</t>
  </si>
  <si>
    <t xml:space="preserve">13</t>
  </si>
  <si>
    <t xml:space="preserve">Energia electrică stocată necesară</t>
  </si>
  <si>
    <t xml:space="preserve">Wstocată</t>
  </si>
  <si>
    <t xml:space="preserve">W01/η + W12/η − η·W2f</t>
  </si>
  <si>
    <t xml:space="preserve">14</t>
  </si>
  <si>
    <t xml:space="preserve">Energia totală în baterie (rezervă 30 %)</t>
  </si>
  <si>
    <t xml:space="preserve">Wbat</t>
  </si>
  <si>
    <t xml:space="preserve">Wbat = Wstocată + 0,3·Wbat</t>
  </si>
  <si>
    <t xml:space="preserve">Energia totală în baterie</t>
  </si>
  <si>
    <t xml:space="preserve">Energia stocată necesară</t>
  </si>
  <si>
    <t xml:space="preserve">Consum echivalent al ciclului</t>
  </si>
  <si>
    <t xml:space="preserve">Consum mediu din documentare</t>
  </si>
  <si>
    <t xml:space="preserve">WLTP / EPA / CLTC</t>
  </si>
  <si>
    <t xml:space="preserve">Capacitatea bateriei din documentare</t>
  </si>
  <si>
    <t xml:space="preserve">P3 – discretizarea intervalului [0, t1] în n = 100 intervale egale</t>
  </si>
  <si>
    <t xml:space="preserve">Pe fiecare interval [t(i−1), t(i)] forța Fti și viteza Vti sunt constante, egale cu valorile din t(i). Rândul i = 0 este t = 0 (P = 0), deci Σ pe cele n+1 puncte = Σ pe cele n intervale.</t>
  </si>
  <si>
    <t xml:space="preserve">GT 63</t>
  </si>
  <si>
    <t xml:space="preserve">P01-med [W]</t>
  </si>
  <si>
    <t xml:space="preserve">W01 [Ws]</t>
  </si>
  <si>
    <t xml:space="preserve">Δt [s]</t>
  </si>
  <si>
    <t xml:space="preserve">a [m/s²]</t>
  </si>
  <si>
    <t xml:space="preserve">i</t>
  </si>
  <si>
    <t xml:space="preserve">t_i [s]</t>
  </si>
  <si>
    <t xml:space="preserve">V_ti [m/s]</t>
  </si>
  <si>
    <t xml:space="preserve">F_ti [N]</t>
  </si>
  <si>
    <t xml:space="preserve">P_ti [W]</t>
  </si>
  <si>
    <t xml:space="preserve">P3 – discretizarea intervalului [0, t1] în n = 1000 intervale egale</t>
  </si>
  <si>
    <t xml:space="preserve">P3 – Calculul bateriei electrice (celule Li-ion)</t>
  </si>
  <si>
    <t xml:space="preserve">W_celulă = Cap·U; N = Wbat / W_celulă. Serie → tensiunea bateriei; paralel → curentul și capacitatea. Limitare: masa bateriei ≤ 30 % din masa vehiculului.</t>
  </si>
  <si>
    <t xml:space="preserve">Energia necesară în baterie (P3, pasul 14)</t>
  </si>
  <si>
    <t xml:space="preserve">Puterea maximă la axul mașinii (P2, pasul 5)</t>
  </si>
  <si>
    <t xml:space="preserve">Numărul de celule</t>
  </si>
  <si>
    <t xml:space="preserve">Energia unei celule</t>
  </si>
  <si>
    <t xml:space="preserve">W_celulă</t>
  </si>
  <si>
    <t xml:space="preserve">Cap [Ah→As] × U [V]</t>
  </si>
  <si>
    <t xml:space="preserve">Numărul minim de celule (energie)</t>
  </si>
  <si>
    <t xml:space="preserve">N_min</t>
  </si>
  <si>
    <t xml:space="preserve">Celule în serie</t>
  </si>
  <si>
    <t xml:space="preserve">Ns</t>
  </si>
  <si>
    <t xml:space="preserve">U_bat ≈ 800 V</t>
  </si>
  <si>
    <t xml:space="preserve">Tensiunea nominală a bateriei</t>
  </si>
  <si>
    <t xml:space="preserve">U_bat</t>
  </si>
  <si>
    <t xml:space="preserve">Tensiunea maximă (complet încărcată)</t>
  </si>
  <si>
    <t xml:space="preserve">Tensiunea minimă (descărcată)</t>
  </si>
  <si>
    <t xml:space="preserve">Ramuri în paralel – din energie</t>
  </si>
  <si>
    <t xml:space="preserve">Np</t>
  </si>
  <si>
    <t xml:space="preserve">Puterea electrică maximă cerută bateriei</t>
  </si>
  <si>
    <t xml:space="preserve">P_max / η</t>
  </si>
  <si>
    <t xml:space="preserve">I_bat</t>
  </si>
  <si>
    <t xml:space="preserve">Ramuri în paralel – din curent</t>
  </si>
  <si>
    <t xml:space="preserve">Ramuri în paralel (alese)</t>
  </si>
  <si>
    <t xml:space="preserve">Numărul total de celule</t>
  </si>
  <si>
    <t xml:space="preserve">Capacitatea bateriei</t>
  </si>
  <si>
    <t xml:space="preserve">Curentul pe celulă la P_max</t>
  </si>
  <si>
    <t xml:space="preserve">Verificarea masei</t>
  </si>
  <si>
    <t xml:space="preserve">Masa celulelor</t>
  </si>
  <si>
    <t xml:space="preserve">Masa estimată a pachetului</t>
  </si>
  <si>
    <t xml:space="preserve">celule / raport celule-pachet</t>
  </si>
  <si>
    <t xml:space="preserve">Limita: 30 % din masa vehiculului</t>
  </si>
  <si>
    <t xml:space="preserve">Masa celulelor / masa vehiculului</t>
  </si>
  <si>
    <t xml:space="preserve">Masa pachetului / masa vehiculului</t>
  </si>
  <si>
    <t xml:space="preserve">Limita de 30 % respectată (pachet)?</t>
  </si>
  <si>
    <t xml:space="preserve">Surse pentru datele de intrare (accesate 07–14.10.2026)</t>
  </si>
  <si>
    <t xml:space="preserve">Element</t>
  </si>
  <si>
    <t xml:space="preserve">Sursă</t>
  </si>
  <si>
    <t xml:space="preserve">URL</t>
  </si>
  <si>
    <t xml:space="preserve">Date vehicule: putere, v_max, 0–100, masă, cuplu, baterie, Cx</t>
  </si>
  <si>
    <t xml:space="preserve">Etapa 1 – sursele din etapa1-documentare/CCA_Etapa1_Documentare.xlsx, foaia Surse</t>
  </si>
  <si>
    <t xml:space="preserve">../etapa1-documentare/README.md</t>
  </si>
  <si>
    <t xml:space="preserve">GT 63 – autonomie WLTP 596–696 km, consum 17,9–21,0, S = 2,44 m²</t>
  </si>
  <si>
    <t xml:space="preserve">Mercedes-Benz Media – comunicat de lansare (tabel tehnic)</t>
  </si>
  <si>
    <t xml:space="preserve">https://media.mercedes-benz.com/en/article/c8b7109f-2287-4070-b776-9204da1513ef</t>
  </si>
  <si>
    <t xml:space="preserve">Porsche Taycan Turbo GT Weissach – WLTP 538–555 km, anvelope, S = 2,35 m²</t>
  </si>
  <si>
    <t xml:space="preserve">Porsche – fișă tehnică (PDF)</t>
  </si>
  <si>
    <t xml:space="preserve">https://newsroom.porsche.com/dam/jcr:c96cbebc-3745-4700-b385-981a9c4fe91d/pag-taycan-turbo-gt-weissachpaket-td-en.pdf</t>
  </si>
  <si>
    <t xml:space="preserve">Audi RS e-tron GT performance – WLTP 533–592 km, anvelope, S = 2,35 m²</t>
  </si>
  <si>
    <t xml:space="preserve">Audi MediaCenter – date tehnice (PDF)</t>
  </si>
  <si>
    <t xml:space="preserve">https://uploads.audi-mediacenter.com/system/production/car_motorizations/1392/file_en/91bfc69ec55530e277b5023245b77c1c82772920/eTD-Audi-RS-e-tron-GT-performance-550kW_250515.pdf</t>
  </si>
  <si>
    <t xml:space="preserve">Lotus Emeya R – WLTP 435–485 km</t>
  </si>
  <si>
    <t xml:space="preserve">Lotus – presă, specificații tehnice Emeya</t>
  </si>
  <si>
    <t xml:space="preserve">https://www.lotuscars.com/en/press/models/emeya</t>
  </si>
  <si>
    <t xml:space="preserve">Tesla Model S Plaid – WLTP 600–611 km, 18,0–18,7 kWh/100 km (S)</t>
  </si>
  <si>
    <t xml:space="preserve">EV Database (tesla.com blochează accesul)</t>
  </si>
  <si>
    <t xml:space="preserve">https://ev-database.org/car/3384/Tesla-Model-S-Plaid</t>
  </si>
  <si>
    <t xml:space="preserve">Lucid Air Sapphire – WLTP 694 km, 19,1 kWh/100 km</t>
  </si>
  <si>
    <t xml:space="preserve">Lucid – pagina Air (Germania)</t>
  </si>
  <si>
    <t xml:space="preserve">https://lucidmotors.com/de-de/air</t>
  </si>
  <si>
    <t xml:space="preserve">Lucid Air Sapphire – anvelope 295/30R21 spate</t>
  </si>
  <si>
    <t xml:space="preserve">Lucid – fișă tehnică 2024 (PDF)</t>
  </si>
  <si>
    <t xml:space="preserve">https://lucidmotors.com/media/document/lucid-air-sapphire-technical-specs-2024.pdf</t>
  </si>
  <si>
    <t xml:space="preserve">Xiaomi SU7 Ultra – CLTC 555–630 km</t>
  </si>
  <si>
    <t xml:space="preserve">Xiaomi – tabel de parametri SU7 Ultra</t>
  </si>
  <si>
    <t xml:space="preserve">https://www.xiaomiev.com/car-config?carItemId=500010402</t>
  </si>
  <si>
    <t xml:space="preserve">Xiaomi SU7 Ultra – consum 16,5 kWh/100 km CLTC (S)</t>
  </si>
  <si>
    <t xml:space="preserve">CarNewsChina – baza de date</t>
  </si>
  <si>
    <t xml:space="preserve">https://data.carnewschina.com/xiaomi-auto/su7-ultra/2025/params</t>
  </si>
  <si>
    <t xml:space="preserve">Yangwang U9 – CLTC 450 km</t>
  </si>
  <si>
    <t xml:space="preserve">Yangwang – broșura U9 (PDF, 23.12.2025)</t>
  </si>
  <si>
    <t xml:space="preserve">https://www.yangwangauto.com/material/yangwang_cn/images/u9/2025-12-23/U9%E8%BD%A6%E4%B9%A620251223.pdf</t>
  </si>
  <si>
    <t xml:space="preserve">Rimac Nevera – WLTP 489 km, 30,0 kWh/100 km, anvelope 315/35 R20</t>
  </si>
  <si>
    <t xml:space="preserve">Rimac – pagina Nevera</t>
  </si>
  <si>
    <t xml:space="preserve">https://www.rimac-automobili.com/nevera/</t>
  </si>
  <si>
    <t xml:space="preserve">Maserati GranTurismo Folgore – WLTP 450–459 km, 21,9–22,3 kWh/100 km (S)</t>
  </si>
  <si>
    <t xml:space="preserve">EV Database (maserati.com blochează accesul)</t>
  </si>
  <si>
    <t xml:space="preserve">https://ev-database.org/car/1803/Maserati-GranTurismo-Folgore</t>
  </si>
  <si>
    <t xml:space="preserve">Celula Molicel INR-21700-P50B</t>
  </si>
  <si>
    <t xml:space="preserve">Molicel – Product Data Sheet v1.1 (PDF)</t>
  </si>
  <si>
    <t xml:space="preserve">Celule analizate: Molicel P45B</t>
  </si>
  <si>
    <t xml:space="preserve">Molicel – Product Data Sheet v1.4 (PDF)</t>
  </si>
  <si>
    <t xml:space="preserve">https://www.molicel.com/wp-content/uploads/INR21700P45B_1.4_Product-Data-Sheet-of-INR-21700-P45B-80109.pdf</t>
  </si>
  <si>
    <t xml:space="preserve">Metoda de calcul</t>
  </si>
  <si>
    <t xml:space="preserve">Suport curs CCA – Proiect P2 (07.10.2026) și P3 (14.10.2026)</t>
  </si>
  <si>
    <t xml:space="preserve">–</t>
  </si>
</sst>
</file>

<file path=xl/styles.xml><?xml version="1.0" encoding="utf-8"?>
<styleSheet xmlns="http://schemas.openxmlformats.org/spreadsheetml/2006/main">
  <numFmts count="11">
    <numFmt numFmtId="164" formatCode="General"/>
    <numFmt numFmtId="165" formatCode="0.000"/>
    <numFmt numFmtId="166" formatCode="0.000E+00"/>
    <numFmt numFmtId="167" formatCode="0.00"/>
    <numFmt numFmtId="168" formatCode="General"/>
    <numFmt numFmtId="169" formatCode="0.0"/>
    <numFmt numFmtId="170" formatCode="0"/>
    <numFmt numFmtId="171" formatCode="0.00000"/>
    <numFmt numFmtId="172" formatCode="@"/>
    <numFmt numFmtId="173" formatCode="0.0000"/>
    <numFmt numFmtId="174" formatCode="0.000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0"/>
      <name val="Arial"/>
      <family val="0"/>
      <charset val="1"/>
    </font>
    <font>
      <u val="single"/>
      <sz val="10"/>
      <color rgb="FF0563C1"/>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FFF2C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right" vertical="bottom" textRotation="0" wrapText="false" indent="0" shrinkToFit="false"/>
      <protection locked="true" hidden="false"/>
    </xf>
    <xf numFmtId="170" fontId="9" fillId="0" borderId="1" xfId="0" applyFont="true" applyBorder="true" applyAlignment="true" applyProtection="false">
      <alignment horizontal="right" vertical="bottom" textRotation="0" wrapText="false" indent="0" shrinkToFit="false"/>
      <protection locked="true" hidden="false"/>
    </xf>
    <xf numFmtId="171" fontId="9" fillId="0" borderId="1" xfId="0" applyFont="true" applyBorder="tru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72" fontId="9"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73" fontId="7" fillId="0" borderId="1" xfId="0" applyFont="true" applyBorder="true" applyAlignment="true" applyProtection="false">
      <alignment horizontal="general" vertical="top" textRotation="0" wrapText="tru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72" fontId="7" fillId="0"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70" fontId="9" fillId="4" borderId="1" xfId="0" applyFont="true" applyBorder="true" applyAlignment="true" applyProtection="false">
      <alignment horizontal="general" vertical="top" textRotation="0" wrapText="true" indent="0" shrinkToFit="false"/>
      <protection locked="true" hidden="false"/>
    </xf>
    <xf numFmtId="171" fontId="9" fillId="4" borderId="1" xfId="0" applyFont="true" applyBorder="true" applyAlignment="true" applyProtection="false">
      <alignment horizontal="general" vertical="top" textRotation="0" wrapText="true" indent="0" shrinkToFit="false"/>
      <protection locked="true" hidden="false"/>
    </xf>
    <xf numFmtId="169" fontId="9" fillId="4" borderId="1" xfId="0" applyFont="tru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55555"/>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www.molicel.com/wp-content/uploads/4.TR&#31777;&#26131;&#35215;&#26684;_INR21700P50B_1.1_Product-Data-Sheet-of-INR-21700-P50B-80122.pdf"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media.mercedes-benz.com/en/article/c8b7109f-2287-4070-b776-9204da1513ef" TargetMode="External"/><Relationship Id="rId2" Type="http://schemas.openxmlformats.org/officeDocument/2006/relationships/hyperlink" Target="https://newsroom.porsche.com/dam/jcr:c96cbebc-3745-4700-b385-981a9c4fe91d/pag-taycan-turbo-gt-weissachpaket-td-en.pdf" TargetMode="External"/><Relationship Id="rId3" Type="http://schemas.openxmlformats.org/officeDocument/2006/relationships/hyperlink" Target="https://uploads.audi-mediacenter.com/system/production/car_motorizations/1392/file_en/91bfc69ec55530e277b5023245b77c1c82772920/eTD-Audi-RS-e-tron-GT-performance-550kW_250515.pdf" TargetMode="External"/><Relationship Id="rId4" Type="http://schemas.openxmlformats.org/officeDocument/2006/relationships/hyperlink" Target="https://www.lotuscars.com/en/press/models/emeya" TargetMode="External"/><Relationship Id="rId5" Type="http://schemas.openxmlformats.org/officeDocument/2006/relationships/hyperlink" Target="https://ev-database.org/car/3384/Tesla-Model-S-Plaid" TargetMode="External"/><Relationship Id="rId6" Type="http://schemas.openxmlformats.org/officeDocument/2006/relationships/hyperlink" Target="https://lucidmotors.com/de-de/air" TargetMode="External"/><Relationship Id="rId7" Type="http://schemas.openxmlformats.org/officeDocument/2006/relationships/hyperlink" Target="https://lucidmotors.com/media/document/lucid-air-sapphire-technical-specs-2024.pdf" TargetMode="External"/><Relationship Id="rId8" Type="http://schemas.openxmlformats.org/officeDocument/2006/relationships/hyperlink" Target="https://www.xiaomiev.com/car-config?carItemId=500010402" TargetMode="External"/><Relationship Id="rId9" Type="http://schemas.openxmlformats.org/officeDocument/2006/relationships/hyperlink" Target="https://data.carnewschina.com/xiaomi-auto/su7-ultra/2025/params" TargetMode="External"/><Relationship Id="rId10" Type="http://schemas.openxmlformats.org/officeDocument/2006/relationships/hyperlink" Target="https://www.yangwangauto.com/material/yangwang_cn/images/u9/2025-12-23/U9&#36710;&#20070;20251223.pdf" TargetMode="External"/><Relationship Id="rId11" Type="http://schemas.openxmlformats.org/officeDocument/2006/relationships/hyperlink" Target="https://www.rimac-automobili.com/nevera/" TargetMode="External"/><Relationship Id="rId12" Type="http://schemas.openxmlformats.org/officeDocument/2006/relationships/hyperlink" Target="https://ev-database.org/car/1803/Maserati-GranTurismo-Folgore" TargetMode="External"/><Relationship Id="rId13" Type="http://schemas.openxmlformats.org/officeDocument/2006/relationships/hyperlink" Target="https://www.molicel.com/wp-content/uploads/4.TR&#31777;&#26131;&#35215;&#26684;_INR21700P50B_1.1_Product-Data-Sheet-of-INR-21700-P50B-80122.pdf" TargetMode="External"/><Relationship Id="rId14" Type="http://schemas.openxmlformats.org/officeDocument/2006/relationships/hyperlink" Target="https://www.molicel.com/wp-content/uploads/INR21700P45B_1.4_Product-Data-Sheet-of-INR-21700-P45B-80109.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4" min="3" style="0" width="9"/>
    <col collapsed="false" customWidth="true" hidden="false" outlineLevel="0" max="5" min="5" style="0" width="8"/>
    <col collapsed="false" customWidth="true" hidden="false" outlineLevel="0" max="9" min="6" style="0" width="9"/>
    <col collapsed="false" customWidth="true" hidden="false" outlineLevel="0" max="11" min="10" style="0" width="10"/>
    <col collapsed="false" customWidth="true" hidden="false" outlineLevel="0" max="12" min="12" style="0" width="8"/>
    <col collapsed="false" customWidth="true" hidden="false" outlineLevel="0" max="14" min="13" style="0" width="10"/>
    <col collapsed="false" customWidth="true" hidden="false" outlineLevel="0" max="16" min="15" style="0" width="7"/>
    <col collapsed="false" customWidth="true" hidden="false" outlineLevel="0" max="17" min="17" style="0" width="10"/>
    <col collapsed="false" customWidth="true" hidden="false" outlineLevel="0" max="19" min="18" style="0" width="7"/>
    <col collapsed="false" customWidth="true" hidden="false" outlineLevel="0" max="20" min="20" style="0" width="12"/>
    <col collapsed="false" customWidth="true" hidden="false" outlineLevel="0" max="22" min="21" style="0" width="9"/>
    <col collapsed="false" customWidth="true" hidden="false" outlineLevel="0" max="23" min="23" style="0" width="13"/>
    <col collapsed="false" customWidth="true" hidden="false" outlineLevel="0" max="25" min="24" style="0" width="10"/>
    <col collapsed="false" customWidth="true" hidden="false" outlineLevel="0" max="27" min="26" style="0" width="9"/>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54" hidden="false" customHeight="true" outlineLevel="0" collapsed="false">
      <c r="A5" s="3" t="s">
        <v>3</v>
      </c>
      <c r="B5" s="3" t="s">
        <v>4</v>
      </c>
      <c r="C5" s="3" t="s">
        <v>5</v>
      </c>
      <c r="D5" s="3" t="s">
        <v>6</v>
      </c>
      <c r="E5" s="3" t="s">
        <v>7</v>
      </c>
      <c r="F5" s="3" t="s">
        <v>8</v>
      </c>
      <c r="G5" s="3" t="s">
        <v>9</v>
      </c>
      <c r="H5" s="3" t="s">
        <v>10</v>
      </c>
      <c r="I5" s="3" t="s">
        <v>11</v>
      </c>
      <c r="J5" s="3" t="s">
        <v>12</v>
      </c>
      <c r="K5" s="3" t="s">
        <v>13</v>
      </c>
      <c r="L5" s="3" t="s">
        <v>14</v>
      </c>
      <c r="M5" s="3" t="s">
        <v>15</v>
      </c>
      <c r="N5" s="3" t="s">
        <v>16</v>
      </c>
      <c r="O5" s="3" t="s">
        <v>17</v>
      </c>
      <c r="P5" s="3" t="s">
        <v>18</v>
      </c>
      <c r="Q5" s="3" t="s">
        <v>19</v>
      </c>
      <c r="R5" s="3" t="s">
        <v>20</v>
      </c>
      <c r="S5" s="3" t="s">
        <v>21</v>
      </c>
      <c r="T5" s="3" t="s">
        <v>22</v>
      </c>
      <c r="U5" s="3" t="s">
        <v>23</v>
      </c>
      <c r="V5" s="3" t="s">
        <v>24</v>
      </c>
      <c r="W5" s="3" t="s">
        <v>25</v>
      </c>
      <c r="X5" s="3" t="s">
        <v>26</v>
      </c>
      <c r="Y5" s="3" t="s">
        <v>27</v>
      </c>
      <c r="Z5" s="3" t="s">
        <v>28</v>
      </c>
      <c r="AA5" s="3" t="s">
        <v>29</v>
      </c>
    </row>
    <row r="6" customFormat="false" ht="23.85" hidden="false" customHeight="false" outlineLevel="0" collapsed="false">
      <c r="A6" s="4" t="n">
        <v>1</v>
      </c>
      <c r="B6" s="5" t="s">
        <v>30</v>
      </c>
      <c r="C6" s="5" t="n">
        <v>860</v>
      </c>
      <c r="D6" s="5" t="n">
        <v>300</v>
      </c>
      <c r="E6" s="5" t="n">
        <v>2.4</v>
      </c>
      <c r="F6" s="5" t="n">
        <v>100</v>
      </c>
      <c r="G6" s="5" t="n">
        <v>2460</v>
      </c>
      <c r="H6" s="5" t="n">
        <v>2000</v>
      </c>
      <c r="I6" s="5" t="n">
        <v>106</v>
      </c>
      <c r="J6" s="5" t="n">
        <v>596</v>
      </c>
      <c r="K6" s="5" t="n">
        <v>696</v>
      </c>
      <c r="L6" s="5" t="s">
        <v>31</v>
      </c>
      <c r="M6" s="5" t="n">
        <v>17.9</v>
      </c>
      <c r="N6" s="5" t="n">
        <v>21</v>
      </c>
      <c r="O6" s="6" t="n">
        <v>0.22</v>
      </c>
      <c r="P6" s="5" t="n">
        <v>2.44</v>
      </c>
      <c r="Q6" s="5"/>
      <c r="R6" s="5"/>
      <c r="S6" s="5"/>
      <c r="T6" s="7" t="n">
        <f aca="false">C6*1000</f>
        <v>860000</v>
      </c>
      <c r="U6" s="8" t="n">
        <f aca="false">D6/3.6</f>
        <v>83.3333333333333</v>
      </c>
      <c r="V6" s="8" t="n">
        <f aca="false">(F6/3.6)/E6</f>
        <v>11.5740740740741</v>
      </c>
      <c r="W6" s="7" t="n">
        <f aca="false">I6*3600000</f>
        <v>381600000</v>
      </c>
      <c r="X6" s="8" t="n">
        <f aca="false">IF(COUNT(J6,K6)&lt;2,"",AVERAGE(J6,K6))</f>
        <v>646</v>
      </c>
      <c r="Y6" s="8" t="n">
        <f aca="false">IF(COUNT(M6,N6)&lt;2,"",AVERAGE(M6,N6))</f>
        <v>19.45</v>
      </c>
      <c r="Z6" s="8" t="n">
        <f aca="false">IF(Y6="","",Y6/100*3600)</f>
        <v>700.2</v>
      </c>
      <c r="AA6" s="9" t="str">
        <f aca="false">IF(COUNT(Q6,R6,S6)&lt;3,"",(S6*25.4/2+Q6*R6/100)/1000)</f>
        <v/>
      </c>
    </row>
    <row r="7" customFormat="false" ht="15" hidden="false" customHeight="false" outlineLevel="0" collapsed="false">
      <c r="A7" s="10" t="n">
        <v>2</v>
      </c>
      <c r="B7" s="11" t="s">
        <v>32</v>
      </c>
      <c r="C7" s="11" t="n">
        <v>760</v>
      </c>
      <c r="D7" s="11" t="n">
        <v>305</v>
      </c>
      <c r="E7" s="11" t="n">
        <v>2.2</v>
      </c>
      <c r="F7" s="11" t="n">
        <v>100</v>
      </c>
      <c r="G7" s="11" t="n">
        <v>2220</v>
      </c>
      <c r="H7" s="11" t="n">
        <v>1240</v>
      </c>
      <c r="I7" s="11" t="n">
        <v>97</v>
      </c>
      <c r="J7" s="11" t="n">
        <v>538</v>
      </c>
      <c r="K7" s="11" t="n">
        <v>555</v>
      </c>
      <c r="L7" s="11" t="s">
        <v>31</v>
      </c>
      <c r="M7" s="11" t="n">
        <v>20.6</v>
      </c>
      <c r="N7" s="11" t="n">
        <v>21.3</v>
      </c>
      <c r="O7" s="12" t="n">
        <v>0.31</v>
      </c>
      <c r="P7" s="11" t="n">
        <v>2.35</v>
      </c>
      <c r="Q7" s="11" t="n">
        <v>305</v>
      </c>
      <c r="R7" s="11" t="n">
        <v>30</v>
      </c>
      <c r="S7" s="11" t="n">
        <v>21</v>
      </c>
      <c r="T7" s="13" t="n">
        <f aca="false">C7*1000</f>
        <v>760000</v>
      </c>
      <c r="U7" s="14" t="n">
        <f aca="false">D7/3.6</f>
        <v>84.7222222222222</v>
      </c>
      <c r="V7" s="14" t="n">
        <f aca="false">(F7/3.6)/E7</f>
        <v>12.6262626262626</v>
      </c>
      <c r="W7" s="13" t="n">
        <f aca="false">I7*3600000</f>
        <v>349200000</v>
      </c>
      <c r="X7" s="14" t="n">
        <f aca="false">IF(COUNT(J7,K7)&lt;2,"",AVERAGE(J7,K7))</f>
        <v>546.5</v>
      </c>
      <c r="Y7" s="14" t="n">
        <f aca="false">IF(COUNT(M7,N7)&lt;2,"",AVERAGE(M7,N7))</f>
        <v>20.95</v>
      </c>
      <c r="Z7" s="14" t="n">
        <f aca="false">IF(Y7="","",Y7/100*3600)</f>
        <v>754.2</v>
      </c>
      <c r="AA7" s="15" t="n">
        <f aca="false">IF(COUNT(Q7,R7,S7)&lt;3,"",(S7*25.4/2+Q7*R7/100)/1000)</f>
        <v>0.3582</v>
      </c>
    </row>
    <row r="8" customFormat="false" ht="15" hidden="false" customHeight="false" outlineLevel="0" collapsed="false">
      <c r="A8" s="10" t="n">
        <v>3</v>
      </c>
      <c r="B8" s="11" t="s">
        <v>33</v>
      </c>
      <c r="C8" s="11" t="n">
        <v>680</v>
      </c>
      <c r="D8" s="11" t="n">
        <v>250</v>
      </c>
      <c r="E8" s="11" t="n">
        <v>2.5</v>
      </c>
      <c r="F8" s="11" t="n">
        <v>100</v>
      </c>
      <c r="G8" s="11" t="n">
        <v>2320</v>
      </c>
      <c r="H8" s="11" t="n">
        <v>1027</v>
      </c>
      <c r="I8" s="11" t="n">
        <v>97</v>
      </c>
      <c r="J8" s="11" t="n">
        <v>533</v>
      </c>
      <c r="K8" s="11" t="n">
        <v>592</v>
      </c>
      <c r="L8" s="11" t="s">
        <v>31</v>
      </c>
      <c r="M8" s="11" t="n">
        <v>18.7</v>
      </c>
      <c r="N8" s="11" t="n">
        <v>20.8</v>
      </c>
      <c r="O8" s="12" t="n">
        <v>0.26</v>
      </c>
      <c r="P8" s="11" t="n">
        <v>2.35</v>
      </c>
      <c r="Q8" s="11" t="n">
        <v>285</v>
      </c>
      <c r="R8" s="11" t="n">
        <v>40</v>
      </c>
      <c r="S8" s="11" t="n">
        <v>20</v>
      </c>
      <c r="T8" s="13" t="n">
        <f aca="false">C8*1000</f>
        <v>680000</v>
      </c>
      <c r="U8" s="14" t="n">
        <f aca="false">D8/3.6</f>
        <v>69.4444444444444</v>
      </c>
      <c r="V8" s="14" t="n">
        <f aca="false">(F8/3.6)/E8</f>
        <v>11.1111111111111</v>
      </c>
      <c r="W8" s="13" t="n">
        <f aca="false">I8*3600000</f>
        <v>349200000</v>
      </c>
      <c r="X8" s="14" t="n">
        <f aca="false">IF(COUNT(J8,K8)&lt;2,"",AVERAGE(J8,K8))</f>
        <v>562.5</v>
      </c>
      <c r="Y8" s="14" t="n">
        <f aca="false">IF(COUNT(M8,N8)&lt;2,"",AVERAGE(M8,N8))</f>
        <v>19.75</v>
      </c>
      <c r="Z8" s="14" t="n">
        <f aca="false">IF(Y8="","",Y8/100*3600)</f>
        <v>711</v>
      </c>
      <c r="AA8" s="15" t="n">
        <f aca="false">IF(COUNT(Q8,R8,S8)&lt;3,"",(S8*25.4/2+Q8*R8/100)/1000)</f>
        <v>0.368</v>
      </c>
    </row>
    <row r="9" customFormat="false" ht="15" hidden="false" customHeight="false" outlineLevel="0" collapsed="false">
      <c r="A9" s="10" t="n">
        <v>4</v>
      </c>
      <c r="B9" s="11" t="s">
        <v>34</v>
      </c>
      <c r="C9" s="11" t="n">
        <v>675</v>
      </c>
      <c r="D9" s="11" t="n">
        <v>256</v>
      </c>
      <c r="E9" s="11" t="n">
        <v>2.78</v>
      </c>
      <c r="F9" s="11" t="n">
        <v>100</v>
      </c>
      <c r="G9" s="11" t="n">
        <v>2565</v>
      </c>
      <c r="H9" s="11" t="n">
        <v>985</v>
      </c>
      <c r="I9" s="11" t="n">
        <v>102</v>
      </c>
      <c r="J9" s="11" t="n">
        <v>435</v>
      </c>
      <c r="K9" s="11" t="n">
        <v>485</v>
      </c>
      <c r="L9" s="11" t="s">
        <v>31</v>
      </c>
      <c r="M9" s="11"/>
      <c r="N9" s="11"/>
      <c r="O9" s="12"/>
      <c r="P9" s="11"/>
      <c r="Q9" s="11"/>
      <c r="R9" s="11"/>
      <c r="S9" s="11"/>
      <c r="T9" s="13" t="n">
        <f aca="false">C9*1000</f>
        <v>675000</v>
      </c>
      <c r="U9" s="14" t="n">
        <f aca="false">D9/3.6</f>
        <v>71.1111111111111</v>
      </c>
      <c r="V9" s="14" t="n">
        <f aca="false">(F9/3.6)/E9</f>
        <v>9.99200639488409</v>
      </c>
      <c r="W9" s="13" t="n">
        <f aca="false">I9*3600000</f>
        <v>367200000</v>
      </c>
      <c r="X9" s="14" t="n">
        <f aca="false">IF(COUNT(J9,K9)&lt;2,"",AVERAGE(J9,K9))</f>
        <v>460</v>
      </c>
      <c r="Y9" s="14" t="str">
        <f aca="false">IF(COUNT(M9,N9)&lt;2,"",AVERAGE(M9,N9))</f>
        <v/>
      </c>
      <c r="Z9" s="14" t="str">
        <f aca="false">IF(Y9="","",Y9/100*3600)</f>
        <v/>
      </c>
      <c r="AA9" s="15" t="str">
        <f aca="false">IF(COUNT(Q9,R9,S9)&lt;3,"",(S9*25.4/2+Q9*R9/100)/1000)</f>
        <v/>
      </c>
    </row>
    <row r="10" customFormat="false" ht="15" hidden="false" customHeight="false" outlineLevel="0" collapsed="false">
      <c r="A10" s="10" t="n">
        <v>5</v>
      </c>
      <c r="B10" s="11" t="s">
        <v>35</v>
      </c>
      <c r="C10" s="11" t="n">
        <v>760</v>
      </c>
      <c r="D10" s="11" t="n">
        <v>322</v>
      </c>
      <c r="E10" s="11" t="n">
        <v>2.1</v>
      </c>
      <c r="F10" s="11" t="n">
        <v>100</v>
      </c>
      <c r="G10" s="11" t="n">
        <v>2178</v>
      </c>
      <c r="H10" s="11" t="n">
        <v>1420</v>
      </c>
      <c r="I10" s="11" t="n">
        <v>96</v>
      </c>
      <c r="J10" s="11" t="n">
        <v>600</v>
      </c>
      <c r="K10" s="11" t="n">
        <v>611</v>
      </c>
      <c r="L10" s="11" t="s">
        <v>31</v>
      </c>
      <c r="M10" s="11" t="n">
        <v>18</v>
      </c>
      <c r="N10" s="11" t="n">
        <v>18.7</v>
      </c>
      <c r="O10" s="12" t="n">
        <v>0.208</v>
      </c>
      <c r="P10" s="11"/>
      <c r="Q10" s="11"/>
      <c r="R10" s="11"/>
      <c r="S10" s="11"/>
      <c r="T10" s="13" t="n">
        <f aca="false">C10*1000</f>
        <v>760000</v>
      </c>
      <c r="U10" s="14" t="n">
        <f aca="false">D10/3.6</f>
        <v>89.4444444444444</v>
      </c>
      <c r="V10" s="14" t="n">
        <f aca="false">(F10/3.6)/E10</f>
        <v>13.2275132275132</v>
      </c>
      <c r="W10" s="13" t="n">
        <f aca="false">I10*3600000</f>
        <v>345600000</v>
      </c>
      <c r="X10" s="14" t="n">
        <f aca="false">IF(COUNT(J10,K10)&lt;2,"",AVERAGE(J10,K10))</f>
        <v>605.5</v>
      </c>
      <c r="Y10" s="14" t="n">
        <f aca="false">IF(COUNT(M10,N10)&lt;2,"",AVERAGE(M10,N10))</f>
        <v>18.35</v>
      </c>
      <c r="Z10" s="14" t="n">
        <f aca="false">IF(Y10="","",Y10/100*3600)</f>
        <v>660.6</v>
      </c>
      <c r="AA10" s="15" t="str">
        <f aca="false">IF(COUNT(Q10,R10,S10)&lt;3,"",(S10*25.4/2+Q10*R10/100)/1000)</f>
        <v/>
      </c>
    </row>
    <row r="11" customFormat="false" ht="15" hidden="false" customHeight="false" outlineLevel="0" collapsed="false">
      <c r="A11" s="10" t="n">
        <v>6</v>
      </c>
      <c r="B11" s="11" t="s">
        <v>36</v>
      </c>
      <c r="C11" s="11" t="n">
        <v>908</v>
      </c>
      <c r="D11" s="11" t="n">
        <v>330</v>
      </c>
      <c r="E11" s="11" t="n">
        <v>1.89</v>
      </c>
      <c r="F11" s="11" t="n">
        <v>96.56</v>
      </c>
      <c r="G11" s="11" t="n">
        <v>2420</v>
      </c>
      <c r="H11" s="11" t="n">
        <v>1940</v>
      </c>
      <c r="I11" s="11" t="n">
        <v>118</v>
      </c>
      <c r="J11" s="11" t="n">
        <v>694</v>
      </c>
      <c r="K11" s="11" t="n">
        <v>694</v>
      </c>
      <c r="L11" s="11" t="s">
        <v>31</v>
      </c>
      <c r="M11" s="11" t="n">
        <v>19.1</v>
      </c>
      <c r="N11" s="11" t="n">
        <v>19.1</v>
      </c>
      <c r="O11" s="12"/>
      <c r="P11" s="11"/>
      <c r="Q11" s="11" t="n">
        <v>295</v>
      </c>
      <c r="R11" s="11" t="n">
        <v>30</v>
      </c>
      <c r="S11" s="11" t="n">
        <v>21</v>
      </c>
      <c r="T11" s="13" t="n">
        <f aca="false">C11*1000</f>
        <v>908000</v>
      </c>
      <c r="U11" s="14" t="n">
        <f aca="false">D11/3.6</f>
        <v>91.6666666666667</v>
      </c>
      <c r="V11" s="14" t="n">
        <f aca="false">(F11/3.6)/E11</f>
        <v>14.1916519694298</v>
      </c>
      <c r="W11" s="13" t="n">
        <f aca="false">I11*3600000</f>
        <v>424800000</v>
      </c>
      <c r="X11" s="14" t="n">
        <f aca="false">IF(COUNT(J11,K11)&lt;2,"",AVERAGE(J11,K11))</f>
        <v>694</v>
      </c>
      <c r="Y11" s="14" t="n">
        <f aca="false">IF(COUNT(M11,N11)&lt;2,"",AVERAGE(M11,N11))</f>
        <v>19.1</v>
      </c>
      <c r="Z11" s="14" t="n">
        <f aca="false">IF(Y11="","",Y11/100*3600)</f>
        <v>687.6</v>
      </c>
      <c r="AA11" s="15" t="n">
        <f aca="false">IF(COUNT(Q11,R11,S11)&lt;3,"",(S11*25.4/2+Q11*R11/100)/1000)</f>
        <v>0.3552</v>
      </c>
    </row>
    <row r="12" customFormat="false" ht="15" hidden="false" customHeight="false" outlineLevel="0" collapsed="false">
      <c r="A12" s="10" t="n">
        <v>7</v>
      </c>
      <c r="B12" s="11" t="s">
        <v>37</v>
      </c>
      <c r="C12" s="11" t="n">
        <v>1138</v>
      </c>
      <c r="D12" s="11" t="n">
        <v>350</v>
      </c>
      <c r="E12" s="11" t="n">
        <v>1.98</v>
      </c>
      <c r="F12" s="11" t="n">
        <v>100</v>
      </c>
      <c r="G12" s="11" t="n">
        <v>2360</v>
      </c>
      <c r="H12" s="11" t="n">
        <v>1770</v>
      </c>
      <c r="I12" s="11" t="n">
        <v>93.7</v>
      </c>
      <c r="J12" s="11" t="n">
        <v>555</v>
      </c>
      <c r="K12" s="11" t="n">
        <v>630</v>
      </c>
      <c r="L12" s="11" t="s">
        <v>38</v>
      </c>
      <c r="M12" s="11" t="n">
        <v>16.5</v>
      </c>
      <c r="N12" s="11" t="n">
        <v>16.5</v>
      </c>
      <c r="O12" s="12"/>
      <c r="P12" s="11"/>
      <c r="Q12" s="11"/>
      <c r="R12" s="11"/>
      <c r="S12" s="11"/>
      <c r="T12" s="13" t="n">
        <f aca="false">C12*1000</f>
        <v>1138000</v>
      </c>
      <c r="U12" s="14" t="n">
        <f aca="false">D12/3.6</f>
        <v>97.2222222222222</v>
      </c>
      <c r="V12" s="14" t="n">
        <f aca="false">(F12/3.6)/E12</f>
        <v>14.0291806958474</v>
      </c>
      <c r="W12" s="13" t="n">
        <f aca="false">I12*3600000</f>
        <v>337320000</v>
      </c>
      <c r="X12" s="14" t="n">
        <f aca="false">IF(COUNT(J12,K12)&lt;2,"",AVERAGE(J12,K12))</f>
        <v>592.5</v>
      </c>
      <c r="Y12" s="14" t="n">
        <f aca="false">IF(COUNT(M12,N12)&lt;2,"",AVERAGE(M12,N12))</f>
        <v>16.5</v>
      </c>
      <c r="Z12" s="14" t="n">
        <f aca="false">IF(Y12="","",Y12/100*3600)</f>
        <v>594</v>
      </c>
      <c r="AA12" s="15" t="str">
        <f aca="false">IF(COUNT(Q12,R12,S12)&lt;3,"",(S12*25.4/2+Q12*R12/100)/1000)</f>
        <v/>
      </c>
    </row>
    <row r="13" customFormat="false" ht="15" hidden="false" customHeight="false" outlineLevel="0" collapsed="false">
      <c r="A13" s="10" t="n">
        <v>8</v>
      </c>
      <c r="B13" s="11" t="s">
        <v>39</v>
      </c>
      <c r="C13" s="11" t="n">
        <v>960</v>
      </c>
      <c r="D13" s="11" t="n">
        <v>309</v>
      </c>
      <c r="E13" s="11" t="n">
        <v>2.36</v>
      </c>
      <c r="F13" s="11" t="n">
        <v>100</v>
      </c>
      <c r="G13" s="11" t="n">
        <v>2475</v>
      </c>
      <c r="H13" s="11" t="n">
        <v>1680</v>
      </c>
      <c r="I13" s="11" t="n">
        <v>80</v>
      </c>
      <c r="J13" s="11" t="n">
        <v>450</v>
      </c>
      <c r="K13" s="11" t="n">
        <v>450</v>
      </c>
      <c r="L13" s="11" t="s">
        <v>38</v>
      </c>
      <c r="M13" s="11"/>
      <c r="N13" s="11"/>
      <c r="O13" s="12"/>
      <c r="P13" s="11"/>
      <c r="Q13" s="11"/>
      <c r="R13" s="11"/>
      <c r="S13" s="11"/>
      <c r="T13" s="13" t="n">
        <f aca="false">C13*1000</f>
        <v>960000</v>
      </c>
      <c r="U13" s="14" t="n">
        <f aca="false">D13/3.6</f>
        <v>85.8333333333333</v>
      </c>
      <c r="V13" s="14" t="n">
        <f aca="false">(F13/3.6)/E13</f>
        <v>11.7702448210923</v>
      </c>
      <c r="W13" s="13" t="n">
        <f aca="false">I13*3600000</f>
        <v>288000000</v>
      </c>
      <c r="X13" s="14" t="n">
        <f aca="false">IF(COUNT(J13,K13)&lt;2,"",AVERAGE(J13,K13))</f>
        <v>450</v>
      </c>
      <c r="Y13" s="14" t="str">
        <f aca="false">IF(COUNT(M13,N13)&lt;2,"",AVERAGE(M13,N13))</f>
        <v/>
      </c>
      <c r="Z13" s="14" t="str">
        <f aca="false">IF(Y13="","",Y13/100*3600)</f>
        <v/>
      </c>
      <c r="AA13" s="15" t="str">
        <f aca="false">IF(COUNT(Q13,R13,S13)&lt;3,"",(S13*25.4/2+Q13*R13/100)/1000)</f>
        <v/>
      </c>
    </row>
    <row r="14" customFormat="false" ht="15" hidden="false" customHeight="false" outlineLevel="0" collapsed="false">
      <c r="A14" s="10" t="n">
        <v>9</v>
      </c>
      <c r="B14" s="11" t="s">
        <v>40</v>
      </c>
      <c r="C14" s="11" t="n">
        <v>1408</v>
      </c>
      <c r="D14" s="11" t="n">
        <v>412</v>
      </c>
      <c r="E14" s="11" t="n">
        <v>1.81</v>
      </c>
      <c r="F14" s="11" t="n">
        <v>100</v>
      </c>
      <c r="G14" s="11" t="n">
        <v>2300</v>
      </c>
      <c r="H14" s="11" t="n">
        <v>2340</v>
      </c>
      <c r="I14" s="11" t="n">
        <v>120</v>
      </c>
      <c r="J14" s="11" t="n">
        <v>489</v>
      </c>
      <c r="K14" s="11" t="n">
        <v>489</v>
      </c>
      <c r="L14" s="11" t="s">
        <v>31</v>
      </c>
      <c r="M14" s="11" t="n">
        <v>30</v>
      </c>
      <c r="N14" s="11" t="n">
        <v>30</v>
      </c>
      <c r="O14" s="12" t="n">
        <v>0.3</v>
      </c>
      <c r="P14" s="11"/>
      <c r="Q14" s="11" t="n">
        <v>315</v>
      </c>
      <c r="R14" s="11" t="n">
        <v>35</v>
      </c>
      <c r="S14" s="11" t="n">
        <v>20</v>
      </c>
      <c r="T14" s="13" t="n">
        <f aca="false">C14*1000</f>
        <v>1408000</v>
      </c>
      <c r="U14" s="14" t="n">
        <f aca="false">D14/3.6</f>
        <v>114.444444444444</v>
      </c>
      <c r="V14" s="14" t="n">
        <f aca="false">(F14/3.6)/E14</f>
        <v>15.3468385512584</v>
      </c>
      <c r="W14" s="13" t="n">
        <f aca="false">I14*3600000</f>
        <v>432000000</v>
      </c>
      <c r="X14" s="14" t="n">
        <f aca="false">IF(COUNT(J14,K14)&lt;2,"",AVERAGE(J14,K14))</f>
        <v>489</v>
      </c>
      <c r="Y14" s="14" t="n">
        <f aca="false">IF(COUNT(M14,N14)&lt;2,"",AVERAGE(M14,N14))</f>
        <v>30</v>
      </c>
      <c r="Z14" s="14" t="n">
        <f aca="false">IF(Y14="","",Y14/100*3600)</f>
        <v>1080</v>
      </c>
      <c r="AA14" s="15" t="n">
        <f aca="false">IF(COUNT(Q14,R14,S14)&lt;3,"",(S14*25.4/2+Q14*R14/100)/1000)</f>
        <v>0.36425</v>
      </c>
    </row>
    <row r="15" customFormat="false" ht="15" hidden="false" customHeight="false" outlineLevel="0" collapsed="false">
      <c r="A15" s="10" t="n">
        <v>10</v>
      </c>
      <c r="B15" s="11" t="s">
        <v>41</v>
      </c>
      <c r="C15" s="11" t="n">
        <v>560</v>
      </c>
      <c r="D15" s="11" t="n">
        <v>325</v>
      </c>
      <c r="E15" s="11" t="n">
        <v>2.7</v>
      </c>
      <c r="F15" s="11" t="n">
        <v>100</v>
      </c>
      <c r="G15" s="11" t="n">
        <v>2260</v>
      </c>
      <c r="H15" s="11" t="n">
        <v>1350</v>
      </c>
      <c r="I15" s="11" t="n">
        <v>83</v>
      </c>
      <c r="J15" s="11" t="n">
        <v>450</v>
      </c>
      <c r="K15" s="11" t="n">
        <v>459</v>
      </c>
      <c r="L15" s="11" t="s">
        <v>31</v>
      </c>
      <c r="M15" s="11" t="n">
        <v>21.9</v>
      </c>
      <c r="N15" s="11" t="n">
        <v>22.3</v>
      </c>
      <c r="O15" s="12"/>
      <c r="P15" s="11"/>
      <c r="Q15" s="11"/>
      <c r="R15" s="11"/>
      <c r="S15" s="11"/>
      <c r="T15" s="13" t="n">
        <f aca="false">C15*1000</f>
        <v>560000</v>
      </c>
      <c r="U15" s="14" t="n">
        <f aca="false">D15/3.6</f>
        <v>90.2777777777778</v>
      </c>
      <c r="V15" s="14" t="n">
        <f aca="false">(F15/3.6)/E15</f>
        <v>10.2880658436214</v>
      </c>
      <c r="W15" s="13" t="n">
        <f aca="false">I15*3600000</f>
        <v>298800000</v>
      </c>
      <c r="X15" s="14" t="n">
        <f aca="false">IF(COUNT(J15,K15)&lt;2,"",AVERAGE(J15,K15))</f>
        <v>454.5</v>
      </c>
      <c r="Y15" s="14" t="n">
        <f aca="false">IF(COUNT(M15,N15)&lt;2,"",AVERAGE(M15,N15))</f>
        <v>22.1</v>
      </c>
      <c r="Z15" s="14" t="n">
        <f aca="false">IF(Y15="","",Y15/100*3600)</f>
        <v>795.6</v>
      </c>
      <c r="AA15" s="15" t="str">
        <f aca="false">IF(COUNT(Q15,R15,S15)&lt;3,"",(S15*25.4/2+Q15*R15/100)/1000)</f>
        <v/>
      </c>
    </row>
    <row r="16" customFormat="false" ht="15" hidden="false" customHeight="false" outlineLevel="0" collapsed="false">
      <c r="B16" s="16" t="s">
        <v>42</v>
      </c>
      <c r="C16" s="17" t="n">
        <f aca="false">AVERAGE(C6:C15)</f>
        <v>870.9</v>
      </c>
      <c r="D16" s="17" t="n">
        <f aca="false">AVERAGE(D6:D15)</f>
        <v>315.9</v>
      </c>
      <c r="E16" s="17" t="n">
        <f aca="false">AVERAGE(E6:E15)</f>
        <v>2.272</v>
      </c>
      <c r="F16" s="17" t="n">
        <f aca="false">AVERAGE(F6:F15)</f>
        <v>99.656</v>
      </c>
      <c r="G16" s="17" t="n">
        <f aca="false">AVERAGE(G6:G15)</f>
        <v>2355.8</v>
      </c>
      <c r="H16" s="17" t="n">
        <f aca="false">AVERAGE(H6:H15)</f>
        <v>1575.2</v>
      </c>
      <c r="I16" s="17" t="n">
        <f aca="false">AVERAGE(I6:I15)</f>
        <v>99.27</v>
      </c>
      <c r="J16" s="17" t="n">
        <f aca="false">AVERAGEIF(L6:L15,"WLTP",J6:J15)</f>
        <v>541.875</v>
      </c>
      <c r="K16" s="17" t="n">
        <f aca="false">AVERAGEIF(L6:L15,"WLTP",K6:K15)</f>
        <v>572.625</v>
      </c>
      <c r="M16" s="17" t="n">
        <f aca="false">AVERAGEIF(L6:L15,"WLTP",M6:M15)</f>
        <v>20.8857142857143</v>
      </c>
      <c r="N16" s="17" t="n">
        <f aca="false">AVERAGEIF(L6:L15,"WLTP",N6:N15)</f>
        <v>21.8857142857143</v>
      </c>
      <c r="O16" s="18" t="n">
        <f aca="false">AVERAGE(O6:O15)</f>
        <v>0.2596</v>
      </c>
      <c r="P16" s="17" t="n">
        <f aca="false">AVERAGE(P6:P15)</f>
        <v>2.38</v>
      </c>
      <c r="Q16" s="17" t="n">
        <f aca="false">AVERAGE(Q6:Q15)</f>
        <v>300</v>
      </c>
      <c r="R16" s="17" t="n">
        <f aca="false">AVERAGE(R6:R15)</f>
        <v>33.75</v>
      </c>
      <c r="S16" s="17" t="n">
        <f aca="false">AVERAGE(S6:S15)</f>
        <v>20.5</v>
      </c>
      <c r="T16" s="19" t="n">
        <f aca="false">AVERAGE(T6:T15)</f>
        <v>870900</v>
      </c>
      <c r="U16" s="20" t="n">
        <f aca="false">AVERAGE(U6:U15)</f>
        <v>87.75</v>
      </c>
      <c r="V16" s="20" t="n">
        <f aca="false">AVERAGE(V6:V15)</f>
        <v>12.4156949315094</v>
      </c>
      <c r="W16" s="19" t="n">
        <f aca="false">AVERAGE(W6:W15)</f>
        <v>357372000</v>
      </c>
      <c r="X16" s="20" t="n">
        <f aca="false">AVERAGEIF(L6:L15,"WLTP",X6:X15)</f>
        <v>557.25</v>
      </c>
      <c r="Y16" s="20" t="n">
        <f aca="false">AVERAGEIF(L6:L15,"WLTP",Y6:Y15)</f>
        <v>21.3857142857143</v>
      </c>
      <c r="Z16" s="20" t="n">
        <f aca="false">AVERAGEIF(L6:L15,"WLTP",Z6:Z15)</f>
        <v>769.885714285714</v>
      </c>
      <c r="AA16" s="18" t="n">
        <f aca="false">AVERAGE(AA6:AA15)</f>
        <v>0.3614125</v>
      </c>
    </row>
    <row r="17" customFormat="false" ht="15" hidden="false" customHeight="false" outlineLevel="0" collapsed="false">
      <c r="B17" s="2" t="s">
        <v>43</v>
      </c>
      <c r="C17" s="21" t="n">
        <f aca="false">COUNT(C6:C15)</f>
        <v>10</v>
      </c>
      <c r="D17" s="21" t="n">
        <f aca="false">COUNT(D6:D15)</f>
        <v>10</v>
      </c>
      <c r="E17" s="21" t="n">
        <f aca="false">COUNT(E6:E15)</f>
        <v>10</v>
      </c>
      <c r="F17" s="21" t="n">
        <f aca="false">COUNT(F6:F15)</f>
        <v>10</v>
      </c>
      <c r="G17" s="21" t="n">
        <f aca="false">COUNT(G6:G15)</f>
        <v>10</v>
      </c>
      <c r="H17" s="21" t="n">
        <f aca="false">COUNT(H6:H15)</f>
        <v>10</v>
      </c>
      <c r="I17" s="21" t="n">
        <f aca="false">COUNT(I6:I15)</f>
        <v>10</v>
      </c>
      <c r="J17" s="21" t="n">
        <f aca="false">COUNTIFS(L6:L15,"WLTP",J6:J15,"&gt;=0")</f>
        <v>8</v>
      </c>
      <c r="K17" s="21" t="n">
        <f aca="false">COUNTIFS(L6:L15,"WLTP",K6:K15,"&gt;=0")</f>
        <v>8</v>
      </c>
      <c r="M17" s="21" t="n">
        <f aca="false">COUNTIFS(L6:L15,"WLTP",M6:M15,"&gt;=0")</f>
        <v>7</v>
      </c>
      <c r="N17" s="21" t="n">
        <f aca="false">COUNTIFS(L6:L15,"WLTP",N6:N15,"&gt;=0")</f>
        <v>7</v>
      </c>
      <c r="O17" s="21" t="n">
        <f aca="false">COUNT(O6:O15)</f>
        <v>5</v>
      </c>
      <c r="P17" s="21" t="n">
        <f aca="false">COUNT(P6:P15)</f>
        <v>3</v>
      </c>
      <c r="Q17" s="21" t="n">
        <f aca="false">COUNT(Q6:Q15)</f>
        <v>4</v>
      </c>
      <c r="R17" s="21" t="n">
        <f aca="false">COUNT(R6:R15)</f>
        <v>4</v>
      </c>
      <c r="S17" s="21" t="n">
        <f aca="false">COUNT(S6:S15)</f>
        <v>4</v>
      </c>
      <c r="T17" s="21" t="n">
        <f aca="false">COUNT(T6:T15)</f>
        <v>10</v>
      </c>
      <c r="U17" s="21" t="n">
        <f aca="false">COUNT(U6:U15)</f>
        <v>10</v>
      </c>
      <c r="V17" s="21" t="n">
        <f aca="false">COUNT(V6:V15)</f>
        <v>10</v>
      </c>
      <c r="W17" s="21" t="n">
        <f aca="false">COUNT(W6:W15)</f>
        <v>10</v>
      </c>
      <c r="X17" s="21" t="n">
        <f aca="false">COUNTIFS(L6:L15,"WLTP",X6:X15,"&gt;=0")</f>
        <v>8</v>
      </c>
      <c r="Y17" s="21" t="n">
        <f aca="false">COUNTIFS(L6:L15,"WLTP",Y6:Y15,"&gt;=0")</f>
        <v>7</v>
      </c>
      <c r="Z17" s="21" t="n">
        <f aca="false">COUNTIFS(L6:L15,"WLTP",Z6:Z15,"&gt;=0")</f>
        <v>7</v>
      </c>
      <c r="AA17" s="21" t="n">
        <f aca="false">COUNT(AA6:AA15)</f>
        <v>4</v>
      </c>
    </row>
    <row r="19" customFormat="false" ht="15" hidden="false" customHeight="false" outlineLevel="0" collapsed="false">
      <c r="B19" s="2" t="s">
        <v>44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12"/>
    <col collapsed="false" customWidth="true" hidden="false" outlineLevel="0" max="5" min="4" style="0" width="16"/>
  </cols>
  <sheetData>
    <row r="1" customFormat="false" ht="17.35" hidden="false" customHeight="false" outlineLevel="0" collapsed="false">
      <c r="A1" s="1" t="s">
        <v>45</v>
      </c>
    </row>
    <row r="2" customFormat="false" ht="15" hidden="false" customHeight="false" outlineLevel="0" collapsed="false">
      <c r="A2" s="2" t="s">
        <v>46</v>
      </c>
    </row>
    <row r="4" customFormat="false" ht="15" hidden="false" customHeight="false" outlineLevel="0" collapsed="false">
      <c r="A4" s="3" t="s">
        <v>47</v>
      </c>
      <c r="B4" s="3" t="s">
        <v>48</v>
      </c>
      <c r="C4" s="3" t="s">
        <v>49</v>
      </c>
      <c r="D4" s="3" t="s">
        <v>50</v>
      </c>
      <c r="E4" s="3" t="s">
        <v>51</v>
      </c>
    </row>
    <row r="5" customFormat="false" ht="15" hidden="false" customHeight="false" outlineLevel="0" collapsed="false">
      <c r="A5" s="22" t="s">
        <v>52</v>
      </c>
      <c r="B5" s="23" t="s">
        <v>53</v>
      </c>
      <c r="C5" s="23" t="s">
        <v>54</v>
      </c>
      <c r="D5" s="24" t="n">
        <f aca="false">'P2 Putere'!E50</f>
        <v>518.751919191919</v>
      </c>
      <c r="E5" s="24" t="n">
        <f aca="false">'P2 Putere'!F50</f>
        <v>541.69696969697</v>
      </c>
    </row>
    <row r="6" customFormat="false" ht="15" hidden="false" customHeight="false" outlineLevel="0" collapsed="false">
      <c r="A6" s="22"/>
      <c r="B6" s="23" t="s">
        <v>55</v>
      </c>
      <c r="C6" s="23" t="s">
        <v>54</v>
      </c>
      <c r="D6" s="24" t="n">
        <f aca="false">'P2 Putere'!E51</f>
        <v>299.248628721612</v>
      </c>
      <c r="E6" s="24" t="n">
        <f aca="false">'P2 Putere'!F51</f>
        <v>229.270381593715</v>
      </c>
    </row>
    <row r="7" customFormat="false" ht="15" hidden="false" customHeight="false" outlineLevel="0" collapsed="false">
      <c r="A7" s="22"/>
      <c r="B7" s="23" t="s">
        <v>56</v>
      </c>
      <c r="C7" s="23" t="s">
        <v>57</v>
      </c>
      <c r="D7" s="24" t="n">
        <f aca="false">'P2 Putere'!E39</f>
        <v>1043.2525749987</v>
      </c>
      <c r="E7" s="24" t="n">
        <f aca="false">'P2 Putere'!F39</f>
        <v>1034.56500462208</v>
      </c>
    </row>
    <row r="8" customFormat="false" ht="15" hidden="false" customHeight="false" outlineLevel="0" collapsed="false">
      <c r="A8" s="22"/>
      <c r="B8" s="23" t="s">
        <v>58</v>
      </c>
      <c r="C8" s="23" t="s">
        <v>59</v>
      </c>
      <c r="D8" s="25" t="n">
        <f aca="false">'P2 Putere'!E38</f>
        <v>4748.33808167142</v>
      </c>
      <c r="E8" s="25" t="n">
        <f aca="false">'P2 Putere'!F38</f>
        <v>5000</v>
      </c>
    </row>
    <row r="9" customFormat="false" ht="15" hidden="false" customHeight="false" outlineLevel="0" collapsed="false">
      <c r="A9" s="22"/>
      <c r="B9" s="23" t="s">
        <v>60</v>
      </c>
      <c r="C9" s="23" t="s">
        <v>59</v>
      </c>
      <c r="D9" s="25" t="n">
        <f aca="false">c_n_max</f>
        <v>15000</v>
      </c>
      <c r="E9" s="25" t="n">
        <f aca="false">c_n_max</f>
        <v>15000</v>
      </c>
    </row>
    <row r="10" customFormat="false" ht="15" hidden="false" customHeight="false" outlineLevel="0" collapsed="false">
      <c r="A10" s="22" t="s">
        <v>61</v>
      </c>
      <c r="B10" s="23" t="s">
        <v>62</v>
      </c>
      <c r="C10" s="23" t="s">
        <v>63</v>
      </c>
      <c r="D10" s="26" t="n">
        <f aca="false">'P2 Putere'!E35</f>
        <v>0.159609671500729</v>
      </c>
      <c r="E10" s="26" t="n">
        <f aca="false">'P2 Putere'!F35</f>
        <v>0.151576136277996</v>
      </c>
    </row>
    <row r="11" customFormat="false" ht="15" hidden="false" customHeight="false" outlineLevel="0" collapsed="false">
      <c r="A11" s="22"/>
      <c r="B11" s="23" t="s">
        <v>64</v>
      </c>
      <c r="C11" s="23" t="s">
        <v>63</v>
      </c>
      <c r="D11" s="27" t="n">
        <f aca="false">'P2 Putere'!E36</f>
        <v>6.26528449433862</v>
      </c>
      <c r="E11" s="27" t="n">
        <f aca="false">'P2 Putere'!F36</f>
        <v>6.59734457253857</v>
      </c>
    </row>
    <row r="12" customFormat="false" ht="15" hidden="false" customHeight="false" outlineLevel="0" collapsed="false">
      <c r="A12" s="22" t="s">
        <v>4</v>
      </c>
      <c r="B12" s="23" t="s">
        <v>65</v>
      </c>
      <c r="C12" s="23" t="s">
        <v>66</v>
      </c>
      <c r="D12" s="27" t="n">
        <f aca="false">'P2 Putere'!E23</f>
        <v>7.58964017652257</v>
      </c>
      <c r="E12" s="27" t="n">
        <f aca="false">'P2 Putere'!F23</f>
        <v>7.61161686841313</v>
      </c>
    </row>
    <row r="13" customFormat="false" ht="15" hidden="false" customHeight="false" outlineLevel="0" collapsed="false">
      <c r="A13" s="22"/>
      <c r="B13" s="23" t="s">
        <v>67</v>
      </c>
      <c r="C13" s="23" t="s">
        <v>68</v>
      </c>
      <c r="D13" s="28" t="n">
        <f aca="false">'P2 Putere'!E25</f>
        <v>3.6599597782915</v>
      </c>
      <c r="E13" s="28" t="n">
        <f aca="false">'P2 Putere'!F25</f>
        <v>3.64939253485691</v>
      </c>
    </row>
    <row r="14" customFormat="false" ht="15" hidden="false" customHeight="false" outlineLevel="0" collapsed="false">
      <c r="A14" s="22" t="s">
        <v>69</v>
      </c>
      <c r="B14" s="23" t="s">
        <v>70</v>
      </c>
      <c r="C14" s="23" t="s">
        <v>71</v>
      </c>
      <c r="D14" s="28" t="n">
        <f aca="false">'P3 Energie'!E50</f>
        <v>104.379311178844</v>
      </c>
      <c r="E14" s="28" t="n">
        <f aca="false">'P3 Energie'!F50</f>
        <v>122.018489982286</v>
      </c>
    </row>
    <row r="15" customFormat="false" ht="15" hidden="false" customHeight="false" outlineLevel="0" collapsed="false">
      <c r="A15" s="22"/>
      <c r="B15" s="23" t="s">
        <v>72</v>
      </c>
      <c r="C15" s="23" t="s">
        <v>73</v>
      </c>
      <c r="D15" s="28" t="n">
        <f aca="false">'P3 Energie'!E52</f>
        <v>13.1118022117884</v>
      </c>
      <c r="E15" s="28" t="n">
        <f aca="false">'P3 Energie'!F52</f>
        <v>13.2218177999381</v>
      </c>
    </row>
    <row r="16" customFormat="false" ht="15" hidden="false" customHeight="false" outlineLevel="0" collapsed="false">
      <c r="A16" s="22"/>
      <c r="B16" s="23" t="s">
        <v>74</v>
      </c>
      <c r="C16" s="23" t="s">
        <v>63</v>
      </c>
      <c r="D16" s="29" t="str">
        <f aca="false">TEXT(Baterie!E12,"0")&amp;"s × "&amp;TEXT(Baterie!E20,"0")&amp;"p = "&amp;TEXT(Baterie!E21,"0")</f>
        <v>222s × 27p = 5994</v>
      </c>
      <c r="E16" s="29" t="str">
        <f aca="false">TEXT(Baterie!F12,"0")&amp;"s × "&amp;TEXT(Baterie!F20,"0")&amp;"p = "&amp;TEXT(Baterie!F21,"0")</f>
        <v>222s × 31p = 6882</v>
      </c>
    </row>
    <row r="17" customFormat="false" ht="15" hidden="false" customHeight="false" outlineLevel="0" collapsed="false">
      <c r="A17" s="22"/>
      <c r="B17" s="23" t="s">
        <v>75</v>
      </c>
      <c r="C17" s="23" t="s">
        <v>71</v>
      </c>
      <c r="D17" s="28" t="n">
        <f aca="false">Baterie!E22</f>
        <v>107.892</v>
      </c>
      <c r="E17" s="28" t="n">
        <f aca="false">Baterie!F22</f>
        <v>123.876</v>
      </c>
    </row>
    <row r="18" customFormat="false" ht="15" hidden="false" customHeight="false" outlineLevel="0" collapsed="false">
      <c r="A18" s="22"/>
      <c r="B18" s="23" t="s">
        <v>76</v>
      </c>
      <c r="C18" s="23" t="s">
        <v>77</v>
      </c>
      <c r="D18" s="29" t="str">
        <f aca="false">TEXT(Baterie!E13,"0")&amp;" ("&amp;TEXT(Baterie!E15,"0")&amp;" – "&amp;TEXT(Baterie!E14,"0")&amp;")"</f>
        <v>799 (555 – 932)</v>
      </c>
      <c r="E18" s="29" t="str">
        <f aca="false">TEXT(Baterie!F13,"0")&amp;" ("&amp;TEXT(Baterie!F15,"0")&amp;" – "&amp;TEXT(Baterie!F14,"0")&amp;")"</f>
        <v>799 (555 – 932)</v>
      </c>
    </row>
    <row r="19" customFormat="false" ht="15" hidden="false" customHeight="false" outlineLevel="0" collapsed="false">
      <c r="A19" s="22" t="s">
        <v>78</v>
      </c>
      <c r="B19" s="23" t="s">
        <v>79</v>
      </c>
      <c r="C19" s="23" t="s">
        <v>80</v>
      </c>
      <c r="D19" s="25" t="n">
        <f aca="false">Baterie!E18</f>
        <v>811.361234972346</v>
      </c>
      <c r="E19" s="25" t="n">
        <f aca="false">Baterie!F18</f>
        <v>847.248763915431</v>
      </c>
    </row>
    <row r="20" customFormat="false" ht="15" hidden="false" customHeight="false" outlineLevel="0" collapsed="false">
      <c r="A20" s="22"/>
      <c r="B20" s="23" t="s">
        <v>81</v>
      </c>
      <c r="C20" s="23" t="s">
        <v>82</v>
      </c>
      <c r="D20" s="29" t="str">
        <f aca="false">TEXT(Baterie!E26,"0")&amp;" / "&amp;TEXT(Baterie!E27,"0")</f>
        <v>426 / 608</v>
      </c>
      <c r="E20" s="29" t="str">
        <f aca="false">TEXT(Baterie!F26,"0")&amp;" / "&amp;TEXT(Baterie!F27,"0")</f>
        <v>489 / 698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2"/>
    <col collapsed="false" customWidth="true" hidden="false" outlineLevel="0" max="4" min="4" style="0" width="10"/>
    <col collapsed="false" customWidth="true" hidden="false" outlineLevel="0" max="5" min="5" style="0" width="70"/>
  </cols>
  <sheetData>
    <row r="1" customFormat="false" ht="17.35" hidden="false" customHeight="false" outlineLevel="0" collapsed="false">
      <c r="A1" s="1" t="s">
        <v>83</v>
      </c>
    </row>
    <row r="2" customFormat="false" ht="15" hidden="false" customHeight="false" outlineLevel="0" collapsed="false">
      <c r="A2" s="2" t="s">
        <v>84</v>
      </c>
    </row>
    <row r="4" customFormat="false" ht="15" hidden="false" customHeight="false" outlineLevel="0" collapsed="false">
      <c r="A4" s="3" t="s">
        <v>85</v>
      </c>
      <c r="B4" s="3" t="s">
        <v>48</v>
      </c>
      <c r="C4" s="3" t="s">
        <v>86</v>
      </c>
      <c r="D4" s="3" t="s">
        <v>49</v>
      </c>
      <c r="E4" s="3" t="s">
        <v>87</v>
      </c>
    </row>
    <row r="5" customFormat="false" ht="15" hidden="false" customHeight="false" outlineLevel="0" collapsed="false">
      <c r="A5" s="21" t="s">
        <v>88</v>
      </c>
      <c r="B5" s="23" t="s">
        <v>89</v>
      </c>
      <c r="C5" s="30" t="n">
        <v>9.81</v>
      </c>
      <c r="D5" s="23" t="s">
        <v>66</v>
      </c>
      <c r="E5" s="23" t="s">
        <v>90</v>
      </c>
    </row>
    <row r="6" customFormat="false" ht="15" hidden="false" customHeight="false" outlineLevel="0" collapsed="false">
      <c r="A6" s="21" t="s">
        <v>91</v>
      </c>
      <c r="B6" s="23" t="s">
        <v>92</v>
      </c>
      <c r="C6" s="30" t="n">
        <v>1.293</v>
      </c>
      <c r="D6" s="23" t="s">
        <v>93</v>
      </c>
      <c r="E6" s="23" t="s">
        <v>94</v>
      </c>
    </row>
    <row r="7" customFormat="false" ht="15" hidden="false" customHeight="false" outlineLevel="0" collapsed="false">
      <c r="A7" s="21" t="s">
        <v>95</v>
      </c>
      <c r="B7" s="23" t="s">
        <v>96</v>
      </c>
      <c r="C7" s="30" t="n">
        <v>0.013</v>
      </c>
      <c r="D7" s="23" t="s">
        <v>63</v>
      </c>
      <c r="E7" s="23" t="s">
        <v>97</v>
      </c>
    </row>
    <row r="8" customFormat="false" ht="15" hidden="false" customHeight="false" outlineLevel="0" collapsed="false">
      <c r="A8" s="21" t="s">
        <v>98</v>
      </c>
      <c r="B8" s="23" t="s">
        <v>99</v>
      </c>
      <c r="C8" s="30" t="n">
        <v>0.8</v>
      </c>
      <c r="D8" s="23" t="s">
        <v>63</v>
      </c>
      <c r="E8" s="23" t="s">
        <v>97</v>
      </c>
    </row>
    <row r="9" customFormat="false" ht="15" hidden="false" customHeight="false" outlineLevel="0" collapsed="false">
      <c r="A9" s="21" t="s">
        <v>100</v>
      </c>
      <c r="B9" s="23" t="s">
        <v>101</v>
      </c>
      <c r="C9" s="30" t="n">
        <v>0</v>
      </c>
      <c r="D9" s="23" t="s">
        <v>102</v>
      </c>
      <c r="E9" s="23" t="s">
        <v>103</v>
      </c>
    </row>
    <row r="10" customFormat="false" ht="15" hidden="false" customHeight="false" outlineLevel="0" collapsed="false">
      <c r="A10" s="21" t="s">
        <v>104</v>
      </c>
      <c r="B10" s="23" t="s">
        <v>105</v>
      </c>
      <c r="C10" s="30" t="n">
        <v>0</v>
      </c>
      <c r="D10" s="23" t="s">
        <v>106</v>
      </c>
      <c r="E10" s="23" t="s">
        <v>107</v>
      </c>
    </row>
    <row r="11" customFormat="false" ht="15" hidden="false" customHeight="false" outlineLevel="0" collapsed="false">
      <c r="A11" s="21" t="s">
        <v>108</v>
      </c>
      <c r="B11" s="23" t="s">
        <v>109</v>
      </c>
      <c r="C11" s="30" t="n">
        <v>0.35</v>
      </c>
      <c r="D11" s="23" t="s">
        <v>110</v>
      </c>
      <c r="E11" s="23" t="s">
        <v>111</v>
      </c>
    </row>
    <row r="12" customFormat="false" ht="15" hidden="false" customHeight="false" outlineLevel="0" collapsed="false">
      <c r="A12" s="21" t="s">
        <v>112</v>
      </c>
      <c r="B12" s="23" t="s">
        <v>113</v>
      </c>
      <c r="C12" s="30" t="n">
        <v>0.01</v>
      </c>
      <c r="D12" s="23" t="s">
        <v>63</v>
      </c>
      <c r="E12" s="23" t="s">
        <v>114</v>
      </c>
    </row>
    <row r="13" customFormat="false" ht="15" hidden="false" customHeight="false" outlineLevel="0" collapsed="false">
      <c r="A13" s="21" t="s">
        <v>115</v>
      </c>
      <c r="B13" s="23" t="s">
        <v>116</v>
      </c>
      <c r="C13" s="30" t="n">
        <v>100</v>
      </c>
      <c r="D13" s="23" t="s">
        <v>117</v>
      </c>
      <c r="E13" s="23" t="s">
        <v>118</v>
      </c>
    </row>
    <row r="14" customFormat="false" ht="15" hidden="false" customHeight="false" outlineLevel="0" collapsed="false">
      <c r="A14" s="21" t="s">
        <v>119</v>
      </c>
      <c r="B14" s="23" t="s">
        <v>120</v>
      </c>
      <c r="C14" s="30" t="n">
        <v>15000</v>
      </c>
      <c r="D14" s="23" t="s">
        <v>59</v>
      </c>
      <c r="E14" s="23" t="s">
        <v>121</v>
      </c>
    </row>
    <row r="15" customFormat="false" ht="15" hidden="false" customHeight="false" outlineLevel="0" collapsed="false">
      <c r="A15" s="21" t="s">
        <v>122</v>
      </c>
      <c r="B15" s="23" t="s">
        <v>123</v>
      </c>
      <c r="C15" s="30" t="n">
        <v>50</v>
      </c>
      <c r="D15" s="23" t="s">
        <v>117</v>
      </c>
      <c r="E15" s="23" t="s">
        <v>124</v>
      </c>
    </row>
    <row r="16" customFormat="false" ht="15" hidden="false" customHeight="false" outlineLevel="0" collapsed="false">
      <c r="A16" s="21" t="s">
        <v>125</v>
      </c>
      <c r="B16" s="23" t="s">
        <v>126</v>
      </c>
      <c r="C16" s="30" t="n">
        <v>0.8</v>
      </c>
      <c r="D16" s="23" t="s">
        <v>63</v>
      </c>
      <c r="E16" s="23" t="s">
        <v>127</v>
      </c>
    </row>
    <row r="17" customFormat="false" ht="15" hidden="false" customHeight="false" outlineLevel="0" collapsed="false">
      <c r="A17" s="21" t="s">
        <v>128</v>
      </c>
      <c r="B17" s="23" t="s">
        <v>129</v>
      </c>
      <c r="C17" s="30" t="n">
        <v>0.3</v>
      </c>
      <c r="D17" s="23" t="s">
        <v>63</v>
      </c>
      <c r="E17" s="23" t="s">
        <v>127</v>
      </c>
    </row>
    <row r="18" customFormat="false" ht="15" hidden="false" customHeight="false" outlineLevel="0" collapsed="false">
      <c r="A18" s="21" t="s">
        <v>130</v>
      </c>
      <c r="B18" s="23" t="s">
        <v>131</v>
      </c>
      <c r="C18" s="30" t="n">
        <v>800</v>
      </c>
      <c r="D18" s="23" t="s">
        <v>77</v>
      </c>
      <c r="E18" s="23" t="s">
        <v>132</v>
      </c>
    </row>
    <row r="19" customFormat="false" ht="15" hidden="false" customHeight="false" outlineLevel="0" collapsed="false">
      <c r="A19" s="21" t="s">
        <v>133</v>
      </c>
      <c r="B19" s="23" t="s">
        <v>134</v>
      </c>
      <c r="C19" s="30" t="n">
        <v>0.3</v>
      </c>
      <c r="D19" s="23" t="s">
        <v>63</v>
      </c>
      <c r="E19" s="23" t="s">
        <v>135</v>
      </c>
    </row>
    <row r="21" customFormat="false" ht="15" hidden="false" customHeight="false" outlineLevel="0" collapsed="false">
      <c r="B21" s="16" t="s">
        <v>136</v>
      </c>
      <c r="E21" s="31" t="s">
        <v>137</v>
      </c>
    </row>
    <row r="22" customFormat="false" ht="15" hidden="false" customHeight="false" outlineLevel="0" collapsed="false">
      <c r="A22" s="21" t="s">
        <v>138</v>
      </c>
      <c r="B22" s="23" t="s">
        <v>139</v>
      </c>
      <c r="C22" s="30" t="n">
        <v>3.6</v>
      </c>
      <c r="D22" s="23" t="s">
        <v>77</v>
      </c>
      <c r="E22" s="23" t="s">
        <v>140</v>
      </c>
    </row>
    <row r="23" customFormat="false" ht="15" hidden="false" customHeight="false" outlineLevel="0" collapsed="false">
      <c r="A23" s="21" t="s">
        <v>141</v>
      </c>
      <c r="B23" s="23" t="s">
        <v>142</v>
      </c>
      <c r="C23" s="30" t="n">
        <v>4.2</v>
      </c>
      <c r="D23" s="23" t="s">
        <v>77</v>
      </c>
      <c r="E23" s="23" t="s">
        <v>143</v>
      </c>
    </row>
    <row r="24" customFormat="false" ht="15" hidden="false" customHeight="false" outlineLevel="0" collapsed="false">
      <c r="A24" s="21" t="s">
        <v>144</v>
      </c>
      <c r="B24" s="23" t="s">
        <v>145</v>
      </c>
      <c r="C24" s="30" t="n">
        <v>2.5</v>
      </c>
      <c r="D24" s="23" t="s">
        <v>77</v>
      </c>
      <c r="E24" s="23" t="s">
        <v>146</v>
      </c>
    </row>
    <row r="25" customFormat="false" ht="15" hidden="false" customHeight="false" outlineLevel="0" collapsed="false">
      <c r="A25" s="21" t="s">
        <v>147</v>
      </c>
      <c r="B25" s="23" t="s">
        <v>148</v>
      </c>
      <c r="C25" s="30" t="n">
        <v>5</v>
      </c>
      <c r="D25" s="23" t="s">
        <v>149</v>
      </c>
      <c r="E25" s="23" t="s">
        <v>150</v>
      </c>
    </row>
    <row r="26" customFormat="false" ht="15" hidden="false" customHeight="false" outlineLevel="0" collapsed="false">
      <c r="A26" s="21" t="s">
        <v>151</v>
      </c>
      <c r="B26" s="23" t="s">
        <v>152</v>
      </c>
      <c r="C26" s="30" t="n">
        <v>0.071</v>
      </c>
      <c r="D26" s="23" t="s">
        <v>82</v>
      </c>
      <c r="E26" s="23" t="s">
        <v>153</v>
      </c>
    </row>
    <row r="27" customFormat="false" ht="15" hidden="false" customHeight="false" outlineLevel="0" collapsed="false">
      <c r="A27" s="21" t="s">
        <v>154</v>
      </c>
      <c r="B27" s="23" t="s">
        <v>155</v>
      </c>
      <c r="C27" s="30" t="n">
        <v>60</v>
      </c>
      <c r="D27" s="23" t="s">
        <v>80</v>
      </c>
      <c r="E27" s="23" t="s">
        <v>156</v>
      </c>
    </row>
    <row r="28" customFormat="false" ht="15" hidden="false" customHeight="false" outlineLevel="0" collapsed="false">
      <c r="A28" s="21" t="s">
        <v>157</v>
      </c>
      <c r="B28" s="23" t="s">
        <v>158</v>
      </c>
      <c r="C28" s="30" t="n">
        <v>0.7</v>
      </c>
      <c r="D28" s="23" t="s">
        <v>63</v>
      </c>
      <c r="E28" s="23" t="s">
        <v>159</v>
      </c>
    </row>
  </sheetData>
  <hyperlinks>
    <hyperlink ref="E21" r:id="rId1" display="https://www.molicel.com/wp-content/uploads/4.TR%E7%B0%A1%E6%98%93%E8%A6%8F%E6%A0%BC_INR21700P50B_1.1_Product-Data-Sheet-of-INR-21700-P50B-80122.pdf"/>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160</v>
      </c>
    </row>
    <row r="2" customFormat="false" ht="15" hidden="false" customHeight="false" outlineLevel="0" collapsed="false">
      <c r="A2" s="2" t="s">
        <v>161</v>
      </c>
    </row>
    <row r="4" customFormat="false" ht="15" hidden="false" customHeight="false" outlineLevel="0" collapsed="false">
      <c r="A4" s="3" t="s">
        <v>162</v>
      </c>
      <c r="B4" s="3" t="s">
        <v>48</v>
      </c>
      <c r="C4" s="3" t="s">
        <v>163</v>
      </c>
      <c r="D4" s="3" t="s">
        <v>49</v>
      </c>
      <c r="E4" s="3" t="s">
        <v>50</v>
      </c>
      <c r="F4" s="3" t="s">
        <v>51</v>
      </c>
      <c r="G4" s="3" t="s">
        <v>164</v>
      </c>
    </row>
    <row r="5" customFormat="false" ht="15" hidden="false" customHeight="false" outlineLevel="0" collapsed="false">
      <c r="A5" s="16" t="s">
        <v>165</v>
      </c>
    </row>
    <row r="6" customFormat="false" ht="15" hidden="false" customHeight="false" outlineLevel="0" collapsed="false">
      <c r="A6" s="10"/>
      <c r="B6" s="10" t="s">
        <v>166</v>
      </c>
      <c r="C6" s="10" t="s">
        <v>167</v>
      </c>
      <c r="D6" s="10" t="s">
        <v>82</v>
      </c>
      <c r="E6" s="32" t="n">
        <f aca="false">'Date documentare'!G16</f>
        <v>2355.8</v>
      </c>
      <c r="F6" s="32" t="n">
        <f aca="false">'Date documentare'!G6</f>
        <v>2460</v>
      </c>
      <c r="G6" s="33" t="s">
        <v>168</v>
      </c>
    </row>
    <row r="7" customFormat="false" ht="15" hidden="false" customHeight="false" outlineLevel="0" collapsed="false">
      <c r="A7" s="10"/>
      <c r="B7" s="10" t="s">
        <v>169</v>
      </c>
      <c r="C7" s="10" t="s">
        <v>17</v>
      </c>
      <c r="D7" s="10" t="s">
        <v>63</v>
      </c>
      <c r="E7" s="34" t="n">
        <f aca="false">'Date documentare'!O16</f>
        <v>0.2596</v>
      </c>
      <c r="F7" s="34" t="n">
        <f aca="false">'Date documentare'!O6</f>
        <v>0.22</v>
      </c>
      <c r="G7" s="33"/>
    </row>
    <row r="8" customFormat="false" ht="15" hidden="false" customHeight="false" outlineLevel="0" collapsed="false">
      <c r="A8" s="10"/>
      <c r="B8" s="10" t="s">
        <v>170</v>
      </c>
      <c r="C8" s="10" t="s">
        <v>171</v>
      </c>
      <c r="D8" s="10" t="s">
        <v>172</v>
      </c>
      <c r="E8" s="15" t="n">
        <f aca="false">'Date documentare'!P16</f>
        <v>2.38</v>
      </c>
      <c r="F8" s="15" t="n">
        <f aca="false">'Date documentare'!P6</f>
        <v>2.44</v>
      </c>
      <c r="G8" s="33"/>
    </row>
    <row r="9" customFormat="false" ht="15" hidden="false" customHeight="false" outlineLevel="0" collapsed="false">
      <c r="A9" s="10"/>
      <c r="B9" s="10" t="s">
        <v>173</v>
      </c>
      <c r="C9" s="10" t="s">
        <v>174</v>
      </c>
      <c r="D9" s="10" t="s">
        <v>106</v>
      </c>
      <c r="E9" s="15" t="n">
        <f aca="false">'Date documentare'!U16</f>
        <v>87.75</v>
      </c>
      <c r="F9" s="15" t="n">
        <f aca="false">'Date documentare'!U6</f>
        <v>83.3333333333333</v>
      </c>
      <c r="G9" s="33"/>
    </row>
    <row r="10" customFormat="false" ht="15" hidden="false" customHeight="false" outlineLevel="0" collapsed="false">
      <c r="A10" s="10"/>
      <c r="B10" s="10" t="s">
        <v>175</v>
      </c>
      <c r="C10" s="10" t="s">
        <v>176</v>
      </c>
      <c r="D10" s="10" t="s">
        <v>66</v>
      </c>
      <c r="E10" s="15" t="n">
        <f aca="false">'Date documentare'!V16</f>
        <v>12.4156949315094</v>
      </c>
      <c r="F10" s="15" t="n">
        <f aca="false">'Date documentare'!V6</f>
        <v>11.5740740740741</v>
      </c>
      <c r="G10" s="33"/>
    </row>
    <row r="11" customFormat="false" ht="15" hidden="false" customHeight="false" outlineLevel="0" collapsed="false">
      <c r="A11" s="10"/>
      <c r="B11" s="10" t="s">
        <v>177</v>
      </c>
      <c r="C11" s="10" t="s">
        <v>178</v>
      </c>
      <c r="D11" s="10" t="s">
        <v>179</v>
      </c>
      <c r="E11" s="35" t="n">
        <f aca="false">'Date documentare'!T16</f>
        <v>870900</v>
      </c>
      <c r="F11" s="35" t="n">
        <f aca="false">'Date documentare'!T6</f>
        <v>860000</v>
      </c>
      <c r="G11" s="33"/>
    </row>
    <row r="12" customFormat="false" ht="15" hidden="false" customHeight="false" outlineLevel="0" collapsed="false">
      <c r="A12" s="10"/>
      <c r="B12" s="10" t="s">
        <v>180</v>
      </c>
      <c r="C12" s="10" t="s">
        <v>181</v>
      </c>
      <c r="D12" s="10" t="s">
        <v>110</v>
      </c>
      <c r="E12" s="15" t="n">
        <f aca="false">c_r</f>
        <v>0.35</v>
      </c>
      <c r="F12" s="15" t="n">
        <f aca="false">c_r</f>
        <v>0.35</v>
      </c>
      <c r="G12" s="33" t="s">
        <v>182</v>
      </c>
    </row>
    <row r="13" customFormat="false" ht="15" hidden="false" customHeight="false" outlineLevel="0" collapsed="false">
      <c r="A13" s="16" t="s">
        <v>183</v>
      </c>
    </row>
    <row r="14" customFormat="false" ht="15" hidden="false" customHeight="false" outlineLevel="0" collapsed="false">
      <c r="A14" s="10" t="s">
        <v>184</v>
      </c>
      <c r="B14" s="10" t="s">
        <v>185</v>
      </c>
      <c r="C14" s="10" t="s">
        <v>186</v>
      </c>
      <c r="D14" s="10" t="s">
        <v>106</v>
      </c>
      <c r="E14" s="15" t="n">
        <f aca="false">c_Va_kmh/3.6</f>
        <v>27.7777777777778</v>
      </c>
      <c r="F14" s="15" t="n">
        <f aca="false">c_Va_kmh/3.6</f>
        <v>27.7777777777778</v>
      </c>
      <c r="G14" s="33" t="s">
        <v>187</v>
      </c>
    </row>
    <row r="15" customFormat="false" ht="15" hidden="false" customHeight="false" outlineLevel="0" collapsed="false">
      <c r="A15" s="10" t="s">
        <v>188</v>
      </c>
      <c r="B15" s="10" t="s">
        <v>189</v>
      </c>
      <c r="C15" s="10" t="s">
        <v>190</v>
      </c>
      <c r="D15" s="10" t="s">
        <v>68</v>
      </c>
      <c r="E15" s="15" t="n">
        <f aca="false">E14/E10</f>
        <v>2.23731155855653</v>
      </c>
      <c r="F15" s="15" t="n">
        <f aca="false">F14/F10</f>
        <v>2.4</v>
      </c>
      <c r="G15" s="33" t="s">
        <v>191</v>
      </c>
    </row>
    <row r="16" customFormat="false" ht="15" hidden="false" customHeight="false" outlineLevel="0" collapsed="false">
      <c r="A16" s="10" t="s">
        <v>192</v>
      </c>
      <c r="B16" s="10" t="s">
        <v>193</v>
      </c>
      <c r="C16" s="10" t="s">
        <v>194</v>
      </c>
      <c r="D16" s="10" t="s">
        <v>195</v>
      </c>
      <c r="E16" s="14" t="n">
        <f aca="false">c_mu_f*E6*c_g*COS(c_alpha)</f>
        <v>300.435174</v>
      </c>
      <c r="F16" s="14" t="n">
        <f aca="false">c_mu_f*F6*c_g*COS(c_alpha)</f>
        <v>313.7238</v>
      </c>
      <c r="G16" s="33" t="s">
        <v>196</v>
      </c>
    </row>
    <row r="17" customFormat="false" ht="15" hidden="false" customHeight="false" outlineLevel="0" collapsed="false">
      <c r="A17" s="10" t="s">
        <v>192</v>
      </c>
      <c r="B17" s="10" t="s">
        <v>197</v>
      </c>
      <c r="C17" s="10" t="s">
        <v>198</v>
      </c>
      <c r="D17" s="10" t="s">
        <v>195</v>
      </c>
      <c r="E17" s="14" t="n">
        <f aca="false">0.5*c_rho*E8*E7*(E14-c_Vv)^2</f>
        <v>308.208898148148</v>
      </c>
      <c r="F17" s="14" t="n">
        <f aca="false">0.5*c_rho*F8*F7*(F14-c_Vv)^2</f>
        <v>267.778703703704</v>
      </c>
      <c r="G17" s="33" t="s">
        <v>199</v>
      </c>
    </row>
    <row r="18" customFormat="false" ht="15" hidden="false" customHeight="false" outlineLevel="0" collapsed="false">
      <c r="A18" s="10" t="s">
        <v>192</v>
      </c>
      <c r="B18" s="10" t="s">
        <v>200</v>
      </c>
      <c r="C18" s="10" t="s">
        <v>201</v>
      </c>
      <c r="D18" s="10" t="s">
        <v>195</v>
      </c>
      <c r="E18" s="14" t="n">
        <f aca="false">E6*c_g*SIN(c_alpha)</f>
        <v>0</v>
      </c>
      <c r="F18" s="14" t="n">
        <f aca="false">F6*c_g*SIN(c_alpha)</f>
        <v>0</v>
      </c>
      <c r="G18" s="33" t="s">
        <v>202</v>
      </c>
    </row>
    <row r="19" customFormat="false" ht="15" hidden="false" customHeight="false" outlineLevel="0" collapsed="false">
      <c r="A19" s="10" t="s">
        <v>192</v>
      </c>
      <c r="B19" s="10" t="s">
        <v>203</v>
      </c>
      <c r="C19" s="10" t="s">
        <v>204</v>
      </c>
      <c r="D19" s="10" t="s">
        <v>195</v>
      </c>
      <c r="E19" s="14" t="n">
        <f aca="false">E6*E10</f>
        <v>29248.8941196499</v>
      </c>
      <c r="F19" s="14" t="n">
        <f aca="false">F6*F10</f>
        <v>28472.2222222222</v>
      </c>
      <c r="G19" s="33"/>
    </row>
    <row r="20" customFormat="false" ht="15" hidden="false" customHeight="false" outlineLevel="0" collapsed="false">
      <c r="A20" s="10" t="s">
        <v>192</v>
      </c>
      <c r="B20" s="10" t="s">
        <v>205</v>
      </c>
      <c r="C20" s="10" t="s">
        <v>206</v>
      </c>
      <c r="D20" s="10" t="s">
        <v>195</v>
      </c>
      <c r="E20" s="14" t="n">
        <f aca="false">E17+E16+E18+E19</f>
        <v>29857.5381917981</v>
      </c>
      <c r="F20" s="14" t="n">
        <f aca="false">F17+F16+F18+F19</f>
        <v>29053.7247259259</v>
      </c>
      <c r="G20" s="33" t="s">
        <v>207</v>
      </c>
    </row>
    <row r="21" customFormat="false" ht="15" hidden="false" customHeight="false" outlineLevel="0" collapsed="false">
      <c r="A21" s="10" t="s">
        <v>208</v>
      </c>
      <c r="B21" s="10" t="s">
        <v>209</v>
      </c>
      <c r="C21" s="10" t="s">
        <v>210</v>
      </c>
      <c r="D21" s="10" t="s">
        <v>195</v>
      </c>
      <c r="E21" s="14" t="n">
        <f aca="false">c_mu_a*E6*c_g*COS(c_alpha)</f>
        <v>18488.3184</v>
      </c>
      <c r="F21" s="14" t="n">
        <f aca="false">c_mu_a*F6*c_g*COS(c_alpha)</f>
        <v>19306.08</v>
      </c>
      <c r="G21" s="33" t="s">
        <v>211</v>
      </c>
    </row>
    <row r="22" customFormat="false" ht="15" hidden="false" customHeight="false" outlineLevel="0" collapsed="false">
      <c r="A22" s="10" t="s">
        <v>208</v>
      </c>
      <c r="B22" s="10" t="s">
        <v>212</v>
      </c>
      <c r="C22" s="10"/>
      <c r="D22" s="10"/>
      <c r="E22" s="36" t="str">
        <f aca="false">IF(E20&lt;=E21,"DA","NU")</f>
        <v>NU</v>
      </c>
      <c r="F22" s="36" t="str">
        <f aca="false">IF(F20&lt;=F21,"DA","NU")</f>
        <v>NU</v>
      </c>
      <c r="G22" s="33" t="s">
        <v>213</v>
      </c>
    </row>
    <row r="23" customFormat="false" ht="15" hidden="false" customHeight="false" outlineLevel="0" collapsed="false">
      <c r="A23" s="10" t="s">
        <v>208</v>
      </c>
      <c r="B23" s="10" t="s">
        <v>214</v>
      </c>
      <c r="C23" s="10" t="s">
        <v>215</v>
      </c>
      <c r="D23" s="10" t="s">
        <v>66</v>
      </c>
      <c r="E23" s="37" t="n">
        <f aca="false">IF(E20&lt;=E21,E10,(E21-E17-E16-E18)/E6)</f>
        <v>7.58964017652257</v>
      </c>
      <c r="F23" s="37" t="n">
        <f aca="false">IF(F20&lt;=F21,F10,(F21-F17-F16-F18)/F6)</f>
        <v>7.61161686841313</v>
      </c>
      <c r="G23" s="33" t="s">
        <v>216</v>
      </c>
    </row>
    <row r="24" customFormat="false" ht="15" hidden="false" customHeight="false" outlineLevel="0" collapsed="false">
      <c r="A24" s="10" t="s">
        <v>208</v>
      </c>
      <c r="B24" s="10" t="s">
        <v>217</v>
      </c>
      <c r="C24" s="10" t="s">
        <v>206</v>
      </c>
      <c r="D24" s="10" t="s">
        <v>195</v>
      </c>
      <c r="E24" s="14" t="n">
        <f aca="false">IF(E20&lt;=E21,E20,E21)</f>
        <v>18488.3184</v>
      </c>
      <c r="F24" s="14" t="n">
        <f aca="false">IF(F20&lt;=F21,F20,F21)</f>
        <v>19306.08</v>
      </c>
      <c r="G24" s="33"/>
    </row>
    <row r="25" customFormat="false" ht="15" hidden="false" customHeight="false" outlineLevel="0" collapsed="false">
      <c r="A25" s="10" t="s">
        <v>208</v>
      </c>
      <c r="B25" s="10" t="s">
        <v>67</v>
      </c>
      <c r="C25" s="10" t="s">
        <v>190</v>
      </c>
      <c r="D25" s="10" t="s">
        <v>68</v>
      </c>
      <c r="E25" s="15" t="n">
        <f aca="false">E14/E23</f>
        <v>3.6599597782915</v>
      </c>
      <c r="F25" s="15" t="n">
        <f aca="false">F14/F23</f>
        <v>3.64939253485691</v>
      </c>
      <c r="G25" s="33"/>
    </row>
    <row r="26" customFormat="false" ht="15" hidden="false" customHeight="false" outlineLevel="0" collapsed="false">
      <c r="A26" s="16" t="s">
        <v>218</v>
      </c>
    </row>
    <row r="27" customFormat="false" ht="15" hidden="false" customHeight="false" outlineLevel="0" collapsed="false">
      <c r="A27" s="10" t="s">
        <v>219</v>
      </c>
      <c r="B27" s="10" t="s">
        <v>220</v>
      </c>
      <c r="C27" s="10" t="s">
        <v>221</v>
      </c>
      <c r="D27" s="10" t="s">
        <v>222</v>
      </c>
      <c r="E27" s="15" t="n">
        <f aca="false">E14/E12</f>
        <v>79.3650793650794</v>
      </c>
      <c r="F27" s="15" t="n">
        <f aca="false">F14/F12</f>
        <v>79.3650793650794</v>
      </c>
      <c r="G27" s="33" t="s">
        <v>223</v>
      </c>
    </row>
    <row r="28" customFormat="false" ht="15" hidden="false" customHeight="false" outlineLevel="0" collapsed="false">
      <c r="A28" s="10" t="s">
        <v>219</v>
      </c>
      <c r="B28" s="10" t="s">
        <v>224</v>
      </c>
      <c r="C28" s="10" t="s">
        <v>225</v>
      </c>
      <c r="D28" s="10" t="s">
        <v>57</v>
      </c>
      <c r="E28" s="32" t="n">
        <f aca="false">E12*E24</f>
        <v>6470.91144</v>
      </c>
      <c r="F28" s="32" t="n">
        <f aca="false">F12*F24</f>
        <v>6757.128</v>
      </c>
      <c r="G28" s="33" t="s">
        <v>226</v>
      </c>
    </row>
    <row r="29" customFormat="false" ht="15" hidden="false" customHeight="false" outlineLevel="0" collapsed="false">
      <c r="A29" s="10" t="s">
        <v>219</v>
      </c>
      <c r="B29" s="10" t="s">
        <v>227</v>
      </c>
      <c r="C29" s="10" t="s">
        <v>228</v>
      </c>
      <c r="D29" s="10" t="s">
        <v>179</v>
      </c>
      <c r="E29" s="35" t="n">
        <f aca="false">E28*E27</f>
        <v>513564.4</v>
      </c>
      <c r="F29" s="35" t="n">
        <f aca="false">F28*F27</f>
        <v>536280</v>
      </c>
      <c r="G29" s="33" t="s">
        <v>229</v>
      </c>
    </row>
    <row r="30" customFormat="false" ht="15" hidden="false" customHeight="false" outlineLevel="0" collapsed="false">
      <c r="A30" s="10" t="s">
        <v>219</v>
      </c>
      <c r="B30" s="10" t="s">
        <v>230</v>
      </c>
      <c r="C30" s="10" t="s">
        <v>231</v>
      </c>
      <c r="D30" s="10" t="s">
        <v>179</v>
      </c>
      <c r="E30" s="38" t="n">
        <f aca="false">E29/(1-c_pp)</f>
        <v>518751.919191919</v>
      </c>
      <c r="F30" s="38" t="n">
        <f aca="false">F29/(1-c_pp)</f>
        <v>541696.96969697</v>
      </c>
      <c r="G30" s="33" t="s">
        <v>232</v>
      </c>
    </row>
    <row r="31" customFormat="false" ht="15" hidden="false" customHeight="false" outlineLevel="0" collapsed="false">
      <c r="A31" s="10" t="s">
        <v>219</v>
      </c>
      <c r="B31" s="10" t="s">
        <v>233</v>
      </c>
      <c r="C31" s="10" t="s">
        <v>234</v>
      </c>
      <c r="D31" s="10" t="s">
        <v>179</v>
      </c>
      <c r="E31" s="35" t="n">
        <f aca="false">E30-E29</f>
        <v>5187.51919191919</v>
      </c>
      <c r="F31" s="35" t="n">
        <f aca="false">F30-F29</f>
        <v>5416.96969696973</v>
      </c>
      <c r="G31" s="33"/>
    </row>
    <row r="32" customFormat="false" ht="15" hidden="false" customHeight="false" outlineLevel="0" collapsed="false">
      <c r="A32" s="16" t="s">
        <v>235</v>
      </c>
    </row>
    <row r="33" customFormat="false" ht="15" hidden="false" customHeight="false" outlineLevel="0" collapsed="false">
      <c r="A33" s="10" t="s">
        <v>236</v>
      </c>
      <c r="B33" s="10" t="s">
        <v>237</v>
      </c>
      <c r="C33" s="10" t="s">
        <v>238</v>
      </c>
      <c r="D33" s="10" t="s">
        <v>222</v>
      </c>
      <c r="E33" s="15" t="n">
        <f aca="false">E9/E12</f>
        <v>250.714285714286</v>
      </c>
      <c r="F33" s="15" t="n">
        <f aca="false">F9/F12</f>
        <v>238.095238095238</v>
      </c>
      <c r="G33" s="33"/>
    </row>
    <row r="34" customFormat="false" ht="15" hidden="false" customHeight="false" outlineLevel="0" collapsed="false">
      <c r="A34" s="10" t="s">
        <v>236</v>
      </c>
      <c r="B34" s="10" t="s">
        <v>239</v>
      </c>
      <c r="C34" s="10" t="s">
        <v>240</v>
      </c>
      <c r="D34" s="10" t="s">
        <v>222</v>
      </c>
      <c r="E34" s="15" t="n">
        <f aca="false">c_n_max*2*PI()/60</f>
        <v>1570.7963267949</v>
      </c>
      <c r="F34" s="15" t="n">
        <f aca="false">c_n_max*2*PI()/60</f>
        <v>1570.7963267949</v>
      </c>
      <c r="G34" s="33" t="s">
        <v>241</v>
      </c>
    </row>
    <row r="35" customFormat="false" ht="15" hidden="false" customHeight="false" outlineLevel="0" collapsed="false">
      <c r="A35" s="10" t="s">
        <v>236</v>
      </c>
      <c r="B35" s="10" t="s">
        <v>242</v>
      </c>
      <c r="C35" s="10" t="s">
        <v>243</v>
      </c>
      <c r="D35" s="10" t="s">
        <v>63</v>
      </c>
      <c r="E35" s="39" t="n">
        <f aca="false">E33/E34</f>
        <v>0.159609671500729</v>
      </c>
      <c r="F35" s="39" t="n">
        <f aca="false">F33/F34</f>
        <v>0.151576136277996</v>
      </c>
      <c r="G35" s="33" t="s">
        <v>244</v>
      </c>
    </row>
    <row r="36" customFormat="false" ht="15" hidden="false" customHeight="false" outlineLevel="0" collapsed="false">
      <c r="A36" s="10" t="s">
        <v>236</v>
      </c>
      <c r="B36" s="10" t="s">
        <v>245</v>
      </c>
      <c r="C36" s="10" t="s">
        <v>246</v>
      </c>
      <c r="D36" s="10" t="s">
        <v>63</v>
      </c>
      <c r="E36" s="15" t="n">
        <f aca="false">1/E35</f>
        <v>6.26528449433862</v>
      </c>
      <c r="F36" s="15" t="n">
        <f aca="false">1/F35</f>
        <v>6.59734457253857</v>
      </c>
      <c r="G36" s="33"/>
    </row>
    <row r="37" customFormat="false" ht="15" hidden="false" customHeight="false" outlineLevel="0" collapsed="false">
      <c r="A37" s="10" t="s">
        <v>236</v>
      </c>
      <c r="B37" s="10" t="s">
        <v>247</v>
      </c>
      <c r="C37" s="10" t="s">
        <v>248</v>
      </c>
      <c r="D37" s="10" t="s">
        <v>222</v>
      </c>
      <c r="E37" s="15" t="n">
        <f aca="false">E27/E35</f>
        <v>497.244801137986</v>
      </c>
      <c r="F37" s="15" t="n">
        <f aca="false">F27/F35</f>
        <v>523.598775598299</v>
      </c>
      <c r="G37" s="33"/>
    </row>
    <row r="38" customFormat="false" ht="15" hidden="false" customHeight="false" outlineLevel="0" collapsed="false">
      <c r="A38" s="10" t="s">
        <v>236</v>
      </c>
      <c r="B38" s="10" t="s">
        <v>249</v>
      </c>
      <c r="C38" s="10" t="s">
        <v>250</v>
      </c>
      <c r="D38" s="10" t="s">
        <v>59</v>
      </c>
      <c r="E38" s="35" t="n">
        <f aca="false">E37*60/(2*PI())</f>
        <v>4748.33808167142</v>
      </c>
      <c r="F38" s="35" t="n">
        <f aca="false">F37*60/(2*PI())</f>
        <v>5000</v>
      </c>
      <c r="G38" s="33"/>
    </row>
    <row r="39" customFormat="false" ht="15" hidden="false" customHeight="false" outlineLevel="0" collapsed="false">
      <c r="A39" s="10" t="s">
        <v>236</v>
      </c>
      <c r="B39" s="10" t="s">
        <v>251</v>
      </c>
      <c r="C39" s="10" t="s">
        <v>252</v>
      </c>
      <c r="D39" s="10" t="s">
        <v>57</v>
      </c>
      <c r="E39" s="40" t="n">
        <f aca="false">E30/E37</f>
        <v>1043.2525749987</v>
      </c>
      <c r="F39" s="40" t="n">
        <f aca="false">F30/F37</f>
        <v>1034.56500462208</v>
      </c>
      <c r="G39" s="33" t="s">
        <v>253</v>
      </c>
    </row>
    <row r="40" customFormat="false" ht="15" hidden="false" customHeight="false" outlineLevel="0" collapsed="false">
      <c r="A40" s="16" t="s">
        <v>254</v>
      </c>
    </row>
    <row r="41" customFormat="false" ht="15" hidden="false" customHeight="false" outlineLevel="0" collapsed="false">
      <c r="A41" s="10" t="s">
        <v>255</v>
      </c>
      <c r="B41" s="10" t="s">
        <v>256</v>
      </c>
      <c r="C41" s="10" t="s">
        <v>198</v>
      </c>
      <c r="D41" s="10" t="s">
        <v>195</v>
      </c>
      <c r="E41" s="14" t="n">
        <f aca="false">0.5*c_rho*E8*E7*(E9-c_Vv)^2</f>
        <v>3075.70320132075</v>
      </c>
      <c r="F41" s="14" t="n">
        <f aca="false">0.5*c_rho*F8*F7*(F9-c_Vv)^2</f>
        <v>2410.00833333333</v>
      </c>
      <c r="G41" s="33"/>
    </row>
    <row r="42" customFormat="false" ht="15" hidden="false" customHeight="false" outlineLevel="0" collapsed="false">
      <c r="A42" s="10" t="s">
        <v>255</v>
      </c>
      <c r="B42" s="10" t="s">
        <v>257</v>
      </c>
      <c r="C42" s="10" t="s">
        <v>206</v>
      </c>
      <c r="D42" s="10" t="s">
        <v>195</v>
      </c>
      <c r="E42" s="14" t="n">
        <f aca="false">E41+E16+E18</f>
        <v>3376.13837532075</v>
      </c>
      <c r="F42" s="14" t="n">
        <f aca="false">F41+F16+F18</f>
        <v>2723.73213333333</v>
      </c>
      <c r="G42" s="33" t="s">
        <v>258</v>
      </c>
    </row>
    <row r="43" customFormat="false" ht="15" hidden="false" customHeight="false" outlineLevel="0" collapsed="false">
      <c r="A43" s="10" t="s">
        <v>259</v>
      </c>
      <c r="B43" s="10" t="s">
        <v>260</v>
      </c>
      <c r="C43" s="10"/>
      <c r="D43" s="10"/>
      <c r="E43" s="36" t="str">
        <f aca="false">IF(E42&lt;=E21,"DA","NU")</f>
        <v>DA</v>
      </c>
      <c r="F43" s="36" t="str">
        <f aca="false">IF(F42&lt;=F21,"DA","NU")</f>
        <v>DA</v>
      </c>
      <c r="G43" s="33" t="s">
        <v>261</v>
      </c>
    </row>
    <row r="44" customFormat="false" ht="15" hidden="false" customHeight="false" outlineLevel="0" collapsed="false">
      <c r="A44" s="10" t="s">
        <v>259</v>
      </c>
      <c r="B44" s="10" t="s">
        <v>262</v>
      </c>
      <c r="C44" s="10" t="s">
        <v>174</v>
      </c>
      <c r="D44" s="10" t="s">
        <v>106</v>
      </c>
      <c r="E44" s="15" t="n">
        <f aca="false">IF(E42&lt;=E21,E9,SQRT((E21-E16-E18)/(0.5*c_rho*E8*E7))+c_Vv)</f>
        <v>87.75</v>
      </c>
      <c r="F44" s="15" t="n">
        <f aca="false">IF(F42&lt;=F21,F9,SQRT((F21-F16-F18)/(0.5*c_rho*F8*F7))+c_Vv)</f>
        <v>83.3333333333333</v>
      </c>
      <c r="G44" s="33"/>
    </row>
    <row r="45" customFormat="false" ht="15" hidden="false" customHeight="false" outlineLevel="0" collapsed="false">
      <c r="A45" s="10" t="s">
        <v>259</v>
      </c>
      <c r="B45" s="10" t="s">
        <v>263</v>
      </c>
      <c r="C45" s="10" t="s">
        <v>206</v>
      </c>
      <c r="D45" s="10" t="s">
        <v>195</v>
      </c>
      <c r="E45" s="14" t="n">
        <f aca="false">IF(E42&lt;=E21,E42,E21)</f>
        <v>3376.13837532075</v>
      </c>
      <c r="F45" s="14" t="n">
        <f aca="false">IF(F42&lt;=F21,F42,F21)</f>
        <v>2723.73213333333</v>
      </c>
      <c r="G45" s="33"/>
    </row>
    <row r="46" customFormat="false" ht="15" hidden="false" customHeight="false" outlineLevel="0" collapsed="false">
      <c r="A46" s="10" t="s">
        <v>259</v>
      </c>
      <c r="B46" s="10" t="s">
        <v>264</v>
      </c>
      <c r="C46" s="10" t="s">
        <v>225</v>
      </c>
      <c r="D46" s="10" t="s">
        <v>57</v>
      </c>
      <c r="E46" s="32" t="n">
        <f aca="false">E12*E45</f>
        <v>1181.64843136226</v>
      </c>
      <c r="F46" s="32" t="n">
        <f aca="false">F12*F45</f>
        <v>953.306246666666</v>
      </c>
      <c r="G46" s="33"/>
    </row>
    <row r="47" customFormat="false" ht="15" hidden="false" customHeight="false" outlineLevel="0" collapsed="false">
      <c r="A47" s="10" t="s">
        <v>259</v>
      </c>
      <c r="B47" s="10" t="s">
        <v>265</v>
      </c>
      <c r="C47" s="10" t="s">
        <v>228</v>
      </c>
      <c r="D47" s="10" t="s">
        <v>179</v>
      </c>
      <c r="E47" s="35" t="n">
        <f aca="false">E45*E44</f>
        <v>296256.142434396</v>
      </c>
      <c r="F47" s="35" t="n">
        <f aca="false">F45*F44</f>
        <v>226977.677777778</v>
      </c>
      <c r="G47" s="33"/>
    </row>
    <row r="48" customFormat="false" ht="15" hidden="false" customHeight="false" outlineLevel="0" collapsed="false">
      <c r="A48" s="10" t="s">
        <v>259</v>
      </c>
      <c r="B48" s="10" t="s">
        <v>266</v>
      </c>
      <c r="C48" s="10" t="s">
        <v>231</v>
      </c>
      <c r="D48" s="10" t="s">
        <v>179</v>
      </c>
      <c r="E48" s="38" t="n">
        <f aca="false">E47/(1-c_pp)</f>
        <v>299248.628721612</v>
      </c>
      <c r="F48" s="38" t="n">
        <f aca="false">F47/(1-c_pp)</f>
        <v>229270.381593715</v>
      </c>
      <c r="G48" s="33"/>
    </row>
    <row r="49" customFormat="false" ht="15" hidden="false" customHeight="false" outlineLevel="0" collapsed="false">
      <c r="A49" s="10" t="s">
        <v>259</v>
      </c>
      <c r="B49" s="10" t="s">
        <v>267</v>
      </c>
      <c r="C49" s="10" t="s">
        <v>252</v>
      </c>
      <c r="D49" s="10" t="s">
        <v>57</v>
      </c>
      <c r="E49" s="32" t="n">
        <f aca="false">E48/E34</f>
        <v>190.507593898063</v>
      </c>
      <c r="F49" s="32" t="n">
        <f aca="false">F48/F34</f>
        <v>145.958058140819</v>
      </c>
      <c r="G49" s="33"/>
    </row>
    <row r="50" customFormat="false" ht="15" hidden="false" customHeight="false" outlineLevel="0" collapsed="false">
      <c r="A50" s="10" t="s">
        <v>268</v>
      </c>
      <c r="B50" s="10" t="s">
        <v>269</v>
      </c>
      <c r="C50" s="10" t="s">
        <v>270</v>
      </c>
      <c r="D50" s="10" t="s">
        <v>54</v>
      </c>
      <c r="E50" s="40" t="n">
        <f aca="false">E30/1000</f>
        <v>518.751919191919</v>
      </c>
      <c r="F50" s="40" t="n">
        <f aca="false">F30/1000</f>
        <v>541.69696969697</v>
      </c>
      <c r="G50" s="33" t="s">
        <v>271</v>
      </c>
    </row>
    <row r="51" customFormat="false" ht="15" hidden="false" customHeight="false" outlineLevel="0" collapsed="false">
      <c r="A51" s="10" t="s">
        <v>268</v>
      </c>
      <c r="B51" s="10" t="s">
        <v>272</v>
      </c>
      <c r="C51" s="10" t="s">
        <v>273</v>
      </c>
      <c r="D51" s="10" t="s">
        <v>54</v>
      </c>
      <c r="E51" s="40" t="n">
        <f aca="false">E48/1000</f>
        <v>299.248628721612</v>
      </c>
      <c r="F51" s="40" t="n">
        <f aca="false">F48/1000</f>
        <v>229.270381593715</v>
      </c>
      <c r="G51" s="33" t="s">
        <v>274</v>
      </c>
    </row>
    <row r="52" customFormat="false" ht="15" hidden="false" customHeight="false" outlineLevel="0" collapsed="false">
      <c r="A52" s="16" t="s">
        <v>275</v>
      </c>
    </row>
    <row r="53" customFormat="false" ht="15" hidden="false" customHeight="false" outlineLevel="0" collapsed="false">
      <c r="A53" s="10"/>
      <c r="B53" s="10" t="s">
        <v>276</v>
      </c>
      <c r="C53" s="10"/>
      <c r="D53" s="10" t="s">
        <v>54</v>
      </c>
      <c r="E53" s="32" t="n">
        <f aca="false">E20*E14/(1-c_pp)/1000</f>
        <v>837.753596851798</v>
      </c>
      <c r="F53" s="32" t="n">
        <f aca="false">F20*F14/(1-c_pp)/1000</f>
        <v>815.199908134847</v>
      </c>
      <c r="G53" s="33" t="s">
        <v>277</v>
      </c>
    </row>
    <row r="54" customFormat="false" ht="15" hidden="false" customHeight="false" outlineLevel="0" collapsed="false">
      <c r="A54" s="10"/>
      <c r="B54" s="10" t="s">
        <v>278</v>
      </c>
      <c r="C54" s="10"/>
      <c r="D54" s="10" t="s">
        <v>54</v>
      </c>
      <c r="E54" s="32" t="n">
        <f aca="false">E11/1000</f>
        <v>870.9</v>
      </c>
      <c r="F54" s="32" t="n">
        <f aca="false">F11/1000</f>
        <v>860</v>
      </c>
      <c r="G54" s="33"/>
    </row>
    <row r="55" customFormat="false" ht="15" hidden="false" customHeight="false" outlineLevel="0" collapsed="false">
      <c r="A55" s="10"/>
      <c r="B55" s="10" t="s">
        <v>279</v>
      </c>
      <c r="C55" s="10"/>
      <c r="D55" s="10" t="s">
        <v>63</v>
      </c>
      <c r="E55" s="14" t="n">
        <f aca="false">E44/E14</f>
        <v>3.159</v>
      </c>
      <c r="F55" s="14" t="n">
        <f aca="false">F44/F14</f>
        <v>3</v>
      </c>
      <c r="G55"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280</v>
      </c>
    </row>
    <row r="2" customFormat="false" ht="15" hidden="false" customHeight="false" outlineLevel="0" collapsed="false">
      <c r="A2" s="2" t="s">
        <v>281</v>
      </c>
    </row>
    <row r="4" customFormat="false" ht="15" hidden="false" customHeight="false" outlineLevel="0" collapsed="false">
      <c r="A4" s="3" t="s">
        <v>162</v>
      </c>
      <c r="B4" s="3" t="s">
        <v>48</v>
      </c>
      <c r="C4" s="3" t="s">
        <v>163</v>
      </c>
      <c r="D4" s="3" t="s">
        <v>49</v>
      </c>
      <c r="E4" s="3" t="s">
        <v>50</v>
      </c>
      <c r="F4" s="3" t="s">
        <v>51</v>
      </c>
      <c r="G4" s="3" t="s">
        <v>164</v>
      </c>
    </row>
    <row r="5" customFormat="false" ht="15" hidden="false" customHeight="false" outlineLevel="0" collapsed="false">
      <c r="A5" s="16" t="s">
        <v>282</v>
      </c>
    </row>
    <row r="6" customFormat="false" ht="15" hidden="false" customHeight="false" outlineLevel="0" collapsed="false">
      <c r="A6" s="10"/>
      <c r="B6" s="10" t="s">
        <v>166</v>
      </c>
      <c r="C6" s="10" t="s">
        <v>167</v>
      </c>
      <c r="D6" s="10" t="s">
        <v>82</v>
      </c>
      <c r="E6" s="32" t="n">
        <f aca="false">'Date documentare'!G16</f>
        <v>2355.8</v>
      </c>
      <c r="F6" s="32" t="n">
        <f aca="false">'Date documentare'!G6</f>
        <v>2460</v>
      </c>
      <c r="G6" s="33"/>
    </row>
    <row r="7" customFormat="false" ht="15" hidden="false" customHeight="false" outlineLevel="0" collapsed="false">
      <c r="A7" s="10"/>
      <c r="B7" s="10" t="s">
        <v>169</v>
      </c>
      <c r="C7" s="10" t="s">
        <v>17</v>
      </c>
      <c r="D7" s="10" t="s">
        <v>63</v>
      </c>
      <c r="E7" s="34" t="n">
        <f aca="false">'Date documentare'!O16</f>
        <v>0.2596</v>
      </c>
      <c r="F7" s="34" t="n">
        <f aca="false">'Date documentare'!O6</f>
        <v>0.22</v>
      </c>
      <c r="G7" s="33"/>
    </row>
    <row r="8" customFormat="false" ht="15" hidden="false" customHeight="false" outlineLevel="0" collapsed="false">
      <c r="A8" s="10"/>
      <c r="B8" s="10" t="s">
        <v>170</v>
      </c>
      <c r="C8" s="10" t="s">
        <v>171</v>
      </c>
      <c r="D8" s="10" t="s">
        <v>172</v>
      </c>
      <c r="E8" s="15" t="n">
        <f aca="false">'Date documentare'!P16</f>
        <v>2.38</v>
      </c>
      <c r="F8" s="15" t="n">
        <f aca="false">'Date documentare'!P6</f>
        <v>2.44</v>
      </c>
      <c r="G8" s="33"/>
    </row>
    <row r="9" customFormat="false" ht="15" hidden="false" customHeight="false" outlineLevel="0" collapsed="false">
      <c r="A9" s="10"/>
      <c r="B9" s="10" t="s">
        <v>283</v>
      </c>
      <c r="C9" s="10" t="s">
        <v>284</v>
      </c>
      <c r="D9" s="10" t="s">
        <v>110</v>
      </c>
      <c r="E9" s="35" t="n">
        <f aca="false">'Date documentare'!X16*1000</f>
        <v>557250</v>
      </c>
      <c r="F9" s="35" t="n">
        <f aca="false">'Date documentare'!X6*1000</f>
        <v>646000</v>
      </c>
      <c r="G9" s="33" t="s">
        <v>285</v>
      </c>
    </row>
    <row r="10" customFormat="false" ht="15" hidden="false" customHeight="false" outlineLevel="0" collapsed="false">
      <c r="A10" s="10" t="s">
        <v>188</v>
      </c>
      <c r="B10" s="10" t="s">
        <v>286</v>
      </c>
      <c r="C10" s="10" t="s">
        <v>215</v>
      </c>
      <c r="D10" s="10" t="s">
        <v>66</v>
      </c>
      <c r="E10" s="15" t="n">
        <f aca="false">'P2 Putere'!E23</f>
        <v>7.58964017652257</v>
      </c>
      <c r="F10" s="15" t="n">
        <f aca="false">'P2 Putere'!F23</f>
        <v>7.61161686841313</v>
      </c>
      <c r="G10" s="33" t="s">
        <v>287</v>
      </c>
    </row>
    <row r="11" customFormat="false" ht="15" hidden="false" customHeight="false" outlineLevel="0" collapsed="false">
      <c r="A11" s="16" t="s">
        <v>288</v>
      </c>
    </row>
    <row r="12" customFormat="false" ht="15" hidden="false" customHeight="false" outlineLevel="0" collapsed="false">
      <c r="A12" s="10" t="s">
        <v>289</v>
      </c>
      <c r="B12" s="10" t="s">
        <v>290</v>
      </c>
      <c r="C12" s="10" t="s">
        <v>291</v>
      </c>
      <c r="D12" s="10" t="s">
        <v>106</v>
      </c>
      <c r="E12" s="34" t="n">
        <f aca="false">c_V1_kmh/3.6</f>
        <v>13.8888888888889</v>
      </c>
      <c r="F12" s="34" t="n">
        <f aca="false">c_V1_kmh/3.6</f>
        <v>13.8888888888889</v>
      </c>
      <c r="G12" s="33" t="s">
        <v>292</v>
      </c>
    </row>
    <row r="13" customFormat="false" ht="15" hidden="false" customHeight="false" outlineLevel="0" collapsed="false">
      <c r="A13" s="10" t="s">
        <v>192</v>
      </c>
      <c r="B13" s="10" t="s">
        <v>193</v>
      </c>
      <c r="C13" s="10" t="s">
        <v>194</v>
      </c>
      <c r="D13" s="10" t="s">
        <v>195</v>
      </c>
      <c r="E13" s="15" t="n">
        <f aca="false">c_mu_f*E6*c_g*COS(c_alpha)</f>
        <v>300.435174</v>
      </c>
      <c r="F13" s="15" t="n">
        <f aca="false">c_mu_f*F6*c_g*COS(c_alpha)</f>
        <v>313.7238</v>
      </c>
      <c r="G13" s="33"/>
    </row>
    <row r="14" customFormat="false" ht="15" hidden="false" customHeight="false" outlineLevel="0" collapsed="false">
      <c r="A14" s="10" t="s">
        <v>192</v>
      </c>
      <c r="B14" s="10" t="s">
        <v>293</v>
      </c>
      <c r="C14" s="10" t="s">
        <v>198</v>
      </c>
      <c r="D14" s="10" t="s">
        <v>195</v>
      </c>
      <c r="E14" s="15" t="n">
        <f aca="false">0.5*c_rho*E8*E7*(E12-c_Vv)^2</f>
        <v>77.0522245370371</v>
      </c>
      <c r="F14" s="15" t="n">
        <f aca="false">0.5*c_rho*F8*F7*(F12-c_Vv)^2</f>
        <v>66.9446759259259</v>
      </c>
      <c r="G14" s="33"/>
    </row>
    <row r="15" customFormat="false" ht="15" hidden="false" customHeight="false" outlineLevel="0" collapsed="false">
      <c r="A15" s="10" t="s">
        <v>192</v>
      </c>
      <c r="B15" s="10" t="s">
        <v>200</v>
      </c>
      <c r="C15" s="10" t="s">
        <v>201</v>
      </c>
      <c r="D15" s="10" t="s">
        <v>195</v>
      </c>
      <c r="E15" s="15" t="n">
        <f aca="false">E6*c_g*SIN(c_alpha)</f>
        <v>0</v>
      </c>
      <c r="F15" s="15" t="n">
        <f aca="false">F6*c_g*SIN(c_alpha)</f>
        <v>0</v>
      </c>
      <c r="G15" s="33"/>
    </row>
    <row r="16" customFormat="false" ht="15" hidden="false" customHeight="false" outlineLevel="0" collapsed="false">
      <c r="A16" s="10" t="s">
        <v>208</v>
      </c>
      <c r="B16" s="10" t="s">
        <v>209</v>
      </c>
      <c r="C16" s="10" t="s">
        <v>210</v>
      </c>
      <c r="D16" s="10" t="s">
        <v>195</v>
      </c>
      <c r="E16" s="14" t="n">
        <f aca="false">c_mu_a*E6*c_g*COS(c_alpha)</f>
        <v>18488.3184</v>
      </c>
      <c r="F16" s="14" t="n">
        <f aca="false">c_mu_a*F6*c_g*COS(c_alpha)</f>
        <v>19306.08</v>
      </c>
      <c r="G16" s="33"/>
    </row>
    <row r="17" customFormat="false" ht="15" hidden="false" customHeight="false" outlineLevel="0" collapsed="false">
      <c r="A17" s="10" t="s">
        <v>192</v>
      </c>
      <c r="B17" s="10" t="s">
        <v>294</v>
      </c>
      <c r="C17" s="10" t="s">
        <v>295</v>
      </c>
      <c r="D17" s="10" t="s">
        <v>195</v>
      </c>
      <c r="E17" s="14" t="n">
        <f aca="false">E14+E13+E15+E6*E10</f>
        <v>18257.1617263889</v>
      </c>
      <c r="F17" s="14" t="n">
        <f aca="false">F14+F13+F15+F6*F10</f>
        <v>19105.2459722222</v>
      </c>
      <c r="G17" s="33"/>
    </row>
    <row r="18" customFormat="false" ht="15" hidden="false" customHeight="false" outlineLevel="0" collapsed="false">
      <c r="A18" s="10" t="s">
        <v>208</v>
      </c>
      <c r="B18" s="10" t="s">
        <v>296</v>
      </c>
      <c r="C18" s="10"/>
      <c r="D18" s="10"/>
      <c r="E18" s="36" t="str">
        <f aca="false">IF(E17&lt;=E16,"DA","NU")</f>
        <v>DA</v>
      </c>
      <c r="F18" s="36" t="str">
        <f aca="false">IF(F17&lt;=F16,"DA","NU")</f>
        <v>DA</v>
      </c>
      <c r="G18" s="33"/>
    </row>
    <row r="19" customFormat="false" ht="15" hidden="false" customHeight="false" outlineLevel="0" collapsed="false">
      <c r="A19" s="10" t="s">
        <v>208</v>
      </c>
      <c r="B19" s="10" t="s">
        <v>297</v>
      </c>
      <c r="C19" s="10" t="s">
        <v>215</v>
      </c>
      <c r="D19" s="10" t="s">
        <v>66</v>
      </c>
      <c r="E19" s="15" t="n">
        <f aca="false">IF(E17&lt;=E16,E10,(E16-E14-E13-E15)/E6)</f>
        <v>7.58964017652257</v>
      </c>
      <c r="F19" s="15" t="n">
        <f aca="false">IF(F17&lt;=F16,F10,(F16-F14-F13-F15)/F6)</f>
        <v>7.61161686841313</v>
      </c>
      <c r="G19" s="33"/>
    </row>
    <row r="20" customFormat="false" ht="15" hidden="false" customHeight="false" outlineLevel="0" collapsed="false">
      <c r="A20" s="10" t="s">
        <v>192</v>
      </c>
      <c r="B20" s="10" t="s">
        <v>298</v>
      </c>
      <c r="C20" s="10" t="s">
        <v>295</v>
      </c>
      <c r="D20" s="10" t="s">
        <v>195</v>
      </c>
      <c r="E20" s="14" t="n">
        <f aca="false">E14+E13+E15+E6*E19</f>
        <v>18257.1617263889</v>
      </c>
      <c r="F20" s="14" t="n">
        <f aca="false">F14+F13+F15+F6*F19</f>
        <v>19105.2459722222</v>
      </c>
      <c r="G20" s="33" t="s">
        <v>299</v>
      </c>
    </row>
    <row r="21" customFormat="false" ht="15" hidden="false" customHeight="false" outlineLevel="0" collapsed="false">
      <c r="A21" s="10" t="s">
        <v>192</v>
      </c>
      <c r="B21" s="10" t="s">
        <v>300</v>
      </c>
      <c r="C21" s="10" t="s">
        <v>301</v>
      </c>
      <c r="D21" s="10" t="s">
        <v>179</v>
      </c>
      <c r="E21" s="40" t="n">
        <f aca="false">E20*E12</f>
        <v>253571.69064429</v>
      </c>
      <c r="F21" s="40" t="n">
        <f aca="false">F20*F12</f>
        <v>265350.638503086</v>
      </c>
      <c r="G21" s="33" t="s">
        <v>302</v>
      </c>
    </row>
    <row r="22" customFormat="false" ht="15" hidden="false" customHeight="false" outlineLevel="0" collapsed="false">
      <c r="A22" s="10" t="s">
        <v>219</v>
      </c>
      <c r="B22" s="10" t="s">
        <v>303</v>
      </c>
      <c r="C22" s="10" t="s">
        <v>304</v>
      </c>
      <c r="D22" s="10" t="s">
        <v>195</v>
      </c>
      <c r="E22" s="15" t="n">
        <f aca="false">E14+E13+E15</f>
        <v>377.487398537037</v>
      </c>
      <c r="F22" s="15" t="n">
        <f aca="false">F14+F13+F15</f>
        <v>380.668475925926</v>
      </c>
      <c r="G22" s="33" t="s">
        <v>305</v>
      </c>
    </row>
    <row r="23" customFormat="false" ht="15" hidden="false" customHeight="false" outlineLevel="0" collapsed="false">
      <c r="A23" s="10" t="s">
        <v>219</v>
      </c>
      <c r="B23" s="10" t="s">
        <v>306</v>
      </c>
      <c r="C23" s="10" t="s">
        <v>307</v>
      </c>
      <c r="D23" s="10" t="s">
        <v>179</v>
      </c>
      <c r="E23" s="41" t="n">
        <f aca="false">E22*E12</f>
        <v>5242.88053523663</v>
      </c>
      <c r="F23" s="41" t="n">
        <f aca="false">F22*F12</f>
        <v>5287.06216563786</v>
      </c>
      <c r="G23" s="33" t="s">
        <v>308</v>
      </c>
    </row>
    <row r="24" customFormat="false" ht="15" hidden="false" customHeight="false" outlineLevel="0" collapsed="false">
      <c r="A24" s="10" t="s">
        <v>236</v>
      </c>
      <c r="B24" s="10" t="s">
        <v>309</v>
      </c>
      <c r="C24" s="10" t="s">
        <v>310</v>
      </c>
      <c r="D24" s="10" t="s">
        <v>68</v>
      </c>
      <c r="E24" s="39" t="n">
        <f aca="false">E12/E19</f>
        <v>1.82997988914575</v>
      </c>
      <c r="F24" s="39" t="n">
        <f aca="false">F12/F19</f>
        <v>1.82469626742845</v>
      </c>
      <c r="G24" s="33" t="s">
        <v>311</v>
      </c>
    </row>
    <row r="25" customFormat="false" ht="15" hidden="false" customHeight="false" outlineLevel="0" collapsed="false">
      <c r="A25" s="16" t="s">
        <v>312</v>
      </c>
    </row>
    <row r="26" customFormat="false" ht="15" hidden="false" customHeight="false" outlineLevel="0" collapsed="false">
      <c r="A26" s="10" t="s">
        <v>255</v>
      </c>
      <c r="B26" s="10" t="s">
        <v>313</v>
      </c>
      <c r="C26" s="10" t="s">
        <v>314</v>
      </c>
      <c r="D26" s="10" t="s">
        <v>179</v>
      </c>
      <c r="E26" s="32" t="n">
        <f aca="false">(0+E21)/2</f>
        <v>126785.845322145</v>
      </c>
      <c r="F26" s="32" t="n">
        <f aca="false">(0+F21)/2</f>
        <v>132675.319251543</v>
      </c>
      <c r="G26" s="33" t="s">
        <v>315</v>
      </c>
    </row>
    <row r="27" customFormat="false" ht="15" hidden="false" customHeight="false" outlineLevel="0" collapsed="false">
      <c r="A27" s="10" t="s">
        <v>255</v>
      </c>
      <c r="B27" s="10" t="s">
        <v>316</v>
      </c>
      <c r="C27" s="10" t="s">
        <v>317</v>
      </c>
      <c r="D27" s="10" t="s">
        <v>179</v>
      </c>
      <c r="E27" s="32" t="n">
        <f aca="false">'P3 n=100'!C4</f>
        <v>127786.188083302</v>
      </c>
      <c r="F27" s="32" t="n">
        <f aca="false">'P3 n=100'!H4</f>
        <v>133769.648897328</v>
      </c>
      <c r="G27" s="33" t="s">
        <v>318</v>
      </c>
    </row>
    <row r="28" customFormat="false" ht="15" hidden="false" customHeight="false" outlineLevel="0" collapsed="false">
      <c r="A28" s="10" t="s">
        <v>259</v>
      </c>
      <c r="B28" s="10" t="s">
        <v>319</v>
      </c>
      <c r="C28" s="10" t="s">
        <v>320</v>
      </c>
      <c r="D28" s="10" t="s">
        <v>321</v>
      </c>
      <c r="E28" s="32" t="n">
        <f aca="false">'P3 n=100'!C5</f>
        <v>233846.154303039</v>
      </c>
      <c r="F28" s="32" t="n">
        <f aca="false">'P3 n=100'!H5</f>
        <v>244088.97903817</v>
      </c>
      <c r="G28" s="33" t="s">
        <v>322</v>
      </c>
    </row>
    <row r="29" customFormat="false" ht="15" hidden="false" customHeight="false" outlineLevel="0" collapsed="false">
      <c r="A29" s="10" t="s">
        <v>255</v>
      </c>
      <c r="B29" s="10" t="s">
        <v>323</v>
      </c>
      <c r="C29" s="10" t="s">
        <v>317</v>
      </c>
      <c r="D29" s="10" t="s">
        <v>179</v>
      </c>
      <c r="E29" s="32" t="n">
        <f aca="false">'P3 n=1000'!C4</f>
        <v>126645.088988701</v>
      </c>
      <c r="F29" s="32" t="n">
        <f aca="false">'P3 n=1000'!H4</f>
        <v>132575.548011832</v>
      </c>
      <c r="G29" s="33" t="s">
        <v>324</v>
      </c>
    </row>
    <row r="30" customFormat="false" ht="15" hidden="false" customHeight="false" outlineLevel="0" collapsed="false">
      <c r="A30" s="10" t="s">
        <v>259</v>
      </c>
      <c r="B30" s="10" t="s">
        <v>325</v>
      </c>
      <c r="C30" s="10" t="s">
        <v>320</v>
      </c>
      <c r="D30" s="10" t="s">
        <v>321</v>
      </c>
      <c r="E30" s="32" t="n">
        <f aca="false">'P3 n=1000'!C5</f>
        <v>231757.965908396</v>
      </c>
      <c r="F30" s="32" t="n">
        <f aca="false">'P3 n=1000'!H5</f>
        <v>241910.107609472</v>
      </c>
      <c r="G30" s="33" t="s">
        <v>322</v>
      </c>
    </row>
    <row r="31" customFormat="false" ht="15" hidden="false" customHeight="false" outlineLevel="0" collapsed="false">
      <c r="A31" s="10" t="s">
        <v>259</v>
      </c>
      <c r="B31" s="10" t="s">
        <v>326</v>
      </c>
      <c r="C31" s="10" t="s">
        <v>320</v>
      </c>
      <c r="D31" s="10" t="s">
        <v>321</v>
      </c>
      <c r="E31" s="32" t="n">
        <f aca="false">(E13+E15+E6*E19)*E19*E24^2/2+0.5*c_rho*E8*E7*E19^3*E24^4/4</f>
        <v>231525.949871631</v>
      </c>
      <c r="F31" s="32" t="n">
        <f aca="false">(F13+F15+F6*F19)*F19*F24^2/2+0.5*c_rho*F8*F7*F19^3*F24^4/4</f>
        <v>241668.015025509</v>
      </c>
      <c r="G31" s="33" t="s">
        <v>327</v>
      </c>
    </row>
    <row r="32" customFormat="false" ht="15" hidden="false" customHeight="false" outlineLevel="0" collapsed="false">
      <c r="A32" s="10" t="s">
        <v>259</v>
      </c>
      <c r="B32" s="10" t="s">
        <v>328</v>
      </c>
      <c r="C32" s="10"/>
      <c r="D32" s="10" t="s">
        <v>329</v>
      </c>
      <c r="E32" s="34" t="n">
        <f aca="false">(E28-E31)/E31*100</f>
        <v>1.00213580062829</v>
      </c>
      <c r="F32" s="34" t="n">
        <f aca="false">(F28-F31)/F31*100</f>
        <v>1.00177262282948</v>
      </c>
      <c r="G32" s="33"/>
    </row>
    <row r="33" customFormat="false" ht="15" hidden="false" customHeight="false" outlineLevel="0" collapsed="false">
      <c r="A33" s="10" t="s">
        <v>259</v>
      </c>
      <c r="B33" s="10" t="s">
        <v>330</v>
      </c>
      <c r="C33" s="10"/>
      <c r="D33" s="10" t="s">
        <v>329</v>
      </c>
      <c r="E33" s="34" t="n">
        <f aca="false">(E30-E31)/E31*100</f>
        <v>0.100211676874158</v>
      </c>
      <c r="F33" s="34" t="n">
        <f aca="false">(F30-F31)/F31*100</f>
        <v>0.100175682718056</v>
      </c>
      <c r="G33" s="33"/>
    </row>
    <row r="34" customFormat="false" ht="15" hidden="false" customHeight="false" outlineLevel="0" collapsed="false">
      <c r="A34" s="10" t="s">
        <v>259</v>
      </c>
      <c r="B34" s="10" t="s">
        <v>331</v>
      </c>
      <c r="C34" s="10" t="s">
        <v>332</v>
      </c>
      <c r="D34" s="10" t="s">
        <v>321</v>
      </c>
      <c r="E34" s="32" t="n">
        <f aca="false">E26*E24</f>
        <v>232015.547167869</v>
      </c>
      <c r="F34" s="32" t="n">
        <f aca="false">F26*F24</f>
        <v>242092.159818169</v>
      </c>
      <c r="G34" s="33" t="s">
        <v>333</v>
      </c>
    </row>
    <row r="35" customFormat="false" ht="15" hidden="false" customHeight="false" outlineLevel="0" collapsed="false">
      <c r="A35" s="10" t="s">
        <v>259</v>
      </c>
      <c r="B35" s="10" t="s">
        <v>334</v>
      </c>
      <c r="C35" s="10" t="s">
        <v>335</v>
      </c>
      <c r="D35" s="10" t="s">
        <v>321</v>
      </c>
      <c r="E35" s="32" t="n">
        <f aca="false">E29*E24</f>
        <v>231757.965908396</v>
      </c>
      <c r="F35" s="32" t="n">
        <f aca="false">F29*F24</f>
        <v>241910.107609472</v>
      </c>
      <c r="G35" s="33" t="s">
        <v>336</v>
      </c>
    </row>
    <row r="36" customFormat="false" ht="15" hidden="false" customHeight="false" outlineLevel="0" collapsed="false">
      <c r="A36" s="10" t="s">
        <v>259</v>
      </c>
      <c r="B36" s="10" t="s">
        <v>337</v>
      </c>
      <c r="C36" s="10" t="s">
        <v>320</v>
      </c>
      <c r="D36" s="10" t="s">
        <v>321</v>
      </c>
      <c r="E36" s="40" t="n">
        <f aca="false">E30</f>
        <v>231757.965908396</v>
      </c>
      <c r="F36" s="40" t="n">
        <f aca="false">F30</f>
        <v>241910.107609472</v>
      </c>
      <c r="G36" s="33"/>
    </row>
    <row r="37" customFormat="false" ht="15" hidden="false" customHeight="false" outlineLevel="0" collapsed="false">
      <c r="A37" s="16" t="s">
        <v>338</v>
      </c>
    </row>
    <row r="38" customFormat="false" ht="15" hidden="false" customHeight="false" outlineLevel="0" collapsed="false">
      <c r="A38" s="10" t="s">
        <v>268</v>
      </c>
      <c r="B38" s="10" t="s">
        <v>339</v>
      </c>
      <c r="C38" s="10" t="s">
        <v>340</v>
      </c>
      <c r="D38" s="10" t="s">
        <v>110</v>
      </c>
      <c r="E38" s="34" t="n">
        <f aca="false">E12*E24/2</f>
        <v>12.7081936746233</v>
      </c>
      <c r="F38" s="34" t="n">
        <f aca="false">F12*F24/2</f>
        <v>12.671501857142</v>
      </c>
      <c r="G38" s="33" t="s">
        <v>341</v>
      </c>
    </row>
    <row r="39" customFormat="false" ht="15" hidden="false" customHeight="false" outlineLevel="0" collapsed="false">
      <c r="A39" s="10" t="s">
        <v>342</v>
      </c>
      <c r="B39" s="10" t="s">
        <v>343</v>
      </c>
      <c r="C39" s="10" t="s">
        <v>344</v>
      </c>
      <c r="D39" s="10" t="s">
        <v>110</v>
      </c>
      <c r="E39" s="34" t="n">
        <f aca="false">E38</f>
        <v>12.7081936746233</v>
      </c>
      <c r="F39" s="34" t="n">
        <f aca="false">F38</f>
        <v>12.671501857142</v>
      </c>
      <c r="G39" s="33" t="s">
        <v>345</v>
      </c>
    </row>
    <row r="40" customFormat="false" ht="15" hidden="false" customHeight="false" outlineLevel="0" collapsed="false">
      <c r="A40" s="10" t="s">
        <v>342</v>
      </c>
      <c r="B40" s="10" t="s">
        <v>346</v>
      </c>
      <c r="C40" s="10" t="s">
        <v>347</v>
      </c>
      <c r="D40" s="10" t="s">
        <v>110</v>
      </c>
      <c r="E40" s="15" t="n">
        <f aca="false">E9-E38-E39</f>
        <v>557224.583612651</v>
      </c>
      <c r="F40" s="15" t="n">
        <f aca="false">F9-F38-F39</f>
        <v>645974.656996286</v>
      </c>
      <c r="G40" s="33" t="s">
        <v>348</v>
      </c>
    </row>
    <row r="41" customFormat="false" ht="15" hidden="false" customHeight="false" outlineLevel="0" collapsed="false">
      <c r="A41" s="10" t="s">
        <v>342</v>
      </c>
      <c r="B41" s="10" t="s">
        <v>349</v>
      </c>
      <c r="C41" s="10" t="s">
        <v>350</v>
      </c>
      <c r="D41" s="10" t="s">
        <v>68</v>
      </c>
      <c r="E41" s="14" t="n">
        <f aca="false">E40/E12</f>
        <v>40120.1700201109</v>
      </c>
      <c r="F41" s="14" t="n">
        <f aca="false">F40/F12</f>
        <v>46510.1753037326</v>
      </c>
      <c r="G41" s="33" t="s">
        <v>351</v>
      </c>
    </row>
    <row r="42" customFormat="false" ht="15" hidden="false" customHeight="false" outlineLevel="0" collapsed="false">
      <c r="A42" s="10" t="s">
        <v>342</v>
      </c>
      <c r="B42" s="10" t="s">
        <v>352</v>
      </c>
      <c r="C42" s="10" t="s">
        <v>353</v>
      </c>
      <c r="D42" s="10" t="s">
        <v>68</v>
      </c>
      <c r="E42" s="14" t="n">
        <f aca="false">E24+E41</f>
        <v>40122</v>
      </c>
      <c r="F42" s="14" t="n">
        <f aca="false">F24+F41</f>
        <v>46512</v>
      </c>
      <c r="G42" s="33"/>
    </row>
    <row r="43" customFormat="false" ht="15" hidden="false" customHeight="false" outlineLevel="0" collapsed="false">
      <c r="A43" s="10" t="s">
        <v>342</v>
      </c>
      <c r="B43" s="10" t="s">
        <v>354</v>
      </c>
      <c r="C43" s="10" t="s">
        <v>355</v>
      </c>
      <c r="D43" s="10" t="s">
        <v>68</v>
      </c>
      <c r="E43" s="14" t="n">
        <f aca="false">E42+E24</f>
        <v>40123.8299798892</v>
      </c>
      <c r="F43" s="14" t="n">
        <f aca="false">F42+F24</f>
        <v>46513.8246962674</v>
      </c>
      <c r="G43" s="33" t="s">
        <v>356</v>
      </c>
    </row>
    <row r="44" customFormat="false" ht="15" hidden="false" customHeight="false" outlineLevel="0" collapsed="false">
      <c r="A44" s="10" t="s">
        <v>357</v>
      </c>
      <c r="B44" s="10" t="s">
        <v>358</v>
      </c>
      <c r="C44" s="10" t="s">
        <v>359</v>
      </c>
      <c r="D44" s="10" t="s">
        <v>321</v>
      </c>
      <c r="E44" s="42" t="n">
        <f aca="false">E23*E41</f>
        <v>210345258.468823</v>
      </c>
      <c r="F44" s="42" t="n">
        <f aca="false">F23*F41</f>
        <v>245902188.165549</v>
      </c>
      <c r="G44" s="33" t="s">
        <v>360</v>
      </c>
    </row>
    <row r="45" customFormat="false" ht="15" hidden="false" customHeight="false" outlineLevel="0" collapsed="false">
      <c r="A45" s="10" t="s">
        <v>361</v>
      </c>
      <c r="B45" s="10" t="s">
        <v>362</v>
      </c>
      <c r="C45" s="10" t="s">
        <v>363</v>
      </c>
      <c r="D45" s="10" t="s">
        <v>321</v>
      </c>
      <c r="E45" s="32" t="n">
        <f aca="false">E36</f>
        <v>231757.965908396</v>
      </c>
      <c r="F45" s="32" t="n">
        <f aca="false">F36</f>
        <v>241910.107609472</v>
      </c>
      <c r="G45" s="33" t="s">
        <v>364</v>
      </c>
    </row>
    <row r="46" customFormat="false" ht="15" hidden="false" customHeight="false" outlineLevel="0" collapsed="false">
      <c r="A46" s="10" t="s">
        <v>361</v>
      </c>
      <c r="B46" s="10" t="s">
        <v>365</v>
      </c>
      <c r="C46" s="10" t="s">
        <v>366</v>
      </c>
      <c r="D46" s="10" t="s">
        <v>321</v>
      </c>
      <c r="E46" s="13" t="n">
        <f aca="false">E36+E44-E45</f>
        <v>210345258.468823</v>
      </c>
      <c r="F46" s="13" t="n">
        <f aca="false">F36+F44-F45</f>
        <v>245902188.165549</v>
      </c>
      <c r="G46" s="33" t="s">
        <v>367</v>
      </c>
    </row>
    <row r="47" customFormat="false" ht="15" hidden="false" customHeight="false" outlineLevel="0" collapsed="false">
      <c r="A47" s="16" t="s">
        <v>368</v>
      </c>
    </row>
    <row r="48" customFormat="false" ht="15" hidden="false" customHeight="false" outlineLevel="0" collapsed="false">
      <c r="A48" s="10" t="s">
        <v>369</v>
      </c>
      <c r="B48" s="10" t="s">
        <v>370</v>
      </c>
      <c r="C48" s="10" t="s">
        <v>371</v>
      </c>
      <c r="D48" s="10" t="s">
        <v>321</v>
      </c>
      <c r="E48" s="42" t="n">
        <f aca="false">E36/c_eta+E44/c_eta-c_eta*E45</f>
        <v>263035864.170688</v>
      </c>
      <c r="F48" s="42" t="n">
        <f aca="false">F36/c_eta+F44/c_eta-c_eta*F45</f>
        <v>307486594.75536</v>
      </c>
      <c r="G48" s="33" t="s">
        <v>372</v>
      </c>
    </row>
    <row r="49" customFormat="false" ht="15" hidden="false" customHeight="false" outlineLevel="0" collapsed="false">
      <c r="A49" s="10" t="s">
        <v>373</v>
      </c>
      <c r="B49" s="10" t="s">
        <v>374</v>
      </c>
      <c r="C49" s="10" t="s">
        <v>375</v>
      </c>
      <c r="D49" s="10" t="s">
        <v>321</v>
      </c>
      <c r="E49" s="42" t="n">
        <f aca="false">E48/(1-c_rez)</f>
        <v>375765520.24384</v>
      </c>
      <c r="F49" s="42" t="n">
        <f aca="false">F48/(1-c_rez)</f>
        <v>439266563.936229</v>
      </c>
      <c r="G49" s="33" t="s">
        <v>376</v>
      </c>
    </row>
    <row r="50" customFormat="false" ht="15" hidden="false" customHeight="false" outlineLevel="0" collapsed="false">
      <c r="A50" s="10" t="s">
        <v>373</v>
      </c>
      <c r="B50" s="10" t="s">
        <v>377</v>
      </c>
      <c r="C50" s="10" t="s">
        <v>375</v>
      </c>
      <c r="D50" s="10" t="s">
        <v>71</v>
      </c>
      <c r="E50" s="37" t="n">
        <f aca="false">E49/3600000</f>
        <v>104.379311178844</v>
      </c>
      <c r="F50" s="37" t="n">
        <f aca="false">F49/3600000</f>
        <v>122.018489982286</v>
      </c>
      <c r="G50" s="33"/>
    </row>
    <row r="51" customFormat="false" ht="15" hidden="false" customHeight="false" outlineLevel="0" collapsed="false">
      <c r="A51" s="10"/>
      <c r="B51" s="10" t="s">
        <v>378</v>
      </c>
      <c r="C51" s="10"/>
      <c r="D51" s="10" t="s">
        <v>71</v>
      </c>
      <c r="E51" s="15" t="n">
        <f aca="false">E48/3600000</f>
        <v>73.0655178251911</v>
      </c>
      <c r="F51" s="15" t="n">
        <f aca="false">F48/3600000</f>
        <v>85.4129429876001</v>
      </c>
      <c r="G51" s="33"/>
    </row>
    <row r="52" customFormat="false" ht="23.85" hidden="false" customHeight="false" outlineLevel="0" collapsed="false">
      <c r="A52" s="10"/>
      <c r="B52" s="10" t="s">
        <v>379</v>
      </c>
      <c r="C52" s="10"/>
      <c r="D52" s="10" t="s">
        <v>73</v>
      </c>
      <c r="E52" s="14" t="n">
        <f aca="false">E48/E9*100/3600</f>
        <v>13.1118022117884</v>
      </c>
      <c r="F52" s="14" t="n">
        <f aca="false">F48/F9*100/3600</f>
        <v>13.2218177999381</v>
      </c>
      <c r="G52" s="33"/>
    </row>
    <row r="53" customFormat="false" ht="23.85" hidden="false" customHeight="false" outlineLevel="0" collapsed="false">
      <c r="A53" s="10"/>
      <c r="B53" s="10" t="s">
        <v>380</v>
      </c>
      <c r="C53" s="10"/>
      <c r="D53" s="10" t="s">
        <v>73</v>
      </c>
      <c r="E53" s="14" t="n">
        <f aca="false">'Date documentare'!Y16</f>
        <v>21.3857142857143</v>
      </c>
      <c r="F53" s="14" t="n">
        <f aca="false">'Date documentare'!Y6</f>
        <v>19.45</v>
      </c>
      <c r="G53" s="33" t="s">
        <v>381</v>
      </c>
    </row>
    <row r="54" customFormat="false" ht="15" hidden="false" customHeight="false" outlineLevel="0" collapsed="false">
      <c r="A54" s="10"/>
      <c r="B54" s="10" t="s">
        <v>382</v>
      </c>
      <c r="C54" s="10"/>
      <c r="D54" s="10" t="s">
        <v>71</v>
      </c>
      <c r="E54" s="32" t="n">
        <f aca="false">'Date documentare'!I16</f>
        <v>99.27</v>
      </c>
      <c r="F54" s="32" t="n">
        <f aca="false">'Date documentare'!I6</f>
        <v>106</v>
      </c>
      <c r="G54"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12"/>
    <col collapsed="false" customWidth="true" hidden="false" outlineLevel="0" max="5" min="5" style="0" width="13"/>
    <col collapsed="false" customWidth="true" hidden="false" outlineLevel="0" max="6" min="6" style="0" width="7"/>
    <col collapsed="false" customWidth="true" hidden="false" outlineLevel="0" max="9" min="7" style="0" width="12"/>
    <col collapsed="false" customWidth="true" hidden="false" outlineLevel="0" max="10" min="10" style="0" width="13"/>
  </cols>
  <sheetData>
    <row r="1" customFormat="false" ht="17.35" hidden="false" customHeight="false" outlineLevel="0" collapsed="false">
      <c r="A1" s="1" t="s">
        <v>383</v>
      </c>
    </row>
    <row r="2" customFormat="false" ht="15" hidden="false" customHeight="false" outlineLevel="0" collapsed="false">
      <c r="A2" s="2" t="s">
        <v>384</v>
      </c>
    </row>
    <row r="3" customFormat="false" ht="15" hidden="false" customHeight="false" outlineLevel="0" collapsed="false">
      <c r="A3" s="16" t="s">
        <v>50</v>
      </c>
      <c r="F3" s="16" t="s">
        <v>385</v>
      </c>
    </row>
    <row r="4" customFormat="false" ht="15" hidden="false" customHeight="false" outlineLevel="0" collapsed="false">
      <c r="B4" s="16" t="s">
        <v>386</v>
      </c>
      <c r="C4" s="43" t="n">
        <f aca="false">SUM(E10:E109)/100</f>
        <v>127786.188083302</v>
      </c>
      <c r="G4" s="16" t="s">
        <v>386</v>
      </c>
      <c r="H4" s="43" t="n">
        <f aca="false">SUM(J10:J109)/100</f>
        <v>133769.648897328</v>
      </c>
    </row>
    <row r="5" customFormat="false" ht="15" hidden="false" customHeight="false" outlineLevel="0" collapsed="false">
      <c r="B5" s="16" t="s">
        <v>387</v>
      </c>
      <c r="C5" s="43" t="n">
        <f aca="false">SUM(E9:E109)*C6</f>
        <v>233846.154303039</v>
      </c>
      <c r="G5" s="16" t="s">
        <v>387</v>
      </c>
      <c r="H5" s="43" t="n">
        <f aca="false">SUM(J9:J109)*H6</f>
        <v>244088.97903817</v>
      </c>
    </row>
    <row r="6" customFormat="false" ht="15" hidden="false" customHeight="false" outlineLevel="0" collapsed="false">
      <c r="B6" s="16" t="s">
        <v>388</v>
      </c>
      <c r="C6" s="44" t="n">
        <f aca="false">'P3 Energie'!E24/100</f>
        <v>0.0182997988914575</v>
      </c>
      <c r="G6" s="16" t="s">
        <v>388</v>
      </c>
      <c r="H6" s="44" t="n">
        <f aca="false">'P3 Energie'!F24/100</f>
        <v>0.0182469626742845</v>
      </c>
    </row>
    <row r="7" customFormat="false" ht="15" hidden="false" customHeight="false" outlineLevel="0" collapsed="false">
      <c r="B7" s="16" t="s">
        <v>389</v>
      </c>
      <c r="C7" s="44" t="n">
        <f aca="false">'P3 Energie'!E19</f>
        <v>7.58964017652257</v>
      </c>
      <c r="G7" s="16" t="s">
        <v>389</v>
      </c>
      <c r="H7" s="44" t="n">
        <f aca="false">'P3 Energie'!F19</f>
        <v>7.61161686841313</v>
      </c>
    </row>
    <row r="8" customFormat="false" ht="15" hidden="false" customHeight="false" outlineLevel="0" collapsed="false">
      <c r="A8" s="45" t="s">
        <v>390</v>
      </c>
      <c r="B8" s="45" t="s">
        <v>391</v>
      </c>
      <c r="C8" s="45" t="s">
        <v>392</v>
      </c>
      <c r="D8" s="45" t="s">
        <v>393</v>
      </c>
      <c r="E8" s="45" t="s">
        <v>394</v>
      </c>
      <c r="F8" s="45" t="s">
        <v>390</v>
      </c>
      <c r="G8" s="45" t="s">
        <v>391</v>
      </c>
      <c r="H8" s="45" t="s">
        <v>392</v>
      </c>
      <c r="I8" s="45" t="s">
        <v>393</v>
      </c>
      <c r="J8" s="45" t="s">
        <v>394</v>
      </c>
    </row>
    <row r="9" customFormat="false" ht="15" hidden="false" customHeight="false" outlineLevel="0" collapsed="false">
      <c r="A9" s="46" t="n">
        <v>0</v>
      </c>
      <c r="B9" s="47" t="n">
        <f aca="false">A9*$C$6</f>
        <v>0</v>
      </c>
      <c r="C9" s="48" t="n">
        <f aca="false">$C$7*B9</f>
        <v>0</v>
      </c>
      <c r="D9" s="49" t="n">
        <f aca="false">0.5*c_rho*'P3 Energie'!E8*'P3 Energie'!E7*(C9-c_Vv)^2+'P3 Energie'!E13+'P3 Energie'!E15+'P3 Energie'!E6*$C$7</f>
        <v>18180.1095018519</v>
      </c>
      <c r="E9" s="50" t="n">
        <f aca="false">D9*C9</f>
        <v>0</v>
      </c>
      <c r="F9" s="46" t="n">
        <v>0</v>
      </c>
      <c r="G9" s="47" t="n">
        <f aca="false">F9*$H$6</f>
        <v>0</v>
      </c>
      <c r="H9" s="48" t="n">
        <f aca="false">$H$7*G9</f>
        <v>0</v>
      </c>
      <c r="I9" s="49" t="n">
        <f aca="false">0.5*c_rho*'P3 Energie'!F8*'P3 Energie'!F7*(H9-c_Vv)^2+'P3 Energie'!F13+'P3 Energie'!F15+'P3 Energie'!F6*$H$7</f>
        <v>19038.3012962963</v>
      </c>
      <c r="J9" s="50" t="n">
        <f aca="false">I9*H9</f>
        <v>0</v>
      </c>
    </row>
    <row r="10" customFormat="false" ht="15" hidden="false" customHeight="false" outlineLevel="0" collapsed="false">
      <c r="A10" s="46" t="n">
        <v>1</v>
      </c>
      <c r="B10" s="47" t="n">
        <f aca="false">A10*$C$6</f>
        <v>0.0182997988914575</v>
      </c>
      <c r="C10" s="48" t="n">
        <f aca="false">$C$7*B10</f>
        <v>0.138888888888889</v>
      </c>
      <c r="D10" s="49" t="n">
        <f aca="false">0.5*c_rho*'P3 Energie'!E8*'P3 Energie'!E7*(C10-c_Vv)^2+'P3 Energie'!E13+'P3 Energie'!E15+'P3 Energie'!E6*$C$7</f>
        <v>18180.1172070743</v>
      </c>
      <c r="E10" s="50" t="n">
        <f aca="false">D10*C10</f>
        <v>2525.01627876032</v>
      </c>
      <c r="F10" s="46" t="n">
        <v>1</v>
      </c>
      <c r="G10" s="47" t="n">
        <f aca="false">F10*$H$6</f>
        <v>0.0182469626742845</v>
      </c>
      <c r="H10" s="48" t="n">
        <f aca="false">$H$7*G10</f>
        <v>0.138888888888889</v>
      </c>
      <c r="I10" s="49" t="n">
        <f aca="false">0.5*c_rho*'P3 Energie'!F8*'P3 Energie'!F7*(H10-c_Vv)^2+'P3 Energie'!F13+'P3 Energie'!F15+'P3 Energie'!F6*$H$7</f>
        <v>19038.3079907639</v>
      </c>
      <c r="J10" s="50" t="n">
        <f aca="false">I10*H10</f>
        <v>2644.20944316165</v>
      </c>
    </row>
    <row r="11" customFormat="false" ht="15" hidden="false" customHeight="false" outlineLevel="0" collapsed="false">
      <c r="A11" s="46" t="n">
        <v>2</v>
      </c>
      <c r="B11" s="47" t="n">
        <f aca="false">A11*$C$6</f>
        <v>0.036599597782915</v>
      </c>
      <c r="C11" s="48" t="n">
        <f aca="false">$C$7*B11</f>
        <v>0.277777777777778</v>
      </c>
      <c r="D11" s="49" t="n">
        <f aca="false">0.5*c_rho*'P3 Energie'!E8*'P3 Energie'!E7*(C11-c_Vv)^2+'P3 Energie'!E13+'P3 Energie'!E15+'P3 Energie'!E6*$C$7</f>
        <v>18180.1403227417</v>
      </c>
      <c r="E11" s="50" t="n">
        <f aca="false">D11*C11</f>
        <v>5050.03897853935</v>
      </c>
      <c r="F11" s="46" t="n">
        <v>2</v>
      </c>
      <c r="G11" s="47" t="n">
        <f aca="false">F11*$H$6</f>
        <v>0.0364939253485691</v>
      </c>
      <c r="H11" s="48" t="n">
        <f aca="false">$H$7*G11</f>
        <v>0.277777777777778</v>
      </c>
      <c r="I11" s="49" t="n">
        <f aca="false">0.5*c_rho*'P3 Energie'!F8*'P3 Energie'!F7*(H11-c_Vv)^2+'P3 Energie'!F13+'P3 Energie'!F15+'P3 Energie'!F6*$H$7</f>
        <v>19038.3280741667</v>
      </c>
      <c r="J11" s="50" t="n">
        <f aca="false">I11*H11</f>
        <v>5288.4244650463</v>
      </c>
    </row>
    <row r="12" customFormat="false" ht="15" hidden="false" customHeight="false" outlineLevel="0" collapsed="false">
      <c r="A12" s="46" t="n">
        <v>3</v>
      </c>
      <c r="B12" s="47" t="n">
        <f aca="false">A12*$C$6</f>
        <v>0.0548993966743725</v>
      </c>
      <c r="C12" s="48" t="n">
        <f aca="false">$C$7*B12</f>
        <v>0.416666666666667</v>
      </c>
      <c r="D12" s="49" t="n">
        <f aca="false">0.5*c_rho*'P3 Energie'!E8*'P3 Energie'!E7*(C12-c_Vv)^2+'P3 Energie'!E13+'P3 Energie'!E15+'P3 Energie'!E6*$C$7</f>
        <v>18180.1788488539</v>
      </c>
      <c r="E12" s="50" t="n">
        <f aca="false">D12*C12</f>
        <v>7575.07452035581</v>
      </c>
      <c r="F12" s="46" t="n">
        <v>3</v>
      </c>
      <c r="G12" s="47" t="n">
        <f aca="false">F12*$H$6</f>
        <v>0.0547408880228536</v>
      </c>
      <c r="H12" s="48" t="n">
        <f aca="false">$H$7*G12</f>
        <v>0.416666666666667</v>
      </c>
      <c r="I12" s="49" t="n">
        <f aca="false">0.5*c_rho*'P3 Energie'!F8*'P3 Energie'!F7*(H12-c_Vv)^2+'P3 Energie'!F13+'P3 Energie'!F15+'P3 Energie'!F6*$H$7</f>
        <v>19038.3615465046</v>
      </c>
      <c r="J12" s="50" t="n">
        <f aca="false">I12*H12</f>
        <v>7932.65064437693</v>
      </c>
    </row>
    <row r="13" customFormat="false" ht="15" hidden="false" customHeight="false" outlineLevel="0" collapsed="false">
      <c r="A13" s="46" t="n">
        <v>4</v>
      </c>
      <c r="B13" s="47" t="n">
        <f aca="false">A13*$C$6</f>
        <v>0.07319919556583</v>
      </c>
      <c r="C13" s="48" t="n">
        <f aca="false">$C$7*B13</f>
        <v>0.555555555555556</v>
      </c>
      <c r="D13" s="49" t="n">
        <f aca="false">0.5*c_rho*'P3 Energie'!E8*'P3 Energie'!E7*(C13-c_Vv)^2+'P3 Energie'!E13+'P3 Energie'!E15+'P3 Energie'!E6*$C$7</f>
        <v>18180.2327854111</v>
      </c>
      <c r="E13" s="50" t="n">
        <f aca="false">D13*C13</f>
        <v>10100.1293252284</v>
      </c>
      <c r="F13" s="46" t="n">
        <v>4</v>
      </c>
      <c r="G13" s="47" t="n">
        <f aca="false">F13*$H$6</f>
        <v>0.0729878506971382</v>
      </c>
      <c r="H13" s="48" t="n">
        <f aca="false">$H$7*G13</f>
        <v>0.555555555555556</v>
      </c>
      <c r="I13" s="49" t="n">
        <f aca="false">0.5*c_rho*'P3 Energie'!F8*'P3 Energie'!F7*(H13-c_Vv)^2+'P3 Energie'!F13+'P3 Energie'!F15+'P3 Energie'!F6*$H$7</f>
        <v>19038.4084077778</v>
      </c>
      <c r="J13" s="50" t="n">
        <f aca="false">I13*H13</f>
        <v>10576.8935598765</v>
      </c>
    </row>
    <row r="14" customFormat="false" ht="15" hidden="false" customHeight="false" outlineLevel="0" collapsed="false">
      <c r="A14" s="46" t="n">
        <v>5</v>
      </c>
      <c r="B14" s="47" t="n">
        <f aca="false">A14*$C$6</f>
        <v>0.0914989944572875</v>
      </c>
      <c r="C14" s="48" t="n">
        <f aca="false">$C$7*B14</f>
        <v>0.694444444444444</v>
      </c>
      <c r="D14" s="49" t="n">
        <f aca="false">0.5*c_rho*'P3 Energie'!E8*'P3 Energie'!E7*(C14-c_Vv)^2+'P3 Energie'!E13+'P3 Energie'!E15+'P3 Energie'!E6*$C$7</f>
        <v>18180.3021324132</v>
      </c>
      <c r="E14" s="50" t="n">
        <f aca="false">D14*C14</f>
        <v>12625.2098141758</v>
      </c>
      <c r="F14" s="46" t="n">
        <v>5</v>
      </c>
      <c r="G14" s="47" t="n">
        <f aca="false">F14*$H$6</f>
        <v>0.0912348133714227</v>
      </c>
      <c r="H14" s="48" t="n">
        <f aca="false">$H$7*G14</f>
        <v>0.694444444444445</v>
      </c>
      <c r="I14" s="49" t="n">
        <f aca="false">0.5*c_rho*'P3 Energie'!F8*'P3 Energie'!F7*(H14-c_Vv)^2+'P3 Energie'!F13+'P3 Energie'!F15+'P3 Energie'!F6*$H$7</f>
        <v>19038.4686579861</v>
      </c>
      <c r="J14" s="50" t="n">
        <f aca="false">I14*H14</f>
        <v>13221.1587902681</v>
      </c>
    </row>
    <row r="15" customFormat="false" ht="15" hidden="false" customHeight="false" outlineLevel="0" collapsed="false">
      <c r="A15" s="46" t="n">
        <v>6</v>
      </c>
      <c r="B15" s="47" t="n">
        <f aca="false">A15*$C$6</f>
        <v>0.109798793348745</v>
      </c>
      <c r="C15" s="48" t="n">
        <f aca="false">$C$7*B15</f>
        <v>0.833333333333333</v>
      </c>
      <c r="D15" s="49" t="n">
        <f aca="false">0.5*c_rho*'P3 Energie'!E8*'P3 Energie'!E7*(C15-c_Vv)^2+'P3 Energie'!E13+'P3 Energie'!E15+'P3 Energie'!E6*$C$7</f>
        <v>18180.3868898602</v>
      </c>
      <c r="E15" s="50" t="n">
        <f aca="false">D15*C15</f>
        <v>15150.3224082168</v>
      </c>
      <c r="F15" s="46" t="n">
        <v>6</v>
      </c>
      <c r="G15" s="47" t="n">
        <f aca="false">F15*$H$6</f>
        <v>0.109481776045707</v>
      </c>
      <c r="H15" s="48" t="n">
        <f aca="false">$H$7*G15</f>
        <v>0.833333333333334</v>
      </c>
      <c r="I15" s="49" t="n">
        <f aca="false">0.5*c_rho*'P3 Energie'!F8*'P3 Energie'!F7*(H15-c_Vv)^2+'P3 Energie'!F13+'P3 Energie'!F15+'P3 Energie'!F6*$H$7</f>
        <v>19038.5422971296</v>
      </c>
      <c r="J15" s="50" t="n">
        <f aca="false">I15*H15</f>
        <v>15865.4519142747</v>
      </c>
    </row>
    <row r="16" customFormat="false" ht="15" hidden="false" customHeight="false" outlineLevel="0" collapsed="false">
      <c r="A16" s="46" t="n">
        <v>7</v>
      </c>
      <c r="B16" s="47" t="n">
        <f aca="false">A16*$C$6</f>
        <v>0.128098592240202</v>
      </c>
      <c r="C16" s="48" t="n">
        <f aca="false">$C$7*B16</f>
        <v>0.972222222222222</v>
      </c>
      <c r="D16" s="49" t="n">
        <f aca="false">0.5*c_rho*'P3 Energie'!E8*'P3 Energie'!E7*(C16-c_Vv)^2+'P3 Energie'!E13+'P3 Energie'!E15+'P3 Energie'!E6*$C$7</f>
        <v>18180.4870577521</v>
      </c>
      <c r="E16" s="50" t="n">
        <f aca="false">D16*C16</f>
        <v>17675.4735283701</v>
      </c>
      <c r="F16" s="46" t="n">
        <v>7</v>
      </c>
      <c r="G16" s="47" t="n">
        <f aca="false">F16*$H$6</f>
        <v>0.127728738719992</v>
      </c>
      <c r="H16" s="48" t="n">
        <f aca="false">$H$7*G16</f>
        <v>0.972222222222222</v>
      </c>
      <c r="I16" s="49" t="n">
        <f aca="false">0.5*c_rho*'P3 Energie'!F8*'P3 Energie'!F7*(H16-c_Vv)^2+'P3 Energie'!F13+'P3 Energie'!F15+'P3 Energie'!F6*$H$7</f>
        <v>19038.6293252083</v>
      </c>
      <c r="J16" s="50" t="n">
        <f aca="false">I16*H16</f>
        <v>18509.7785106192</v>
      </c>
    </row>
    <row r="17" customFormat="false" ht="15" hidden="false" customHeight="false" outlineLevel="0" collapsed="false">
      <c r="A17" s="46" t="n">
        <v>8</v>
      </c>
      <c r="B17" s="47" t="n">
        <f aca="false">A17*$C$6</f>
        <v>0.14639839113166</v>
      </c>
      <c r="C17" s="48" t="n">
        <f aca="false">$C$7*B17</f>
        <v>1.11111111111111</v>
      </c>
      <c r="D17" s="49" t="n">
        <f aca="false">0.5*c_rho*'P3 Energie'!E8*'P3 Energie'!E7*(C17-c_Vv)^2+'P3 Energie'!E13+'P3 Energie'!E15+'P3 Energie'!E6*$C$7</f>
        <v>18180.6026360889</v>
      </c>
      <c r="E17" s="50" t="n">
        <f aca="false">D17*C17</f>
        <v>20200.6695956543</v>
      </c>
      <c r="F17" s="46" t="n">
        <v>8</v>
      </c>
      <c r="G17" s="47" t="n">
        <f aca="false">F17*$H$6</f>
        <v>0.145975701394276</v>
      </c>
      <c r="H17" s="48" t="n">
        <f aca="false">$H$7*G17</f>
        <v>1.11111111111111</v>
      </c>
      <c r="I17" s="49" t="n">
        <f aca="false">0.5*c_rho*'P3 Energie'!F8*'P3 Energie'!F7*(H17-c_Vv)^2+'P3 Energie'!F13+'P3 Energie'!F15+'P3 Energie'!F6*$H$7</f>
        <v>19038.7297422222</v>
      </c>
      <c r="J17" s="50" t="n">
        <f aca="false">I17*H17</f>
        <v>21154.1441580247</v>
      </c>
    </row>
    <row r="18" customFormat="false" ht="15" hidden="false" customHeight="false" outlineLevel="0" collapsed="false">
      <c r="A18" s="46" t="n">
        <v>9</v>
      </c>
      <c r="B18" s="47" t="n">
        <f aca="false">A18*$C$6</f>
        <v>0.164698190023117</v>
      </c>
      <c r="C18" s="48" t="n">
        <f aca="false">$C$7*B18</f>
        <v>1.25</v>
      </c>
      <c r="D18" s="49" t="n">
        <f aca="false">0.5*c_rho*'P3 Energie'!E8*'P3 Energie'!E7*(C18-c_Vv)^2+'P3 Energie'!E13+'P3 Energie'!E15+'P3 Energie'!E6*$C$7</f>
        <v>18180.7336248706</v>
      </c>
      <c r="E18" s="50" t="n">
        <f aca="false">D18*C18</f>
        <v>22725.9170310883</v>
      </c>
      <c r="F18" s="46" t="n">
        <v>9</v>
      </c>
      <c r="G18" s="47" t="n">
        <f aca="false">F18*$H$6</f>
        <v>0.164222664068561</v>
      </c>
      <c r="H18" s="48" t="n">
        <f aca="false">$H$7*G18</f>
        <v>1.25</v>
      </c>
      <c r="I18" s="49" t="n">
        <f aca="false">0.5*c_rho*'P3 Energie'!F8*'P3 Energie'!F7*(H18-c_Vv)^2+'P3 Energie'!F13+'P3 Energie'!F15+'P3 Energie'!F6*$H$7</f>
        <v>19038.8435481713</v>
      </c>
      <c r="J18" s="50" t="n">
        <f aca="false">I18*H18</f>
        <v>23798.5544352141</v>
      </c>
    </row>
    <row r="19" customFormat="false" ht="15" hidden="false" customHeight="false" outlineLevel="0" collapsed="false">
      <c r="A19" s="46" t="n">
        <v>10</v>
      </c>
      <c r="B19" s="47" t="n">
        <f aca="false">A19*$C$6</f>
        <v>0.182997988914575</v>
      </c>
      <c r="C19" s="48" t="n">
        <f aca="false">$C$7*B19</f>
        <v>1.38888888888889</v>
      </c>
      <c r="D19" s="49" t="n">
        <f aca="false">0.5*c_rho*'P3 Energie'!E8*'P3 Energie'!E7*(C19-c_Vv)^2+'P3 Energie'!E13+'P3 Energie'!E15+'P3 Energie'!E6*$C$7</f>
        <v>18180.8800240972</v>
      </c>
      <c r="E19" s="50" t="n">
        <f aca="false">D19*C19</f>
        <v>25251.2222556906</v>
      </c>
      <c r="F19" s="46" t="n">
        <v>10</v>
      </c>
      <c r="G19" s="47" t="n">
        <f aca="false">F19*$H$6</f>
        <v>0.182469626742845</v>
      </c>
      <c r="H19" s="48" t="n">
        <f aca="false">$H$7*G19</f>
        <v>1.38888888888889</v>
      </c>
      <c r="I19" s="49" t="n">
        <f aca="false">0.5*c_rho*'P3 Energie'!F8*'P3 Energie'!F7*(H19-c_Vv)^2+'P3 Energie'!F13+'P3 Energie'!F15+'P3 Energie'!F6*$H$7</f>
        <v>19038.9707430556</v>
      </c>
      <c r="J19" s="50" t="n">
        <f aca="false">I19*H19</f>
        <v>26443.0149209105</v>
      </c>
    </row>
    <row r="20" customFormat="false" ht="15" hidden="false" customHeight="false" outlineLevel="0" collapsed="false">
      <c r="A20" s="46" t="n">
        <v>11</v>
      </c>
      <c r="B20" s="47" t="n">
        <f aca="false">A20*$C$6</f>
        <v>0.201297787806032</v>
      </c>
      <c r="C20" s="48" t="n">
        <f aca="false">$C$7*B20</f>
        <v>1.52777777777778</v>
      </c>
      <c r="D20" s="49" t="n">
        <f aca="false">0.5*c_rho*'P3 Energie'!E8*'P3 Energie'!E7*(C20-c_Vv)^2+'P3 Energie'!E13+'P3 Energie'!E15+'P3 Energie'!E6*$C$7</f>
        <v>18181.0418337688</v>
      </c>
      <c r="E20" s="50" t="n">
        <f aca="false">D20*C20</f>
        <v>27776.5916904801</v>
      </c>
      <c r="F20" s="46" t="n">
        <v>11</v>
      </c>
      <c r="G20" s="47" t="n">
        <f aca="false">F20*$H$6</f>
        <v>0.20071658941713</v>
      </c>
      <c r="H20" s="48" t="n">
        <f aca="false">$H$7*G20</f>
        <v>1.52777777777778</v>
      </c>
      <c r="I20" s="49" t="n">
        <f aca="false">0.5*c_rho*'P3 Energie'!F8*'P3 Energie'!F7*(H20-c_Vv)^2+'P3 Energie'!F13+'P3 Energie'!F15+'P3 Energie'!F6*$H$7</f>
        <v>19039.111326875</v>
      </c>
      <c r="J20" s="50" t="n">
        <f aca="false">I20*H20</f>
        <v>29087.5311938368</v>
      </c>
    </row>
    <row r="21" customFormat="false" ht="15" hidden="false" customHeight="false" outlineLevel="0" collapsed="false">
      <c r="A21" s="46" t="n">
        <v>12</v>
      </c>
      <c r="B21" s="47" t="n">
        <f aca="false">A21*$C$6</f>
        <v>0.21959758669749</v>
      </c>
      <c r="C21" s="48" t="n">
        <f aca="false">$C$7*B21</f>
        <v>1.66666666666667</v>
      </c>
      <c r="D21" s="49" t="n">
        <f aca="false">0.5*c_rho*'P3 Energie'!E8*'P3 Energie'!E7*(C21-c_Vv)^2+'P3 Energie'!E13+'P3 Energie'!E15+'P3 Energie'!E6*$C$7</f>
        <v>18181.2190538852</v>
      </c>
      <c r="E21" s="50" t="n">
        <f aca="false">D21*C21</f>
        <v>30302.0317564753</v>
      </c>
      <c r="F21" s="46" t="n">
        <v>12</v>
      </c>
      <c r="G21" s="47" t="n">
        <f aca="false">F21*$H$6</f>
        <v>0.218963552091414</v>
      </c>
      <c r="H21" s="48" t="n">
        <f aca="false">$H$7*G21</f>
        <v>1.66666666666667</v>
      </c>
      <c r="I21" s="49" t="n">
        <f aca="false">0.5*c_rho*'P3 Energie'!F8*'P3 Energie'!F7*(H21-c_Vv)^2+'P3 Energie'!F13+'P3 Energie'!F15+'P3 Energie'!F6*$H$7</f>
        <v>19039.2652996296</v>
      </c>
      <c r="J21" s="50" t="n">
        <f aca="false">I21*H21</f>
        <v>31732.1088327161</v>
      </c>
    </row>
    <row r="22" customFormat="false" ht="15" hidden="false" customHeight="false" outlineLevel="0" collapsed="false">
      <c r="A22" s="46" t="n">
        <v>13</v>
      </c>
      <c r="B22" s="47" t="n">
        <f aca="false">A22*$C$6</f>
        <v>0.237897385588947</v>
      </c>
      <c r="C22" s="48" t="n">
        <f aca="false">$C$7*B22</f>
        <v>1.80555555555556</v>
      </c>
      <c r="D22" s="49" t="n">
        <f aca="false">0.5*c_rho*'P3 Energie'!E8*'P3 Energie'!E7*(C22-c_Vv)^2+'P3 Energie'!E13+'P3 Energie'!E15+'P3 Energie'!E6*$C$7</f>
        <v>18181.4116844465</v>
      </c>
      <c r="E22" s="50" t="n">
        <f aca="false">D22*C22</f>
        <v>32827.5488746951</v>
      </c>
      <c r="F22" s="46" t="n">
        <v>13</v>
      </c>
      <c r="G22" s="47" t="n">
        <f aca="false">F22*$H$6</f>
        <v>0.237210514765699</v>
      </c>
      <c r="H22" s="48" t="n">
        <f aca="false">$H$7*G22</f>
        <v>1.80555555555556</v>
      </c>
      <c r="I22" s="49" t="n">
        <f aca="false">0.5*c_rho*'P3 Energie'!F8*'P3 Energie'!F7*(H22-c_Vv)^2+'P3 Energie'!F13+'P3 Energie'!F15+'P3 Energie'!F6*$H$7</f>
        <v>19039.4326613194</v>
      </c>
      <c r="J22" s="50" t="n">
        <f aca="false">I22*H22</f>
        <v>34376.7534162712</v>
      </c>
    </row>
    <row r="23" customFormat="false" ht="15" hidden="false" customHeight="false" outlineLevel="0" collapsed="false">
      <c r="A23" s="46" t="n">
        <v>14</v>
      </c>
      <c r="B23" s="47" t="n">
        <f aca="false">A23*$C$6</f>
        <v>0.256197184480405</v>
      </c>
      <c r="C23" s="48" t="n">
        <f aca="false">$C$7*B23</f>
        <v>1.94444444444444</v>
      </c>
      <c r="D23" s="49" t="n">
        <f aca="false">0.5*c_rho*'P3 Energie'!E8*'P3 Energie'!E7*(C23-c_Vv)^2+'P3 Energie'!E13+'P3 Energie'!E15+'P3 Energie'!E6*$C$7</f>
        <v>18181.6197254528</v>
      </c>
      <c r="E23" s="50" t="n">
        <f aca="false">D23*C23</f>
        <v>35353.1494661582</v>
      </c>
      <c r="F23" s="46" t="n">
        <v>14</v>
      </c>
      <c r="G23" s="47" t="n">
        <f aca="false">F23*$H$6</f>
        <v>0.255457477439984</v>
      </c>
      <c r="H23" s="48" t="n">
        <f aca="false">$H$7*G23</f>
        <v>1.94444444444444</v>
      </c>
      <c r="I23" s="49" t="n">
        <f aca="false">0.5*c_rho*'P3 Energie'!F8*'P3 Energie'!F7*(H23-c_Vv)^2+'P3 Energie'!F13+'P3 Energie'!F15+'P3 Energie'!F6*$H$7</f>
        <v>19039.6134119444</v>
      </c>
      <c r="J23" s="50" t="n">
        <f aca="false">I23*H23</f>
        <v>37021.4705232253</v>
      </c>
    </row>
    <row r="24" customFormat="false" ht="15" hidden="false" customHeight="false" outlineLevel="0" collapsed="false">
      <c r="A24" s="46" t="n">
        <v>15</v>
      </c>
      <c r="B24" s="47" t="n">
        <f aca="false">A24*$C$6</f>
        <v>0.274496983371862</v>
      </c>
      <c r="C24" s="48" t="n">
        <f aca="false">$C$7*B24</f>
        <v>2.08333333333333</v>
      </c>
      <c r="D24" s="49" t="n">
        <f aca="false">0.5*c_rho*'P3 Energie'!E8*'P3 Energie'!E7*(C24-c_Vv)^2+'P3 Energie'!E13+'P3 Energie'!E15+'P3 Energie'!E6*$C$7</f>
        <v>18181.8431769039</v>
      </c>
      <c r="E24" s="50" t="n">
        <f aca="false">D24*C24</f>
        <v>37878.8399518832</v>
      </c>
      <c r="F24" s="46" t="n">
        <v>15</v>
      </c>
      <c r="G24" s="47" t="n">
        <f aca="false">F24*$H$6</f>
        <v>0.273704440114268</v>
      </c>
      <c r="H24" s="48" t="n">
        <f aca="false">$H$7*G24</f>
        <v>2.08333333333333</v>
      </c>
      <c r="I24" s="49" t="n">
        <f aca="false">0.5*c_rho*'P3 Energie'!F8*'P3 Energie'!F7*(H24-c_Vv)^2+'P3 Energie'!F13+'P3 Energie'!F15+'P3 Energie'!F6*$H$7</f>
        <v>19039.8075515046</v>
      </c>
      <c r="J24" s="50" t="n">
        <f aca="false">I24*H24</f>
        <v>39666.2657323013</v>
      </c>
    </row>
    <row r="25" customFormat="false" ht="15" hidden="false" customHeight="false" outlineLevel="0" collapsed="false">
      <c r="A25" s="46" t="n">
        <v>16</v>
      </c>
      <c r="B25" s="47" t="n">
        <f aca="false">A25*$C$6</f>
        <v>0.29279678226332</v>
      </c>
      <c r="C25" s="48" t="n">
        <f aca="false">$C$7*B25</f>
        <v>2.22222222222222</v>
      </c>
      <c r="D25" s="49" t="n">
        <f aca="false">0.5*c_rho*'P3 Energie'!E8*'P3 Energie'!E7*(C25-c_Vv)^2+'P3 Energie'!E13+'P3 Energie'!E15+'P3 Energie'!E6*$C$7</f>
        <v>18182.0820388</v>
      </c>
      <c r="E25" s="50" t="n">
        <f aca="false">D25*C25</f>
        <v>40404.6267528889</v>
      </c>
      <c r="F25" s="46" t="n">
        <v>16</v>
      </c>
      <c r="G25" s="47" t="n">
        <f aca="false">F25*$H$6</f>
        <v>0.291951402788553</v>
      </c>
      <c r="H25" s="48" t="n">
        <f aca="false">$H$7*G25</f>
        <v>2.22222222222222</v>
      </c>
      <c r="I25" s="49" t="n">
        <f aca="false">0.5*c_rho*'P3 Energie'!F8*'P3 Energie'!F7*(H25-c_Vv)^2+'P3 Energie'!F13+'P3 Energie'!F15+'P3 Energie'!F6*$H$7</f>
        <v>19040.01508</v>
      </c>
      <c r="J25" s="50" t="n">
        <f aca="false">I25*H25</f>
        <v>42311.1446222222</v>
      </c>
    </row>
    <row r="26" customFormat="false" ht="15" hidden="false" customHeight="false" outlineLevel="0" collapsed="false">
      <c r="A26" s="46" t="n">
        <v>17</v>
      </c>
      <c r="B26" s="47" t="n">
        <f aca="false">A26*$C$6</f>
        <v>0.311096581154777</v>
      </c>
      <c r="C26" s="48" t="n">
        <f aca="false">$C$7*B26</f>
        <v>2.36111111111111</v>
      </c>
      <c r="D26" s="49" t="n">
        <f aca="false">0.5*c_rho*'P3 Energie'!E8*'P3 Energie'!E7*(C26-c_Vv)^2+'P3 Energie'!E13+'P3 Energie'!E15+'P3 Energie'!E6*$C$7</f>
        <v>18182.336311141</v>
      </c>
      <c r="E26" s="50" t="n">
        <f aca="false">D26*C26</f>
        <v>42930.516290194</v>
      </c>
      <c r="F26" s="46" t="n">
        <v>17</v>
      </c>
      <c r="G26" s="47" t="n">
        <f aca="false">F26*$H$6</f>
        <v>0.310198365462837</v>
      </c>
      <c r="H26" s="48" t="n">
        <f aca="false">$H$7*G26</f>
        <v>2.36111111111111</v>
      </c>
      <c r="I26" s="49" t="n">
        <f aca="false">0.5*c_rho*'P3 Energie'!F8*'P3 Energie'!F7*(H26-c_Vv)^2+'P3 Energie'!F13+'P3 Energie'!F15+'P3 Energie'!F6*$H$7</f>
        <v>19040.2359974306</v>
      </c>
      <c r="J26" s="50" t="n">
        <f aca="false">I26*H26</f>
        <v>44956.112771711</v>
      </c>
    </row>
    <row r="27" customFormat="false" ht="15" hidden="false" customHeight="false" outlineLevel="0" collapsed="false">
      <c r="A27" s="46" t="n">
        <v>18</v>
      </c>
      <c r="B27" s="47" t="n">
        <f aca="false">A27*$C$6</f>
        <v>0.329396380046235</v>
      </c>
      <c r="C27" s="48" t="n">
        <f aca="false">$C$7*B27</f>
        <v>2.5</v>
      </c>
      <c r="D27" s="49" t="n">
        <f aca="false">0.5*c_rho*'P3 Energie'!E8*'P3 Energie'!E7*(C27-c_Vv)^2+'P3 Energie'!E13+'P3 Energie'!E15+'P3 Energie'!E6*$C$7</f>
        <v>18182.6059939269</v>
      </c>
      <c r="E27" s="50" t="n">
        <f aca="false">D27*C27</f>
        <v>45456.5149848172</v>
      </c>
      <c r="F27" s="46" t="n">
        <v>18</v>
      </c>
      <c r="G27" s="47" t="n">
        <f aca="false">F27*$H$6</f>
        <v>0.328445328137122</v>
      </c>
      <c r="H27" s="48" t="n">
        <f aca="false">$H$7*G27</f>
        <v>2.5</v>
      </c>
      <c r="I27" s="49" t="n">
        <f aca="false">0.5*c_rho*'P3 Energie'!F8*'P3 Energie'!F7*(H27-c_Vv)^2+'P3 Energie'!F13+'P3 Energie'!F15+'P3 Energie'!F6*$H$7</f>
        <v>19040.4703037963</v>
      </c>
      <c r="J27" s="50" t="n">
        <f aca="false">I27*H27</f>
        <v>47601.1757594908</v>
      </c>
    </row>
    <row r="28" customFormat="false" ht="15" hidden="false" customHeight="false" outlineLevel="0" collapsed="false">
      <c r="A28" s="46" t="n">
        <v>19</v>
      </c>
      <c r="B28" s="47" t="n">
        <f aca="false">A28*$C$6</f>
        <v>0.347696178937692</v>
      </c>
      <c r="C28" s="48" t="n">
        <f aca="false">$C$7*B28</f>
        <v>2.63888888888889</v>
      </c>
      <c r="D28" s="49" t="n">
        <f aca="false">0.5*c_rho*'P3 Energie'!E8*'P3 Energie'!E7*(C28-c_Vv)^2+'P3 Energie'!E13+'P3 Energie'!E15+'P3 Energie'!E6*$C$7</f>
        <v>18182.8910871576</v>
      </c>
      <c r="E28" s="50" t="n">
        <f aca="false">D28*C28</f>
        <v>47982.6292577771</v>
      </c>
      <c r="F28" s="46" t="n">
        <v>19</v>
      </c>
      <c r="G28" s="47" t="n">
        <f aca="false">F28*$H$6</f>
        <v>0.346692290811406</v>
      </c>
      <c r="H28" s="48" t="n">
        <f aca="false">$H$7*G28</f>
        <v>2.63888888888889</v>
      </c>
      <c r="I28" s="49" t="n">
        <f aca="false">0.5*c_rho*'P3 Energie'!F8*'P3 Energie'!F7*(H28-c_Vv)^2+'P3 Energie'!F13+'P3 Energie'!F15+'P3 Energie'!F6*$H$7</f>
        <v>19040.7179990972</v>
      </c>
      <c r="J28" s="50" t="n">
        <f aca="false">I28*H28</f>
        <v>50246.3391642843</v>
      </c>
    </row>
    <row r="29" customFormat="false" ht="15" hidden="false" customHeight="false" outlineLevel="0" collapsed="false">
      <c r="A29" s="46" t="n">
        <v>20</v>
      </c>
      <c r="B29" s="47" t="n">
        <f aca="false">A29*$C$6</f>
        <v>0.36599597782915</v>
      </c>
      <c r="C29" s="48" t="n">
        <f aca="false">$C$7*B29</f>
        <v>2.77777777777778</v>
      </c>
      <c r="D29" s="49" t="n">
        <f aca="false">0.5*c_rho*'P3 Energie'!E8*'P3 Energie'!E7*(C29-c_Vv)^2+'P3 Energie'!E13+'P3 Energie'!E15+'P3 Energie'!E6*$C$7</f>
        <v>18183.1915908333</v>
      </c>
      <c r="E29" s="50" t="n">
        <f aca="false">D29*C29</f>
        <v>50508.8655300926</v>
      </c>
      <c r="F29" s="46" t="n">
        <v>20</v>
      </c>
      <c r="G29" s="47" t="n">
        <f aca="false">F29*$H$6</f>
        <v>0.364939253485691</v>
      </c>
      <c r="H29" s="48" t="n">
        <f aca="false">$H$7*G29</f>
        <v>2.77777777777778</v>
      </c>
      <c r="I29" s="49" t="n">
        <f aca="false">0.5*c_rho*'P3 Energie'!F8*'P3 Energie'!F7*(H29-c_Vv)^2+'P3 Energie'!F13+'P3 Energie'!F15+'P3 Energie'!F6*$H$7</f>
        <v>19040.9790833333</v>
      </c>
      <c r="J29" s="50" t="n">
        <f aca="false">I29*H29</f>
        <v>52891.6085648148</v>
      </c>
    </row>
    <row r="30" customFormat="false" ht="15" hidden="false" customHeight="false" outlineLevel="0" collapsed="false">
      <c r="A30" s="46" t="n">
        <v>21</v>
      </c>
      <c r="B30" s="47" t="n">
        <f aca="false">A30*$C$6</f>
        <v>0.384295776720607</v>
      </c>
      <c r="C30" s="48" t="n">
        <f aca="false">$C$7*B30</f>
        <v>2.91666666666667</v>
      </c>
      <c r="D30" s="49" t="n">
        <f aca="false">0.5*c_rho*'P3 Energie'!E8*'P3 Energie'!E7*(C30-c_Vv)^2+'P3 Energie'!E13+'P3 Energie'!E15+'P3 Energie'!E6*$C$7</f>
        <v>18183.5075049539</v>
      </c>
      <c r="E30" s="50" t="n">
        <f aca="false">D30*C30</f>
        <v>53035.2302227823</v>
      </c>
      <c r="F30" s="46" t="n">
        <v>21</v>
      </c>
      <c r="G30" s="47" t="n">
        <f aca="false">F30*$H$6</f>
        <v>0.383186216159975</v>
      </c>
      <c r="H30" s="48" t="n">
        <f aca="false">$H$7*G30</f>
        <v>2.91666666666667</v>
      </c>
      <c r="I30" s="49" t="n">
        <f aca="false">0.5*c_rho*'P3 Energie'!F8*'P3 Energie'!F7*(H30-c_Vv)^2+'P3 Energie'!F13+'P3 Energie'!F15+'P3 Energie'!F6*$H$7</f>
        <v>19041.2535565046</v>
      </c>
      <c r="J30" s="50" t="n">
        <f aca="false">I30*H30</f>
        <v>55536.9895398052</v>
      </c>
    </row>
    <row r="31" customFormat="false" ht="15" hidden="false" customHeight="false" outlineLevel="0" collapsed="false">
      <c r="A31" s="46" t="n">
        <v>22</v>
      </c>
      <c r="B31" s="47" t="n">
        <f aca="false">A31*$C$6</f>
        <v>0.402595575612065</v>
      </c>
      <c r="C31" s="48" t="n">
        <f aca="false">$C$7*B31</f>
        <v>3.05555555555556</v>
      </c>
      <c r="D31" s="49" t="n">
        <f aca="false">0.5*c_rho*'P3 Energie'!E8*'P3 Energie'!E7*(C31-c_Vv)^2+'P3 Energie'!E13+'P3 Energie'!E15+'P3 Energie'!E6*$C$7</f>
        <v>18183.8388295195</v>
      </c>
      <c r="E31" s="50" t="n">
        <f aca="false">D31*C31</f>
        <v>55561.729756865</v>
      </c>
      <c r="F31" s="46" t="n">
        <v>22</v>
      </c>
      <c r="G31" s="47" t="n">
        <f aca="false">F31*$H$6</f>
        <v>0.40143317883426</v>
      </c>
      <c r="H31" s="48" t="n">
        <f aca="false">$H$7*G31</f>
        <v>3.05555555555556</v>
      </c>
      <c r="I31" s="49" t="n">
        <f aca="false">0.5*c_rho*'P3 Energie'!F8*'P3 Energie'!F7*(H31-c_Vv)^2+'P3 Energie'!F13+'P3 Energie'!F15+'P3 Energie'!F6*$H$7</f>
        <v>19041.5414186111</v>
      </c>
      <c r="J31" s="50" t="n">
        <f aca="false">I31*H31</f>
        <v>58182.4876679784</v>
      </c>
    </row>
    <row r="32" customFormat="false" ht="15" hidden="false" customHeight="false" outlineLevel="0" collapsed="false">
      <c r="A32" s="46" t="n">
        <v>23</v>
      </c>
      <c r="B32" s="47" t="n">
        <f aca="false">A32*$C$6</f>
        <v>0.420895374503522</v>
      </c>
      <c r="C32" s="48" t="n">
        <f aca="false">$C$7*B32</f>
        <v>3.19444444444444</v>
      </c>
      <c r="D32" s="49" t="n">
        <f aca="false">0.5*c_rho*'P3 Energie'!E8*'P3 Energie'!E7*(C32-c_Vv)^2+'P3 Energie'!E13+'P3 Energie'!E15+'P3 Energie'!E6*$C$7</f>
        <v>18184.1855645299</v>
      </c>
      <c r="E32" s="50" t="n">
        <f aca="false">D32*C32</f>
        <v>58088.3705533593</v>
      </c>
      <c r="F32" s="46" t="n">
        <v>23</v>
      </c>
      <c r="G32" s="47" t="n">
        <f aca="false">F32*$H$6</f>
        <v>0.419680141508544</v>
      </c>
      <c r="H32" s="48" t="n">
        <f aca="false">$H$7*G32</f>
        <v>3.19444444444444</v>
      </c>
      <c r="I32" s="49" t="n">
        <f aca="false">0.5*c_rho*'P3 Energie'!F8*'P3 Energie'!F7*(H32-c_Vv)^2+'P3 Energie'!F13+'P3 Energie'!F15+'P3 Energie'!F6*$H$7</f>
        <v>19041.8426696528</v>
      </c>
      <c r="J32" s="50" t="n">
        <f aca="false">I32*H32</f>
        <v>60828.1085280575</v>
      </c>
    </row>
    <row r="33" customFormat="false" ht="15" hidden="false" customHeight="false" outlineLevel="0" collapsed="false">
      <c r="A33" s="46" t="n">
        <v>24</v>
      </c>
      <c r="B33" s="47" t="n">
        <f aca="false">A33*$C$6</f>
        <v>0.43919517339498</v>
      </c>
      <c r="C33" s="48" t="n">
        <f aca="false">$C$7*B33</f>
        <v>3.33333333333333</v>
      </c>
      <c r="D33" s="49" t="n">
        <f aca="false">0.5*c_rho*'P3 Energie'!E8*'P3 Energie'!E7*(C33-c_Vv)^2+'P3 Energie'!E13+'P3 Energie'!E15+'P3 Energie'!E6*$C$7</f>
        <v>18184.5477099852</v>
      </c>
      <c r="E33" s="50" t="n">
        <f aca="false">D33*C33</f>
        <v>60615.159033284</v>
      </c>
      <c r="F33" s="46" t="n">
        <v>24</v>
      </c>
      <c r="G33" s="47" t="n">
        <f aca="false">F33*$H$6</f>
        <v>0.437927104182829</v>
      </c>
      <c r="H33" s="48" t="n">
        <f aca="false">$H$7*G33</f>
        <v>3.33333333333333</v>
      </c>
      <c r="I33" s="49" t="n">
        <f aca="false">0.5*c_rho*'P3 Energie'!F8*'P3 Energie'!F7*(H33-c_Vv)^2+'P3 Energie'!F13+'P3 Energie'!F15+'P3 Energie'!F6*$H$7</f>
        <v>19042.1573096296</v>
      </c>
      <c r="J33" s="50" t="n">
        <f aca="false">I33*H33</f>
        <v>63473.8576987654</v>
      </c>
    </row>
    <row r="34" customFormat="false" ht="15" hidden="false" customHeight="false" outlineLevel="0" collapsed="false">
      <c r="A34" s="46" t="n">
        <v>25</v>
      </c>
      <c r="B34" s="47" t="n">
        <f aca="false">A34*$C$6</f>
        <v>0.457494972286437</v>
      </c>
      <c r="C34" s="48" t="n">
        <f aca="false">$C$7*B34</f>
        <v>3.47222222222222</v>
      </c>
      <c r="D34" s="49" t="n">
        <f aca="false">0.5*c_rho*'P3 Energie'!E8*'P3 Energie'!E7*(C34-c_Vv)^2+'P3 Energie'!E13+'P3 Energie'!E15+'P3 Energie'!E6*$C$7</f>
        <v>18184.9252658854</v>
      </c>
      <c r="E34" s="50" t="n">
        <f aca="false">D34*C34</f>
        <v>63142.1016176577</v>
      </c>
      <c r="F34" s="46" t="n">
        <v>25</v>
      </c>
      <c r="G34" s="47" t="n">
        <f aca="false">F34*$H$6</f>
        <v>0.456174066857113</v>
      </c>
      <c r="H34" s="48" t="n">
        <f aca="false">$H$7*G34</f>
        <v>3.47222222222222</v>
      </c>
      <c r="I34" s="49" t="n">
        <f aca="false">0.5*c_rho*'P3 Energie'!F8*'P3 Energie'!F7*(H34-c_Vv)^2+'P3 Energie'!F13+'P3 Energie'!F15+'P3 Energie'!F6*$H$7</f>
        <v>19042.4853385417</v>
      </c>
      <c r="J34" s="50" t="n">
        <f aca="false">I34*H34</f>
        <v>66119.7407588253</v>
      </c>
    </row>
    <row r="35" customFormat="false" ht="15" hidden="false" customHeight="false" outlineLevel="0" collapsed="false">
      <c r="A35" s="46" t="n">
        <v>26</v>
      </c>
      <c r="B35" s="47" t="n">
        <f aca="false">A35*$C$6</f>
        <v>0.475794771177895</v>
      </c>
      <c r="C35" s="48" t="n">
        <f aca="false">$C$7*B35</f>
        <v>3.61111111111111</v>
      </c>
      <c r="D35" s="49" t="n">
        <f aca="false">0.5*c_rho*'P3 Energie'!E8*'P3 Energie'!E7*(C35-c_Vv)^2+'P3 Energie'!E13+'P3 Energie'!E15+'P3 Energie'!E6*$C$7</f>
        <v>18185.3182322306</v>
      </c>
      <c r="E35" s="50" t="n">
        <f aca="false">D35*C35</f>
        <v>65669.2047274993</v>
      </c>
      <c r="F35" s="46" t="n">
        <v>26</v>
      </c>
      <c r="G35" s="47" t="n">
        <f aca="false">F35*$H$6</f>
        <v>0.474421029531398</v>
      </c>
      <c r="H35" s="48" t="n">
        <f aca="false">$H$7*G35</f>
        <v>3.61111111111111</v>
      </c>
      <c r="I35" s="49" t="n">
        <f aca="false">0.5*c_rho*'P3 Energie'!F8*'P3 Energie'!F7*(H35-c_Vv)^2+'P3 Energie'!F13+'P3 Energie'!F15+'P3 Energie'!F6*$H$7</f>
        <v>19042.8267563889</v>
      </c>
      <c r="J35" s="50" t="n">
        <f aca="false">I35*H35</f>
        <v>68765.7632869599</v>
      </c>
    </row>
    <row r="36" customFormat="false" ht="15" hidden="false" customHeight="false" outlineLevel="0" collapsed="false">
      <c r="A36" s="46" t="n">
        <v>27</v>
      </c>
      <c r="B36" s="47" t="n">
        <f aca="false">A36*$C$6</f>
        <v>0.494094570069352</v>
      </c>
      <c r="C36" s="48" t="n">
        <f aca="false">$C$7*B36</f>
        <v>3.75</v>
      </c>
      <c r="D36" s="49" t="n">
        <f aca="false">0.5*c_rho*'P3 Energie'!E8*'P3 Energie'!E7*(C36-c_Vv)^2+'P3 Energie'!E13+'P3 Energie'!E15+'P3 Energie'!E6*$C$7</f>
        <v>18185.7266090206</v>
      </c>
      <c r="E36" s="50" t="n">
        <f aca="false">D36*C36</f>
        <v>68196.4747838273</v>
      </c>
      <c r="F36" s="46" t="n">
        <v>27</v>
      </c>
      <c r="G36" s="47" t="n">
        <f aca="false">F36*$H$6</f>
        <v>0.492667992205682</v>
      </c>
      <c r="H36" s="48" t="n">
        <f aca="false">$H$7*G36</f>
        <v>3.75</v>
      </c>
      <c r="I36" s="49" t="n">
        <f aca="false">0.5*c_rho*'P3 Energie'!F8*'P3 Energie'!F7*(H36-c_Vv)^2+'P3 Energie'!F13+'P3 Energie'!F15+'P3 Energie'!F6*$H$7</f>
        <v>19043.1815631713</v>
      </c>
      <c r="J36" s="50" t="n">
        <f aca="false">I36*H36</f>
        <v>71411.9308618924</v>
      </c>
    </row>
    <row r="37" customFormat="false" ht="15" hidden="false" customHeight="false" outlineLevel="0" collapsed="false">
      <c r="A37" s="46" t="n">
        <v>28</v>
      </c>
      <c r="B37" s="47" t="n">
        <f aca="false">A37*$C$6</f>
        <v>0.51239436896081</v>
      </c>
      <c r="C37" s="48" t="n">
        <f aca="false">$C$7*B37</f>
        <v>3.88888888888889</v>
      </c>
      <c r="D37" s="49" t="n">
        <f aca="false">0.5*c_rho*'P3 Energie'!E8*'P3 Energie'!E7*(C37-c_Vv)^2+'P3 Energie'!E13+'P3 Energie'!E15+'P3 Energie'!E6*$C$7</f>
        <v>18186.1503962556</v>
      </c>
      <c r="E37" s="50" t="n">
        <f aca="false">D37*C37</f>
        <v>70723.9182076605</v>
      </c>
      <c r="F37" s="46" t="n">
        <v>28</v>
      </c>
      <c r="G37" s="47" t="n">
        <f aca="false">F37*$H$6</f>
        <v>0.510914954879967</v>
      </c>
      <c r="H37" s="48" t="n">
        <f aca="false">$H$7*G37</f>
        <v>3.88888888888889</v>
      </c>
      <c r="I37" s="49" t="n">
        <f aca="false">0.5*c_rho*'P3 Energie'!F8*'P3 Energie'!F7*(H37-c_Vv)^2+'P3 Energie'!F13+'P3 Energie'!F15+'P3 Energie'!F6*$H$7</f>
        <v>19043.5497588889</v>
      </c>
      <c r="J37" s="50" t="n">
        <f aca="false">I37*H37</f>
        <v>74058.2490623457</v>
      </c>
    </row>
    <row r="38" customFormat="false" ht="15" hidden="false" customHeight="false" outlineLevel="0" collapsed="false">
      <c r="A38" s="46" t="n">
        <v>29</v>
      </c>
      <c r="B38" s="47" t="n">
        <f aca="false">A38*$C$6</f>
        <v>0.530694167852267</v>
      </c>
      <c r="C38" s="48" t="n">
        <f aca="false">$C$7*B38</f>
        <v>4.02777777777778</v>
      </c>
      <c r="D38" s="49" t="n">
        <f aca="false">0.5*c_rho*'P3 Energie'!E8*'P3 Energie'!E7*(C38-c_Vv)^2+'P3 Energie'!E13+'P3 Energie'!E15+'P3 Energie'!E6*$C$7</f>
        <v>18186.5895939354</v>
      </c>
      <c r="E38" s="50" t="n">
        <f aca="false">D38*C38</f>
        <v>73251.5414200177</v>
      </c>
      <c r="F38" s="46" t="n">
        <v>29</v>
      </c>
      <c r="G38" s="47" t="n">
        <f aca="false">F38*$H$6</f>
        <v>0.529161917554252</v>
      </c>
      <c r="H38" s="48" t="n">
        <f aca="false">$H$7*G38</f>
        <v>4.02777777777778</v>
      </c>
      <c r="I38" s="49" t="n">
        <f aca="false">0.5*c_rho*'P3 Energie'!F8*'P3 Energie'!F7*(H38-c_Vv)^2+'P3 Energie'!F13+'P3 Energie'!F15+'P3 Energie'!F6*$H$7</f>
        <v>19043.9313435417</v>
      </c>
      <c r="J38" s="50" t="n">
        <f aca="false">I38*H38</f>
        <v>76704.7234670428</v>
      </c>
    </row>
    <row r="39" customFormat="false" ht="15" hidden="false" customHeight="false" outlineLevel="0" collapsed="false">
      <c r="A39" s="46" t="n">
        <v>30</v>
      </c>
      <c r="B39" s="47" t="n">
        <f aca="false">A39*$C$6</f>
        <v>0.548993966743725</v>
      </c>
      <c r="C39" s="48" t="n">
        <f aca="false">$C$7*B39</f>
        <v>4.16666666666667</v>
      </c>
      <c r="D39" s="49" t="n">
        <f aca="false">0.5*c_rho*'P3 Energie'!E8*'P3 Energie'!E7*(C39-c_Vv)^2+'P3 Energie'!E13+'P3 Energie'!E15+'P3 Energie'!E6*$C$7</f>
        <v>18187.0442020602</v>
      </c>
      <c r="E39" s="50" t="n">
        <f aca="false">D39*C39</f>
        <v>75779.3508419175</v>
      </c>
      <c r="F39" s="46" t="n">
        <v>30</v>
      </c>
      <c r="G39" s="47" t="n">
        <f aca="false">F39*$H$6</f>
        <v>0.547408880228536</v>
      </c>
      <c r="H39" s="48" t="n">
        <f aca="false">$H$7*G39</f>
        <v>4.16666666666667</v>
      </c>
      <c r="I39" s="49" t="n">
        <f aca="false">0.5*c_rho*'P3 Energie'!F8*'P3 Energie'!F7*(H39-c_Vv)^2+'P3 Energie'!F13+'P3 Energie'!F15+'P3 Energie'!F6*$H$7</f>
        <v>19044.3263171296</v>
      </c>
      <c r="J39" s="50" t="n">
        <f aca="false">I39*H39</f>
        <v>79351.3596547068</v>
      </c>
    </row>
    <row r="40" customFormat="false" ht="15" hidden="false" customHeight="false" outlineLevel="0" collapsed="false">
      <c r="A40" s="46" t="n">
        <v>31</v>
      </c>
      <c r="B40" s="47" t="n">
        <f aca="false">A40*$C$6</f>
        <v>0.567293765635182</v>
      </c>
      <c r="C40" s="48" t="n">
        <f aca="false">$C$7*B40</f>
        <v>4.30555555555556</v>
      </c>
      <c r="D40" s="49" t="n">
        <f aca="false">0.5*c_rho*'P3 Energie'!E8*'P3 Energie'!E7*(C40-c_Vv)^2+'P3 Energie'!E13+'P3 Energie'!E15+'P3 Energie'!E6*$C$7</f>
        <v>18187.5142206299</v>
      </c>
      <c r="E40" s="50" t="n">
        <f aca="false">D40*C40</f>
        <v>78307.3528943786</v>
      </c>
      <c r="F40" s="46" t="n">
        <v>31</v>
      </c>
      <c r="G40" s="47" t="n">
        <f aca="false">F40*$H$6</f>
        <v>0.565655842902821</v>
      </c>
      <c r="H40" s="48" t="n">
        <f aca="false">$H$7*G40</f>
        <v>4.30555555555556</v>
      </c>
      <c r="I40" s="49" t="n">
        <f aca="false">0.5*c_rho*'P3 Energie'!F8*'P3 Energie'!F7*(H40-c_Vv)^2+'P3 Energie'!F13+'P3 Energie'!F15+'P3 Energie'!F6*$H$7</f>
        <v>19044.7346796528</v>
      </c>
      <c r="J40" s="50" t="n">
        <f aca="false">I40*H40</f>
        <v>81998.1632040606</v>
      </c>
    </row>
    <row r="41" customFormat="false" ht="15" hidden="false" customHeight="false" outlineLevel="0" collapsed="false">
      <c r="A41" s="46" t="n">
        <v>32</v>
      </c>
      <c r="B41" s="47" t="n">
        <f aca="false">A41*$C$6</f>
        <v>0.58559356452664</v>
      </c>
      <c r="C41" s="48" t="n">
        <f aca="false">$C$7*B41</f>
        <v>4.44444444444445</v>
      </c>
      <c r="D41" s="49" t="n">
        <f aca="false">0.5*c_rho*'P3 Energie'!E8*'P3 Energie'!E7*(C41-c_Vv)^2+'P3 Energie'!E13+'P3 Energie'!E15+'P3 Energie'!E6*$C$7</f>
        <v>18187.9996496445</v>
      </c>
      <c r="E41" s="50" t="n">
        <f aca="false">D41*C41</f>
        <v>80835.5539984198</v>
      </c>
      <c r="F41" s="46" t="n">
        <v>32</v>
      </c>
      <c r="G41" s="47" t="n">
        <f aca="false">F41*$H$6</f>
        <v>0.583902805577105</v>
      </c>
      <c r="H41" s="48" t="n">
        <f aca="false">$H$7*G41</f>
        <v>4.44444444444445</v>
      </c>
      <c r="I41" s="49" t="n">
        <f aca="false">0.5*c_rho*'P3 Energie'!F8*'P3 Energie'!F7*(H41-c_Vv)^2+'P3 Energie'!F13+'P3 Energie'!F15+'P3 Energie'!F6*$H$7</f>
        <v>19045.1564311111</v>
      </c>
      <c r="J41" s="50" t="n">
        <f aca="false">I41*H41</f>
        <v>84645.1396938272</v>
      </c>
    </row>
    <row r="42" customFormat="false" ht="15" hidden="false" customHeight="false" outlineLevel="0" collapsed="false">
      <c r="A42" s="46" t="n">
        <v>33</v>
      </c>
      <c r="B42" s="47" t="n">
        <f aca="false">A42*$C$6</f>
        <v>0.603893363418097</v>
      </c>
      <c r="C42" s="48" t="n">
        <f aca="false">$C$7*B42</f>
        <v>4.58333333333333</v>
      </c>
      <c r="D42" s="49" t="n">
        <f aca="false">0.5*c_rho*'P3 Energie'!E8*'P3 Energie'!E7*(C42-c_Vv)^2+'P3 Energie'!E13+'P3 Energie'!E15+'P3 Energie'!E6*$C$7</f>
        <v>18188.5004891039</v>
      </c>
      <c r="E42" s="50" t="n">
        <f aca="false">D42*C42</f>
        <v>83363.9605750597</v>
      </c>
      <c r="F42" s="46" t="n">
        <v>33</v>
      </c>
      <c r="G42" s="47" t="n">
        <f aca="false">F42*$H$6</f>
        <v>0.60214976825139</v>
      </c>
      <c r="H42" s="48" t="n">
        <f aca="false">$H$7*G42</f>
        <v>4.58333333333333</v>
      </c>
      <c r="I42" s="49" t="n">
        <f aca="false">0.5*c_rho*'P3 Energie'!F8*'P3 Energie'!F7*(H42-c_Vv)^2+'P3 Energie'!F13+'P3 Energie'!F15+'P3 Energie'!F6*$H$7</f>
        <v>19045.5915715046</v>
      </c>
      <c r="J42" s="50" t="n">
        <f aca="false">I42*H42</f>
        <v>87292.2947027296</v>
      </c>
    </row>
    <row r="43" customFormat="false" ht="15" hidden="false" customHeight="false" outlineLevel="0" collapsed="false">
      <c r="A43" s="46" t="n">
        <v>34</v>
      </c>
      <c r="B43" s="47" t="n">
        <f aca="false">A43*$C$6</f>
        <v>0.622193162309555</v>
      </c>
      <c r="C43" s="48" t="n">
        <f aca="false">$C$7*B43</f>
        <v>4.72222222222222</v>
      </c>
      <c r="D43" s="49" t="n">
        <f aca="false">0.5*c_rho*'P3 Energie'!E8*'P3 Energie'!E7*(C43-c_Vv)^2+'P3 Energie'!E13+'P3 Energie'!E15+'P3 Energie'!E6*$C$7</f>
        <v>18189.0167390083</v>
      </c>
      <c r="E43" s="50" t="n">
        <f aca="false">D43*C43</f>
        <v>85892.5790453172</v>
      </c>
      <c r="F43" s="46" t="n">
        <v>34</v>
      </c>
      <c r="G43" s="47" t="n">
        <f aca="false">F43*$H$6</f>
        <v>0.620396730925674</v>
      </c>
      <c r="H43" s="48" t="n">
        <f aca="false">$H$7*G43</f>
        <v>4.72222222222222</v>
      </c>
      <c r="I43" s="49" t="n">
        <f aca="false">0.5*c_rho*'P3 Energie'!F8*'P3 Energie'!F7*(H43-c_Vv)^2+'P3 Energie'!F13+'P3 Energie'!F15+'P3 Energie'!F6*$H$7</f>
        <v>19046.0401008333</v>
      </c>
      <c r="J43" s="50" t="n">
        <f aca="false">I43*H43</f>
        <v>89939.6338094908</v>
      </c>
    </row>
    <row r="44" customFormat="false" ht="15" hidden="false" customHeight="false" outlineLevel="0" collapsed="false">
      <c r="A44" s="46" t="n">
        <v>35</v>
      </c>
      <c r="B44" s="47" t="n">
        <f aca="false">A44*$C$6</f>
        <v>0.640492961201012</v>
      </c>
      <c r="C44" s="48" t="n">
        <f aca="false">$C$7*B44</f>
        <v>4.86111111111111</v>
      </c>
      <c r="D44" s="49" t="n">
        <f aca="false">0.5*c_rho*'P3 Energie'!E8*'P3 Energie'!E7*(C44-c_Vv)^2+'P3 Energie'!E13+'P3 Energie'!E15+'P3 Energie'!E6*$C$7</f>
        <v>18189.5483993576</v>
      </c>
      <c r="E44" s="50" t="n">
        <f aca="false">D44*C44</f>
        <v>88421.4158302108</v>
      </c>
      <c r="F44" s="46" t="n">
        <v>35</v>
      </c>
      <c r="G44" s="47" t="n">
        <f aca="false">F44*$H$6</f>
        <v>0.638643693599959</v>
      </c>
      <c r="H44" s="48" t="n">
        <f aca="false">$H$7*G44</f>
        <v>4.86111111111111</v>
      </c>
      <c r="I44" s="49" t="n">
        <f aca="false">0.5*c_rho*'P3 Energie'!F8*'P3 Energie'!F7*(H44-c_Vv)^2+'P3 Energie'!F13+'P3 Energie'!F15+'P3 Energie'!F6*$H$7</f>
        <v>19046.5020190972</v>
      </c>
      <c r="J44" s="50" t="n">
        <f aca="false">I44*H44</f>
        <v>92587.1625928338</v>
      </c>
    </row>
    <row r="45" customFormat="false" ht="15" hidden="false" customHeight="false" outlineLevel="0" collapsed="false">
      <c r="A45" s="46" t="n">
        <v>36</v>
      </c>
      <c r="B45" s="47" t="n">
        <f aca="false">A45*$C$6</f>
        <v>0.65879276009247</v>
      </c>
      <c r="C45" s="48" t="n">
        <f aca="false">$C$7*B45</f>
        <v>5</v>
      </c>
      <c r="D45" s="49" t="n">
        <f aca="false">0.5*c_rho*'P3 Energie'!E8*'P3 Energie'!E7*(C45-c_Vv)^2+'P3 Energie'!E13+'P3 Energie'!E15+'P3 Energie'!E6*$C$7</f>
        <v>18190.0954701519</v>
      </c>
      <c r="E45" s="50" t="n">
        <f aca="false">D45*C45</f>
        <v>90950.4773507593</v>
      </c>
      <c r="F45" s="46" t="n">
        <v>36</v>
      </c>
      <c r="G45" s="47" t="n">
        <f aca="false">F45*$H$6</f>
        <v>0.656890656274243</v>
      </c>
      <c r="H45" s="48" t="n">
        <f aca="false">$H$7*G45</f>
        <v>5</v>
      </c>
      <c r="I45" s="49" t="n">
        <f aca="false">0.5*c_rho*'P3 Energie'!F8*'P3 Energie'!F7*(H45-c_Vv)^2+'P3 Energie'!F13+'P3 Energie'!F15+'P3 Energie'!F6*$H$7</f>
        <v>19046.9773262963</v>
      </c>
      <c r="J45" s="50" t="n">
        <f aca="false">I45*H45</f>
        <v>95234.8866314815</v>
      </c>
    </row>
    <row r="46" customFormat="false" ht="15" hidden="false" customHeight="false" outlineLevel="0" collapsed="false">
      <c r="A46" s="46" t="n">
        <v>37</v>
      </c>
      <c r="B46" s="47" t="n">
        <f aca="false">A46*$C$6</f>
        <v>0.677092558983927</v>
      </c>
      <c r="C46" s="48" t="n">
        <f aca="false">$C$7*B46</f>
        <v>5.13888888888889</v>
      </c>
      <c r="D46" s="49" t="n">
        <f aca="false">0.5*c_rho*'P3 Energie'!E8*'P3 Energie'!E7*(C46-c_Vv)^2+'P3 Energie'!E13+'P3 Energie'!E15+'P3 Energie'!E6*$C$7</f>
        <v>18190.657951391</v>
      </c>
      <c r="E46" s="50" t="n">
        <f aca="false">D46*C46</f>
        <v>93479.7700279814</v>
      </c>
      <c r="F46" s="46" t="n">
        <v>37</v>
      </c>
      <c r="G46" s="47" t="n">
        <f aca="false">F46*$H$6</f>
        <v>0.675137618948528</v>
      </c>
      <c r="H46" s="48" t="n">
        <f aca="false">$H$7*G46</f>
        <v>5.13888888888889</v>
      </c>
      <c r="I46" s="49" t="n">
        <f aca="false">0.5*c_rho*'P3 Energie'!F8*'P3 Energie'!F7*(H46-c_Vv)^2+'P3 Energie'!F13+'P3 Energie'!F15+'P3 Energie'!F6*$H$7</f>
        <v>19047.4660224306</v>
      </c>
      <c r="J46" s="50" t="n">
        <f aca="false">I46*H46</f>
        <v>97882.811504157</v>
      </c>
    </row>
    <row r="47" customFormat="false" ht="15" hidden="false" customHeight="false" outlineLevel="0" collapsed="false">
      <c r="A47" s="46" t="n">
        <v>38</v>
      </c>
      <c r="B47" s="47" t="n">
        <f aca="false">A47*$C$6</f>
        <v>0.695392357875385</v>
      </c>
      <c r="C47" s="48" t="n">
        <f aca="false">$C$7*B47</f>
        <v>5.27777777777778</v>
      </c>
      <c r="D47" s="49" t="n">
        <f aca="false">0.5*c_rho*'P3 Energie'!E8*'P3 Energie'!E7*(C47-c_Vv)^2+'P3 Energie'!E13+'P3 Energie'!E15+'P3 Energie'!E6*$C$7</f>
        <v>18191.235843075</v>
      </c>
      <c r="E47" s="50" t="n">
        <f aca="false">D47*C47</f>
        <v>96009.3002828959</v>
      </c>
      <c r="F47" s="46" t="n">
        <v>38</v>
      </c>
      <c r="G47" s="47" t="n">
        <f aca="false">F47*$H$6</f>
        <v>0.693384581622812</v>
      </c>
      <c r="H47" s="48" t="n">
        <f aca="false">$H$7*G47</f>
        <v>5.27777777777778</v>
      </c>
      <c r="I47" s="49" t="n">
        <f aca="false">0.5*c_rho*'P3 Energie'!F8*'P3 Energie'!F7*(H47-c_Vv)^2+'P3 Energie'!F13+'P3 Energie'!F15+'P3 Energie'!F6*$H$7</f>
        <v>19047.9681075</v>
      </c>
      <c r="J47" s="50" t="n">
        <f aca="false">I47*H47</f>
        <v>100530.942789583</v>
      </c>
    </row>
    <row r="48" customFormat="false" ht="15" hidden="false" customHeight="false" outlineLevel="0" collapsed="false">
      <c r="A48" s="46" t="n">
        <v>39</v>
      </c>
      <c r="B48" s="47" t="n">
        <f aca="false">A48*$C$6</f>
        <v>0.713692156766842</v>
      </c>
      <c r="C48" s="48" t="n">
        <f aca="false">$C$7*B48</f>
        <v>5.41666666666667</v>
      </c>
      <c r="D48" s="49" t="n">
        <f aca="false">0.5*c_rho*'P3 Energie'!E8*'P3 Energie'!E7*(C48-c_Vv)^2+'P3 Energie'!E13+'P3 Energie'!E15+'P3 Energie'!E6*$C$7</f>
        <v>18191.8291452039</v>
      </c>
      <c r="E48" s="50" t="n">
        <f aca="false">D48*C48</f>
        <v>98539.0745365214</v>
      </c>
      <c r="F48" s="46" t="n">
        <v>39</v>
      </c>
      <c r="G48" s="47" t="n">
        <f aca="false">F48*$H$6</f>
        <v>0.711631544297097</v>
      </c>
      <c r="H48" s="48" t="n">
        <f aca="false">$H$7*G48</f>
        <v>5.41666666666667</v>
      </c>
      <c r="I48" s="49" t="n">
        <f aca="false">0.5*c_rho*'P3 Energie'!F8*'P3 Energie'!F7*(H48-c_Vv)^2+'P3 Energie'!F13+'P3 Energie'!F15+'P3 Energie'!F6*$H$7</f>
        <v>19048.4835815046</v>
      </c>
      <c r="J48" s="50" t="n">
        <f aca="false">I48*H48</f>
        <v>103179.286066483</v>
      </c>
    </row>
    <row r="49" customFormat="false" ht="15" hidden="false" customHeight="false" outlineLevel="0" collapsed="false">
      <c r="A49" s="46" t="n">
        <v>40</v>
      </c>
      <c r="B49" s="47" t="n">
        <f aca="false">A49*$C$6</f>
        <v>0.7319919556583</v>
      </c>
      <c r="C49" s="48" t="n">
        <f aca="false">$C$7*B49</f>
        <v>5.55555555555556</v>
      </c>
      <c r="D49" s="49" t="n">
        <f aca="false">0.5*c_rho*'P3 Energie'!E8*'P3 Energie'!E7*(C49-c_Vv)^2+'P3 Energie'!E13+'P3 Energie'!E15+'P3 Energie'!E6*$C$7</f>
        <v>18192.4378577778</v>
      </c>
      <c r="E49" s="50" t="n">
        <f aca="false">D49*C49</f>
        <v>101069.099209877</v>
      </c>
      <c r="F49" s="46" t="n">
        <v>40</v>
      </c>
      <c r="G49" s="47" t="n">
        <f aca="false">F49*$H$6</f>
        <v>0.729878506971382</v>
      </c>
      <c r="H49" s="48" t="n">
        <f aca="false">$H$7*G49</f>
        <v>5.55555555555556</v>
      </c>
      <c r="I49" s="49" t="n">
        <f aca="false">0.5*c_rho*'P3 Energie'!F8*'P3 Energie'!F7*(H49-c_Vv)^2+'P3 Energie'!F13+'P3 Energie'!F15+'P3 Energie'!F6*$H$7</f>
        <v>19049.0124444444</v>
      </c>
      <c r="J49" s="50" t="n">
        <f aca="false">I49*H49</f>
        <v>105827.84691358</v>
      </c>
    </row>
    <row r="50" customFormat="false" ht="15" hidden="false" customHeight="false" outlineLevel="0" collapsed="false">
      <c r="A50" s="46" t="n">
        <v>41</v>
      </c>
      <c r="B50" s="47" t="n">
        <f aca="false">A50*$C$6</f>
        <v>0.750291754549757</v>
      </c>
      <c r="C50" s="48" t="n">
        <f aca="false">$C$7*B50</f>
        <v>5.69444444444445</v>
      </c>
      <c r="D50" s="49" t="n">
        <f aca="false">0.5*c_rho*'P3 Energie'!E8*'P3 Energie'!E7*(C50-c_Vv)^2+'P3 Energie'!E13+'P3 Energie'!E15+'P3 Energie'!E6*$C$7</f>
        <v>18193.0619807965</v>
      </c>
      <c r="E50" s="50" t="n">
        <f aca="false">D50*C50</f>
        <v>103599.38072398</v>
      </c>
      <c r="F50" s="46" t="n">
        <v>41</v>
      </c>
      <c r="G50" s="47" t="n">
        <f aca="false">F50*$H$6</f>
        <v>0.748125469645666</v>
      </c>
      <c r="H50" s="48" t="n">
        <f aca="false">$H$7*G50</f>
        <v>5.69444444444445</v>
      </c>
      <c r="I50" s="49" t="n">
        <f aca="false">0.5*c_rho*'P3 Energie'!F8*'P3 Energie'!F7*(H50-c_Vv)^2+'P3 Energie'!F13+'P3 Energie'!F15+'P3 Energie'!F6*$H$7</f>
        <v>19049.5546963194</v>
      </c>
      <c r="J50" s="50" t="n">
        <f aca="false">I50*H50</f>
        <v>108476.630909597</v>
      </c>
    </row>
    <row r="51" customFormat="false" ht="15" hidden="false" customHeight="false" outlineLevel="0" collapsed="false">
      <c r="A51" s="46" t="n">
        <v>42</v>
      </c>
      <c r="B51" s="47" t="n">
        <f aca="false">A51*$C$6</f>
        <v>0.768591553441215</v>
      </c>
      <c r="C51" s="48" t="n">
        <f aca="false">$C$7*B51</f>
        <v>5.83333333333333</v>
      </c>
      <c r="D51" s="49" t="n">
        <f aca="false">0.5*c_rho*'P3 Energie'!E8*'P3 Energie'!E7*(C51-c_Vv)^2+'P3 Energie'!E13+'P3 Energie'!E15+'P3 Energie'!E6*$C$7</f>
        <v>18193.7015142602</v>
      </c>
      <c r="E51" s="50" t="n">
        <f aca="false">D51*C51</f>
        <v>106129.925499851</v>
      </c>
      <c r="F51" s="46" t="n">
        <v>42</v>
      </c>
      <c r="G51" s="47" t="n">
        <f aca="false">F51*$H$6</f>
        <v>0.766372432319951</v>
      </c>
      <c r="H51" s="48" t="n">
        <f aca="false">$H$7*G51</f>
        <v>5.83333333333334</v>
      </c>
      <c r="I51" s="49" t="n">
        <f aca="false">0.5*c_rho*'P3 Energie'!F8*'P3 Energie'!F7*(H51-c_Vv)^2+'P3 Energie'!F13+'P3 Energie'!F15+'P3 Energie'!F6*$H$7</f>
        <v>19050.1103371296</v>
      </c>
      <c r="J51" s="50" t="n">
        <f aca="false">I51*H51</f>
        <v>111125.643633256</v>
      </c>
    </row>
    <row r="52" customFormat="false" ht="15" hidden="false" customHeight="false" outlineLevel="0" collapsed="false">
      <c r="A52" s="46" t="n">
        <v>43</v>
      </c>
      <c r="B52" s="47" t="n">
        <f aca="false">A52*$C$6</f>
        <v>0.786891352332672</v>
      </c>
      <c r="C52" s="48" t="n">
        <f aca="false">$C$7*B52</f>
        <v>5.97222222222222</v>
      </c>
      <c r="D52" s="49" t="n">
        <f aca="false">0.5*c_rho*'P3 Energie'!E8*'P3 Energie'!E7*(C52-c_Vv)^2+'P3 Energie'!E13+'P3 Energie'!E15+'P3 Energie'!E6*$C$7</f>
        <v>18194.3564581688</v>
      </c>
      <c r="E52" s="50" t="n">
        <f aca="false">D52*C52</f>
        <v>108660.739958508</v>
      </c>
      <c r="F52" s="46" t="n">
        <v>43</v>
      </c>
      <c r="G52" s="47" t="n">
        <f aca="false">F52*$H$6</f>
        <v>0.784619394994235</v>
      </c>
      <c r="H52" s="48" t="n">
        <f aca="false">$H$7*G52</f>
        <v>5.97222222222222</v>
      </c>
      <c r="I52" s="49" t="n">
        <f aca="false">0.5*c_rho*'P3 Energie'!F8*'P3 Energie'!F7*(H52-c_Vv)^2+'P3 Energie'!F13+'P3 Energie'!F15+'P3 Energie'!F6*$H$7</f>
        <v>19050.679366875</v>
      </c>
      <c r="J52" s="50" t="n">
        <f aca="false">I52*H52</f>
        <v>113774.890663281</v>
      </c>
    </row>
    <row r="53" customFormat="false" ht="15" hidden="false" customHeight="false" outlineLevel="0" collapsed="false">
      <c r="A53" s="46" t="n">
        <v>44</v>
      </c>
      <c r="B53" s="47" t="n">
        <f aca="false">A53*$C$6</f>
        <v>0.80519115122413</v>
      </c>
      <c r="C53" s="48" t="n">
        <f aca="false">$C$7*B53</f>
        <v>6.11111111111111</v>
      </c>
      <c r="D53" s="49" t="n">
        <f aca="false">0.5*c_rho*'P3 Energie'!E8*'P3 Energie'!E7*(C53-c_Vv)^2+'P3 Energie'!E13+'P3 Energie'!E15+'P3 Energie'!E6*$C$7</f>
        <v>18195.0268125222</v>
      </c>
      <c r="E53" s="50" t="n">
        <f aca="false">D53*C53</f>
        <v>111191.830520969</v>
      </c>
      <c r="F53" s="46" t="n">
        <v>44</v>
      </c>
      <c r="G53" s="47" t="n">
        <f aca="false">F53*$H$6</f>
        <v>0.80286635766852</v>
      </c>
      <c r="H53" s="48" t="n">
        <f aca="false">$H$7*G53</f>
        <v>6.11111111111111</v>
      </c>
      <c r="I53" s="49" t="n">
        <f aca="false">0.5*c_rho*'P3 Energie'!F8*'P3 Energie'!F7*(H53-c_Vv)^2+'P3 Energie'!F13+'P3 Energie'!F15+'P3 Energie'!F6*$H$7</f>
        <v>19051.2617855556</v>
      </c>
      <c r="J53" s="50" t="n">
        <f aca="false">I53*H53</f>
        <v>116424.377578395</v>
      </c>
    </row>
    <row r="54" customFormat="false" ht="15" hidden="false" customHeight="false" outlineLevel="0" collapsed="false">
      <c r="A54" s="46" t="n">
        <v>45</v>
      </c>
      <c r="B54" s="47" t="n">
        <f aca="false">A54*$C$6</f>
        <v>0.823490950115587</v>
      </c>
      <c r="C54" s="48" t="n">
        <f aca="false">$C$7*B54</f>
        <v>6.25</v>
      </c>
      <c r="D54" s="49" t="n">
        <f aca="false">0.5*c_rho*'P3 Energie'!E8*'P3 Energie'!E7*(C54-c_Vv)^2+'P3 Energie'!E13+'P3 Energie'!E15+'P3 Energie'!E6*$C$7</f>
        <v>18195.7125773206</v>
      </c>
      <c r="E54" s="50" t="n">
        <f aca="false">D54*C54</f>
        <v>113723.203608254</v>
      </c>
      <c r="F54" s="46" t="n">
        <v>45</v>
      </c>
      <c r="G54" s="47" t="n">
        <f aca="false">F54*$H$6</f>
        <v>0.821113320342804</v>
      </c>
      <c r="H54" s="48" t="n">
        <f aca="false">$H$7*G54</f>
        <v>6.25</v>
      </c>
      <c r="I54" s="49" t="n">
        <f aca="false">0.5*c_rho*'P3 Energie'!F8*'P3 Energie'!F7*(H54-c_Vv)^2+'P3 Energie'!F13+'P3 Energie'!F15+'P3 Energie'!F6*$H$7</f>
        <v>19051.8575931713</v>
      </c>
      <c r="J54" s="50" t="n">
        <f aca="false">I54*H54</f>
        <v>119074.109957321</v>
      </c>
    </row>
    <row r="55" customFormat="false" ht="15" hidden="false" customHeight="false" outlineLevel="0" collapsed="false">
      <c r="A55" s="46" t="n">
        <v>46</v>
      </c>
      <c r="B55" s="47" t="n">
        <f aca="false">A55*$C$6</f>
        <v>0.841790749007045</v>
      </c>
      <c r="C55" s="48" t="n">
        <f aca="false">$C$7*B55</f>
        <v>6.38888888888889</v>
      </c>
      <c r="D55" s="49" t="n">
        <f aca="false">0.5*c_rho*'P3 Energie'!E8*'P3 Energie'!E7*(C55-c_Vv)^2+'P3 Energie'!E13+'P3 Energie'!E15+'P3 Energie'!E6*$C$7</f>
        <v>18196.4137525639</v>
      </c>
      <c r="E55" s="50" t="n">
        <f aca="false">D55*C55</f>
        <v>116254.86564138</v>
      </c>
      <c r="F55" s="46" t="n">
        <v>46</v>
      </c>
      <c r="G55" s="47" t="n">
        <f aca="false">F55*$H$6</f>
        <v>0.839360283017089</v>
      </c>
      <c r="H55" s="48" t="n">
        <f aca="false">$H$7*G55</f>
        <v>6.38888888888889</v>
      </c>
      <c r="I55" s="49" t="n">
        <f aca="false">0.5*c_rho*'P3 Energie'!F8*'P3 Energie'!F7*(H55-c_Vv)^2+'P3 Energie'!F13+'P3 Energie'!F15+'P3 Energie'!F6*$H$7</f>
        <v>19052.4667897222</v>
      </c>
      <c r="J55" s="50" t="n">
        <f aca="false">I55*H55</f>
        <v>121724.093378781</v>
      </c>
    </row>
    <row r="56" customFormat="false" ht="15" hidden="false" customHeight="false" outlineLevel="0" collapsed="false">
      <c r="A56" s="46" t="n">
        <v>47</v>
      </c>
      <c r="B56" s="47" t="n">
        <f aca="false">A56*$C$6</f>
        <v>0.860090547898502</v>
      </c>
      <c r="C56" s="48" t="n">
        <f aca="false">$C$7*B56</f>
        <v>6.52777777777778</v>
      </c>
      <c r="D56" s="49" t="n">
        <f aca="false">0.5*c_rho*'P3 Energie'!E8*'P3 Energie'!E7*(C56-c_Vv)^2+'P3 Energie'!E13+'P3 Energie'!E15+'P3 Energie'!E6*$C$7</f>
        <v>18197.1303382521</v>
      </c>
      <c r="E56" s="50" t="n">
        <f aca="false">D56*C56</f>
        <v>118786.823041368</v>
      </c>
      <c r="F56" s="46" t="n">
        <v>47</v>
      </c>
      <c r="G56" s="47" t="n">
        <f aca="false">F56*$H$6</f>
        <v>0.857607245691373</v>
      </c>
      <c r="H56" s="48" t="n">
        <f aca="false">$H$7*G56</f>
        <v>6.52777777777778</v>
      </c>
      <c r="I56" s="49" t="n">
        <f aca="false">0.5*c_rho*'P3 Energie'!F8*'P3 Energie'!F7*(H56-c_Vv)^2+'P3 Energie'!F13+'P3 Energie'!F15+'P3 Energie'!F6*$H$7</f>
        <v>19053.0893752083</v>
      </c>
      <c r="J56" s="50" t="n">
        <f aca="false">I56*H56</f>
        <v>124374.333421499</v>
      </c>
    </row>
    <row r="57" customFormat="false" ht="15" hidden="false" customHeight="false" outlineLevel="0" collapsed="false">
      <c r="A57" s="46" t="n">
        <v>48</v>
      </c>
      <c r="B57" s="47" t="n">
        <f aca="false">A57*$C$6</f>
        <v>0.87839034678996</v>
      </c>
      <c r="C57" s="48" t="n">
        <f aca="false">$C$7*B57</f>
        <v>6.66666666666667</v>
      </c>
      <c r="D57" s="49" t="n">
        <f aca="false">0.5*c_rho*'P3 Energie'!E8*'P3 Energie'!E7*(C57-c_Vv)^2+'P3 Energie'!E13+'P3 Energie'!E15+'P3 Energie'!E6*$C$7</f>
        <v>18197.8623343852</v>
      </c>
      <c r="E57" s="50" t="n">
        <f aca="false">D57*C57</f>
        <v>121319.082229235</v>
      </c>
      <c r="F57" s="46" t="n">
        <v>48</v>
      </c>
      <c r="G57" s="47" t="n">
        <f aca="false">F57*$H$6</f>
        <v>0.875854208365658</v>
      </c>
      <c r="H57" s="48" t="n">
        <f aca="false">$H$7*G57</f>
        <v>6.66666666666667</v>
      </c>
      <c r="I57" s="49" t="n">
        <f aca="false">0.5*c_rho*'P3 Energie'!F8*'P3 Energie'!F7*(H57-c_Vv)^2+'P3 Energie'!F13+'P3 Energie'!F15+'P3 Energie'!F6*$H$7</f>
        <v>19053.7253496296</v>
      </c>
      <c r="J57" s="50" t="n">
        <f aca="false">I57*H57</f>
        <v>127024.835664198</v>
      </c>
    </row>
    <row r="58" customFormat="false" ht="15" hidden="false" customHeight="false" outlineLevel="0" collapsed="false">
      <c r="A58" s="46" t="n">
        <v>49</v>
      </c>
      <c r="B58" s="47" t="n">
        <f aca="false">A58*$C$6</f>
        <v>0.896690145681417</v>
      </c>
      <c r="C58" s="48" t="n">
        <f aca="false">$C$7*B58</f>
        <v>6.80555555555556</v>
      </c>
      <c r="D58" s="49" t="n">
        <f aca="false">0.5*c_rho*'P3 Energie'!E8*'P3 Energie'!E7*(C58-c_Vv)^2+'P3 Energie'!E13+'P3 Energie'!E15+'P3 Energie'!E6*$C$7</f>
        <v>18198.6097409632</v>
      </c>
      <c r="E58" s="50" t="n">
        <f aca="false">D58*C58</f>
        <v>123851.649626</v>
      </c>
      <c r="F58" s="46" t="n">
        <v>49</v>
      </c>
      <c r="G58" s="47" t="n">
        <f aca="false">F58*$H$6</f>
        <v>0.894101171039942</v>
      </c>
      <c r="H58" s="48" t="n">
        <f aca="false">$H$7*G58</f>
        <v>6.80555555555556</v>
      </c>
      <c r="I58" s="49" t="n">
        <f aca="false">0.5*c_rho*'P3 Energie'!F8*'P3 Energie'!F7*(H58-c_Vv)^2+'P3 Energie'!F13+'P3 Energie'!F15+'P3 Energie'!F6*$H$7</f>
        <v>19054.3747129861</v>
      </c>
      <c r="J58" s="50" t="n">
        <f aca="false">I58*H58</f>
        <v>129675.6056856</v>
      </c>
    </row>
    <row r="59" customFormat="false" ht="15" hidden="false" customHeight="false" outlineLevel="0" collapsed="false">
      <c r="A59" s="46" t="n">
        <v>50</v>
      </c>
      <c r="B59" s="47" t="n">
        <f aca="false">A59*$C$6</f>
        <v>0.914989944572875</v>
      </c>
      <c r="C59" s="48" t="n">
        <f aca="false">$C$7*B59</f>
        <v>6.94444444444444</v>
      </c>
      <c r="D59" s="49" t="n">
        <f aca="false">0.5*c_rho*'P3 Energie'!E8*'P3 Energie'!E7*(C59-c_Vv)^2+'P3 Energie'!E13+'P3 Energie'!E15+'P3 Energie'!E6*$C$7</f>
        <v>18199.3725579861</v>
      </c>
      <c r="E59" s="50" t="n">
        <f aca="false">D59*C59</f>
        <v>126384.531652681</v>
      </c>
      <c r="F59" s="46" t="n">
        <v>50</v>
      </c>
      <c r="G59" s="47" t="n">
        <f aca="false">F59*$H$6</f>
        <v>0.912348133714227</v>
      </c>
      <c r="H59" s="48" t="n">
        <f aca="false">$H$7*G59</f>
        <v>6.94444444444445</v>
      </c>
      <c r="I59" s="49" t="n">
        <f aca="false">0.5*c_rho*'P3 Energie'!F8*'P3 Energie'!F7*(H59-c_Vv)^2+'P3 Energie'!F13+'P3 Energie'!F15+'P3 Energie'!F6*$H$7</f>
        <v>19055.0374652778</v>
      </c>
      <c r="J59" s="50" t="n">
        <f aca="false">I59*H59</f>
        <v>132326.649064429</v>
      </c>
    </row>
    <row r="60" customFormat="false" ht="15" hidden="false" customHeight="false" outlineLevel="0" collapsed="false">
      <c r="A60" s="46" t="n">
        <v>51</v>
      </c>
      <c r="B60" s="47" t="n">
        <f aca="false">A60*$C$6</f>
        <v>0.933289743464332</v>
      </c>
      <c r="C60" s="48" t="n">
        <f aca="false">$C$7*B60</f>
        <v>7.08333333333333</v>
      </c>
      <c r="D60" s="49" t="n">
        <f aca="false">0.5*c_rho*'P3 Energie'!E8*'P3 Energie'!E7*(C60-c_Vv)^2+'P3 Energie'!E13+'P3 Energie'!E15+'P3 Energie'!E6*$C$7</f>
        <v>18200.1507854539</v>
      </c>
      <c r="E60" s="50" t="n">
        <f aca="false">D60*C60</f>
        <v>128917.734730299</v>
      </c>
      <c r="F60" s="46" t="n">
        <v>51</v>
      </c>
      <c r="G60" s="47" t="n">
        <f aca="false">F60*$H$6</f>
        <v>0.930595096388511</v>
      </c>
      <c r="H60" s="48" t="n">
        <f aca="false">$H$7*G60</f>
        <v>7.08333333333333</v>
      </c>
      <c r="I60" s="49" t="n">
        <f aca="false">0.5*c_rho*'P3 Energie'!F8*'P3 Energie'!F7*(H60-c_Vv)^2+'P3 Energie'!F13+'P3 Energie'!F15+'P3 Energie'!F6*$H$7</f>
        <v>19055.7136065046</v>
      </c>
      <c r="J60" s="50" t="n">
        <f aca="false">I60*H60</f>
        <v>134977.971379408</v>
      </c>
    </row>
    <row r="61" customFormat="false" ht="15" hidden="false" customHeight="false" outlineLevel="0" collapsed="false">
      <c r="A61" s="46" t="n">
        <v>52</v>
      </c>
      <c r="B61" s="47" t="n">
        <f aca="false">A61*$C$6</f>
        <v>0.95158954235579</v>
      </c>
      <c r="C61" s="48" t="n">
        <f aca="false">$C$7*B61</f>
        <v>7.22222222222222</v>
      </c>
      <c r="D61" s="49" t="n">
        <f aca="false">0.5*c_rho*'P3 Energie'!E8*'P3 Energie'!E7*(C61-c_Vv)^2+'P3 Energie'!E13+'P3 Energie'!E15+'P3 Energie'!E6*$C$7</f>
        <v>18200.9444233667</v>
      </c>
      <c r="E61" s="50" t="n">
        <f aca="false">D61*C61</f>
        <v>131451.26527987</v>
      </c>
      <c r="F61" s="46" t="n">
        <v>52</v>
      </c>
      <c r="G61" s="47" t="n">
        <f aca="false">F61*$H$6</f>
        <v>0.948842059062796</v>
      </c>
      <c r="H61" s="48" t="n">
        <f aca="false">$H$7*G61</f>
        <v>7.22222222222222</v>
      </c>
      <c r="I61" s="49" t="n">
        <f aca="false">0.5*c_rho*'P3 Energie'!F8*'P3 Energie'!F7*(H61-c_Vv)^2+'P3 Energie'!F13+'P3 Energie'!F15+'P3 Energie'!F6*$H$7</f>
        <v>19056.4031366667</v>
      </c>
      <c r="J61" s="50" t="n">
        <f aca="false">I61*H61</f>
        <v>137629.578209259</v>
      </c>
    </row>
    <row r="62" customFormat="false" ht="15" hidden="false" customHeight="false" outlineLevel="0" collapsed="false">
      <c r="A62" s="46" t="n">
        <v>53</v>
      </c>
      <c r="B62" s="47" t="n">
        <f aca="false">A62*$C$6</f>
        <v>0.969889341247247</v>
      </c>
      <c r="C62" s="48" t="n">
        <f aca="false">$C$7*B62</f>
        <v>7.36111111111111</v>
      </c>
      <c r="D62" s="49" t="n">
        <f aca="false">0.5*c_rho*'P3 Energie'!E8*'P3 Energie'!E7*(C62-c_Vv)^2+'P3 Energie'!E13+'P3 Energie'!E15+'P3 Energie'!E6*$C$7</f>
        <v>18201.7534717243</v>
      </c>
      <c r="E62" s="50" t="n">
        <f aca="false">D62*C62</f>
        <v>133985.129722415</v>
      </c>
      <c r="F62" s="46" t="n">
        <v>53</v>
      </c>
      <c r="G62" s="47" t="n">
        <f aca="false">F62*$H$6</f>
        <v>0.96708902173708</v>
      </c>
      <c r="H62" s="48" t="n">
        <f aca="false">$H$7*G62</f>
        <v>7.36111111111111</v>
      </c>
      <c r="I62" s="49" t="n">
        <f aca="false">0.5*c_rho*'P3 Energie'!F8*'P3 Energie'!F7*(H62-c_Vv)^2+'P3 Energie'!F13+'P3 Energie'!F15+'P3 Energie'!F6*$H$7</f>
        <v>19057.1060557639</v>
      </c>
      <c r="J62" s="50" t="n">
        <f aca="false">I62*H62</f>
        <v>140281.475132706</v>
      </c>
    </row>
    <row r="63" customFormat="false" ht="15" hidden="false" customHeight="false" outlineLevel="0" collapsed="false">
      <c r="A63" s="46" t="n">
        <v>54</v>
      </c>
      <c r="B63" s="47" t="n">
        <f aca="false">A63*$C$6</f>
        <v>0.988189140138705</v>
      </c>
      <c r="C63" s="48" t="n">
        <f aca="false">$C$7*B63</f>
        <v>7.5</v>
      </c>
      <c r="D63" s="49" t="n">
        <f aca="false">0.5*c_rho*'P3 Energie'!E8*'P3 Energie'!E7*(C63-c_Vv)^2+'P3 Energie'!E13+'P3 Energie'!E15+'P3 Energie'!E6*$C$7</f>
        <v>18202.5779305269</v>
      </c>
      <c r="E63" s="50" t="n">
        <f aca="false">D63*C63</f>
        <v>136519.334478951</v>
      </c>
      <c r="F63" s="46" t="n">
        <v>54</v>
      </c>
      <c r="G63" s="47" t="n">
        <f aca="false">F63*$H$6</f>
        <v>0.985335984411365</v>
      </c>
      <c r="H63" s="48" t="n">
        <f aca="false">$H$7*G63</f>
        <v>7.5</v>
      </c>
      <c r="I63" s="49" t="n">
        <f aca="false">0.5*c_rho*'P3 Energie'!F8*'P3 Energie'!F7*(H63-c_Vv)^2+'P3 Energie'!F13+'P3 Energie'!F15+'P3 Energie'!F6*$H$7</f>
        <v>19057.8223637963</v>
      </c>
      <c r="J63" s="50" t="n">
        <f aca="false">I63*H63</f>
        <v>142933.667728472</v>
      </c>
    </row>
    <row r="64" customFormat="false" ht="15" hidden="false" customHeight="false" outlineLevel="0" collapsed="false">
      <c r="A64" s="46" t="n">
        <v>55</v>
      </c>
      <c r="B64" s="47" t="n">
        <f aca="false">A64*$C$6</f>
        <v>1.00648893903016</v>
      </c>
      <c r="C64" s="48" t="n">
        <f aca="false">$C$7*B64</f>
        <v>7.63888888888889</v>
      </c>
      <c r="D64" s="49" t="n">
        <f aca="false">0.5*c_rho*'P3 Energie'!E8*'P3 Energie'!E7*(C64-c_Vv)^2+'P3 Energie'!E13+'P3 Energie'!E15+'P3 Energie'!E6*$C$7</f>
        <v>18203.4177997743</v>
      </c>
      <c r="E64" s="50" t="n">
        <f aca="false">D64*C64</f>
        <v>139053.885970498</v>
      </c>
      <c r="F64" s="46" t="n">
        <v>55</v>
      </c>
      <c r="G64" s="47" t="n">
        <f aca="false">F64*$H$6</f>
        <v>1.00358294708565</v>
      </c>
      <c r="H64" s="48" t="n">
        <f aca="false">$H$7*G64</f>
        <v>7.63888888888889</v>
      </c>
      <c r="I64" s="49" t="n">
        <f aca="false">0.5*c_rho*'P3 Energie'!F8*'P3 Energie'!F7*(H64-c_Vv)^2+'P3 Energie'!F13+'P3 Energie'!F15+'P3 Energie'!F6*$H$7</f>
        <v>19058.5520607639</v>
      </c>
      <c r="J64" s="50" t="n">
        <f aca="false">I64*H64</f>
        <v>145586.16157528</v>
      </c>
    </row>
    <row r="65" customFormat="false" ht="15" hidden="false" customHeight="false" outlineLevel="0" collapsed="false">
      <c r="A65" s="46" t="n">
        <v>56</v>
      </c>
      <c r="B65" s="47" t="n">
        <f aca="false">A65*$C$6</f>
        <v>1.02478873792162</v>
      </c>
      <c r="C65" s="48" t="n">
        <f aca="false">$C$7*B65</f>
        <v>7.77777777777778</v>
      </c>
      <c r="D65" s="49" t="n">
        <f aca="false">0.5*c_rho*'P3 Energie'!E8*'P3 Energie'!E7*(C65-c_Vv)^2+'P3 Energie'!E13+'P3 Energie'!E15+'P3 Energie'!E6*$C$7</f>
        <v>18204.2730794667</v>
      </c>
      <c r="E65" s="50" t="n">
        <f aca="false">D65*C65</f>
        <v>141588.790618074</v>
      </c>
      <c r="F65" s="46" t="n">
        <v>56</v>
      </c>
      <c r="G65" s="47" t="n">
        <f aca="false">F65*$H$6</f>
        <v>1.02182990975993</v>
      </c>
      <c r="H65" s="48" t="n">
        <f aca="false">$H$7*G65</f>
        <v>7.77777777777778</v>
      </c>
      <c r="I65" s="49" t="n">
        <f aca="false">0.5*c_rho*'P3 Energie'!F8*'P3 Energie'!F7*(H65-c_Vv)^2+'P3 Energie'!F13+'P3 Energie'!F15+'P3 Energie'!F6*$H$7</f>
        <v>19059.2951466667</v>
      </c>
      <c r="J65" s="50" t="n">
        <f aca="false">I65*H65</f>
        <v>148238.962251852</v>
      </c>
    </row>
    <row r="66" customFormat="false" ht="15" hidden="false" customHeight="false" outlineLevel="0" collapsed="false">
      <c r="A66" s="46" t="n">
        <v>57</v>
      </c>
      <c r="B66" s="47" t="n">
        <f aca="false">A66*$C$6</f>
        <v>1.04308853681308</v>
      </c>
      <c r="C66" s="48" t="n">
        <f aca="false">$C$7*B66</f>
        <v>7.91666666666667</v>
      </c>
      <c r="D66" s="49" t="n">
        <f aca="false">0.5*c_rho*'P3 Energie'!E8*'P3 Energie'!E7*(C66-c_Vv)^2+'P3 Energie'!E13+'P3 Energie'!E15+'P3 Energie'!E6*$C$7</f>
        <v>18205.1437696039</v>
      </c>
      <c r="E66" s="50" t="n">
        <f aca="false">D66*C66</f>
        <v>144124.054842698</v>
      </c>
      <c r="F66" s="46" t="n">
        <v>57</v>
      </c>
      <c r="G66" s="47" t="n">
        <f aca="false">F66*$H$6</f>
        <v>1.04007687243422</v>
      </c>
      <c r="H66" s="48" t="n">
        <f aca="false">$H$7*G66</f>
        <v>7.91666666666667</v>
      </c>
      <c r="I66" s="49" t="n">
        <f aca="false">0.5*c_rho*'P3 Energie'!F8*'P3 Energie'!F7*(H66-c_Vv)^2+'P3 Energie'!F13+'P3 Energie'!F15+'P3 Energie'!F6*$H$7</f>
        <v>19060.0516215046</v>
      </c>
      <c r="J66" s="50" t="n">
        <f aca="false">I66*H66</f>
        <v>150892.075336912</v>
      </c>
    </row>
    <row r="67" customFormat="false" ht="15" hidden="false" customHeight="false" outlineLevel="0" collapsed="false">
      <c r="A67" s="46" t="n">
        <v>58</v>
      </c>
      <c r="B67" s="47" t="n">
        <f aca="false">A67*$C$6</f>
        <v>1.06138833570453</v>
      </c>
      <c r="C67" s="48" t="n">
        <f aca="false">$C$7*B67</f>
        <v>8.05555555555556</v>
      </c>
      <c r="D67" s="49" t="n">
        <f aca="false">0.5*c_rho*'P3 Energie'!E8*'P3 Energie'!E7*(C67-c_Vv)^2+'P3 Energie'!E13+'P3 Energie'!E15+'P3 Energie'!E6*$C$7</f>
        <v>18206.0298701861</v>
      </c>
      <c r="E67" s="50" t="n">
        <f aca="false">D67*C67</f>
        <v>146659.685065388</v>
      </c>
      <c r="F67" s="46" t="n">
        <v>58</v>
      </c>
      <c r="G67" s="47" t="n">
        <f aca="false">F67*$H$6</f>
        <v>1.0583238351085</v>
      </c>
      <c r="H67" s="48" t="n">
        <f aca="false">$H$7*G67</f>
        <v>8.05555555555556</v>
      </c>
      <c r="I67" s="49" t="n">
        <f aca="false">0.5*c_rho*'P3 Energie'!F8*'P3 Energie'!F7*(H67-c_Vv)^2+'P3 Energie'!F13+'P3 Energie'!F15+'P3 Energie'!F6*$H$7</f>
        <v>19060.8214852778</v>
      </c>
      <c r="J67" s="50" t="n">
        <f aca="false">I67*H67</f>
        <v>153545.506409182</v>
      </c>
    </row>
    <row r="68" customFormat="false" ht="15" hidden="false" customHeight="false" outlineLevel="0" collapsed="false">
      <c r="A68" s="46" t="n">
        <v>59</v>
      </c>
      <c r="B68" s="47" t="n">
        <f aca="false">A68*$C$6</f>
        <v>1.07968813459599</v>
      </c>
      <c r="C68" s="48" t="n">
        <f aca="false">$C$7*B68</f>
        <v>8.19444444444445</v>
      </c>
      <c r="D68" s="49" t="n">
        <f aca="false">0.5*c_rho*'P3 Energie'!E8*'P3 Energie'!E7*(C68-c_Vv)^2+'P3 Energie'!E13+'P3 Energie'!E15+'P3 Energie'!E6*$C$7</f>
        <v>18206.9313812132</v>
      </c>
      <c r="E68" s="50" t="n">
        <f aca="false">D68*C68</f>
        <v>149195.687707164</v>
      </c>
      <c r="F68" s="46" t="n">
        <v>59</v>
      </c>
      <c r="G68" s="47" t="n">
        <f aca="false">F68*$H$6</f>
        <v>1.07657079778279</v>
      </c>
      <c r="H68" s="48" t="n">
        <f aca="false">$H$7*G68</f>
        <v>8.19444444444445</v>
      </c>
      <c r="I68" s="49" t="n">
        <f aca="false">0.5*c_rho*'P3 Energie'!F8*'P3 Energie'!F7*(H68-c_Vv)^2+'P3 Energie'!F13+'P3 Energie'!F15+'P3 Energie'!F6*$H$7</f>
        <v>19061.6047379861</v>
      </c>
      <c r="J68" s="50" t="n">
        <f aca="false">I68*H68</f>
        <v>156199.261047386</v>
      </c>
    </row>
    <row r="69" customFormat="false" ht="15" hidden="false" customHeight="false" outlineLevel="0" collapsed="false">
      <c r="A69" s="46" t="n">
        <v>60</v>
      </c>
      <c r="B69" s="47" t="n">
        <f aca="false">A69*$C$6</f>
        <v>1.09798793348745</v>
      </c>
      <c r="C69" s="48" t="n">
        <f aca="false">$C$7*B69</f>
        <v>8.33333333333333</v>
      </c>
      <c r="D69" s="49" t="n">
        <f aca="false">0.5*c_rho*'P3 Energie'!E8*'P3 Energie'!E7*(C69-c_Vv)^2+'P3 Energie'!E13+'P3 Energie'!E15+'P3 Energie'!E6*$C$7</f>
        <v>18207.8483026852</v>
      </c>
      <c r="E69" s="50" t="n">
        <f aca="false">D69*C69</f>
        <v>151732.069189043</v>
      </c>
      <c r="F69" s="46" t="n">
        <v>60</v>
      </c>
      <c r="G69" s="47" t="n">
        <f aca="false">F69*$H$6</f>
        <v>1.09481776045707</v>
      </c>
      <c r="H69" s="48" t="n">
        <f aca="false">$H$7*G69</f>
        <v>8.33333333333333</v>
      </c>
      <c r="I69" s="49" t="n">
        <f aca="false">0.5*c_rho*'P3 Energie'!F8*'P3 Energie'!F7*(H69-c_Vv)^2+'P3 Energie'!F13+'P3 Energie'!F15+'P3 Energie'!F6*$H$7</f>
        <v>19062.4013796296</v>
      </c>
      <c r="J69" s="50" t="n">
        <f aca="false">I69*H69</f>
        <v>158853.344830247</v>
      </c>
    </row>
    <row r="70" customFormat="false" ht="15" hidden="false" customHeight="false" outlineLevel="0" collapsed="false">
      <c r="A70" s="46" t="n">
        <v>61</v>
      </c>
      <c r="B70" s="47" t="n">
        <f aca="false">A70*$C$6</f>
        <v>1.11628773237891</v>
      </c>
      <c r="C70" s="48" t="n">
        <f aca="false">$C$7*B70</f>
        <v>8.47222222222222</v>
      </c>
      <c r="D70" s="49" t="n">
        <f aca="false">0.5*c_rho*'P3 Energie'!E8*'P3 Energie'!E7*(C70-c_Vv)^2+'P3 Energie'!E13+'P3 Energie'!E15+'P3 Energie'!E6*$C$7</f>
        <v>18208.7806346021</v>
      </c>
      <c r="E70" s="50" t="n">
        <f aca="false">D70*C70</f>
        <v>154268.835932045</v>
      </c>
      <c r="F70" s="46" t="n">
        <v>61</v>
      </c>
      <c r="G70" s="47" t="n">
        <f aca="false">F70*$H$6</f>
        <v>1.11306472313136</v>
      </c>
      <c r="H70" s="48" t="n">
        <f aca="false">$H$7*G70</f>
        <v>8.47222222222222</v>
      </c>
      <c r="I70" s="49" t="n">
        <f aca="false">0.5*c_rho*'P3 Energie'!F8*'P3 Energie'!F7*(H70-c_Vv)^2+'P3 Energie'!F13+'P3 Energie'!F15+'P3 Energie'!F6*$H$7</f>
        <v>19063.2114102083</v>
      </c>
      <c r="J70" s="50" t="n">
        <f aca="false">I70*H70</f>
        <v>161507.763336487</v>
      </c>
    </row>
    <row r="71" customFormat="false" ht="15" hidden="false" customHeight="false" outlineLevel="0" collapsed="false">
      <c r="A71" s="46" t="n">
        <v>62</v>
      </c>
      <c r="B71" s="47" t="n">
        <f aca="false">A71*$C$6</f>
        <v>1.13458753127036</v>
      </c>
      <c r="C71" s="48" t="n">
        <f aca="false">$C$7*B71</f>
        <v>8.61111111111111</v>
      </c>
      <c r="D71" s="49" t="n">
        <f aca="false">0.5*c_rho*'P3 Energie'!E8*'P3 Energie'!E7*(C71-c_Vv)^2+'P3 Energie'!E13+'P3 Energie'!E15+'P3 Energie'!E6*$C$7</f>
        <v>18209.7283769639</v>
      </c>
      <c r="E71" s="50" t="n">
        <f aca="false">D71*C71</f>
        <v>156805.994357189</v>
      </c>
      <c r="F71" s="46" t="n">
        <v>62</v>
      </c>
      <c r="G71" s="47" t="n">
        <f aca="false">F71*$H$6</f>
        <v>1.13131168580564</v>
      </c>
      <c r="H71" s="48" t="n">
        <f aca="false">$H$7*G71</f>
        <v>8.61111111111111</v>
      </c>
      <c r="I71" s="49" t="n">
        <f aca="false">0.5*c_rho*'P3 Energie'!F8*'P3 Energie'!F7*(H71-c_Vv)^2+'P3 Energie'!F13+'P3 Energie'!F15+'P3 Energie'!F6*$H$7</f>
        <v>19064.0348297222</v>
      </c>
      <c r="J71" s="50" t="n">
        <f aca="false">I71*H71</f>
        <v>164162.52214483</v>
      </c>
    </row>
    <row r="72" customFormat="false" ht="15" hidden="false" customHeight="false" outlineLevel="0" collapsed="false">
      <c r="A72" s="46" t="n">
        <v>63</v>
      </c>
      <c r="B72" s="47" t="n">
        <f aca="false">A72*$C$6</f>
        <v>1.15288733016182</v>
      </c>
      <c r="C72" s="48" t="n">
        <f aca="false">$C$7*B72</f>
        <v>8.75</v>
      </c>
      <c r="D72" s="49" t="n">
        <f aca="false">0.5*c_rho*'P3 Energie'!E8*'P3 Energie'!E7*(C72-c_Vv)^2+'P3 Energie'!E13+'P3 Energie'!E15+'P3 Energie'!E6*$C$7</f>
        <v>18210.6915297706</v>
      </c>
      <c r="E72" s="50" t="n">
        <f aca="false">D72*C72</f>
        <v>159343.550885493</v>
      </c>
      <c r="F72" s="46" t="n">
        <v>63</v>
      </c>
      <c r="G72" s="47" t="n">
        <f aca="false">F72*$H$6</f>
        <v>1.14955864847993</v>
      </c>
      <c r="H72" s="48" t="n">
        <f aca="false">$H$7*G72</f>
        <v>8.75</v>
      </c>
      <c r="I72" s="49" t="n">
        <f aca="false">0.5*c_rho*'P3 Energie'!F8*'P3 Energie'!F7*(H72-c_Vv)^2+'P3 Energie'!F13+'P3 Energie'!F15+'P3 Energie'!F6*$H$7</f>
        <v>19064.8716381713</v>
      </c>
      <c r="J72" s="50" t="n">
        <f aca="false">I72*H72</f>
        <v>166817.626833999</v>
      </c>
    </row>
    <row r="73" customFormat="false" ht="15" hidden="false" customHeight="false" outlineLevel="0" collapsed="false">
      <c r="A73" s="46" t="n">
        <v>64</v>
      </c>
      <c r="B73" s="47" t="n">
        <f aca="false">A73*$C$6</f>
        <v>1.17118712905328</v>
      </c>
      <c r="C73" s="48" t="n">
        <f aca="false">$C$7*B73</f>
        <v>8.88888888888889</v>
      </c>
      <c r="D73" s="49" t="n">
        <f aca="false">0.5*c_rho*'P3 Energie'!E8*'P3 Energie'!E7*(C73-c_Vv)^2+'P3 Energie'!E13+'P3 Energie'!E15+'P3 Energie'!E6*$C$7</f>
        <v>18211.6700930222</v>
      </c>
      <c r="E73" s="50" t="n">
        <f aca="false">D73*C73</f>
        <v>161881.511937975</v>
      </c>
      <c r="F73" s="46" t="n">
        <v>64</v>
      </c>
      <c r="G73" s="47" t="n">
        <f aca="false">F73*$H$6</f>
        <v>1.16780561115421</v>
      </c>
      <c r="H73" s="48" t="n">
        <f aca="false">$H$7*G73</f>
        <v>8.88888888888889</v>
      </c>
      <c r="I73" s="49" t="n">
        <f aca="false">0.5*c_rho*'P3 Energie'!F8*'P3 Energie'!F7*(H73-c_Vv)^2+'P3 Energie'!F13+'P3 Energie'!F15+'P3 Energie'!F6*$H$7</f>
        <v>19065.7218355556</v>
      </c>
      <c r="J73" s="50" t="n">
        <f aca="false">I73*H73</f>
        <v>169473.082982716</v>
      </c>
    </row>
    <row r="74" customFormat="false" ht="15" hidden="false" customHeight="false" outlineLevel="0" collapsed="false">
      <c r="A74" s="46" t="n">
        <v>65</v>
      </c>
      <c r="B74" s="47" t="n">
        <f aca="false">A74*$C$6</f>
        <v>1.18948692794474</v>
      </c>
      <c r="C74" s="48" t="n">
        <f aca="false">$C$7*B74</f>
        <v>9.02777777777778</v>
      </c>
      <c r="D74" s="49" t="n">
        <f aca="false">0.5*c_rho*'P3 Energie'!E8*'P3 Energie'!E7*(C74-c_Vv)^2+'P3 Energie'!E13+'P3 Energie'!E15+'P3 Energie'!E6*$C$7</f>
        <v>18212.6640667188</v>
      </c>
      <c r="E74" s="50" t="n">
        <f aca="false">D74*C74</f>
        <v>164419.883935655</v>
      </c>
      <c r="F74" s="46" t="n">
        <v>65</v>
      </c>
      <c r="G74" s="47" t="n">
        <f aca="false">F74*$H$6</f>
        <v>1.18605257382849</v>
      </c>
      <c r="H74" s="48" t="n">
        <f aca="false">$H$7*G74</f>
        <v>9.02777777777778</v>
      </c>
      <c r="I74" s="49" t="n">
        <f aca="false">0.5*c_rho*'P3 Energie'!F8*'P3 Energie'!F7*(H74-c_Vv)^2+'P3 Energie'!F13+'P3 Energie'!F15+'P3 Energie'!F6*$H$7</f>
        <v>19066.585421875</v>
      </c>
      <c r="J74" s="50" t="n">
        <f aca="false">I74*H74</f>
        <v>172128.896169705</v>
      </c>
    </row>
    <row r="75" customFormat="false" ht="15" hidden="false" customHeight="false" outlineLevel="0" collapsed="false">
      <c r="A75" s="46" t="n">
        <v>66</v>
      </c>
      <c r="B75" s="47" t="n">
        <f aca="false">A75*$C$6</f>
        <v>1.20778672683619</v>
      </c>
      <c r="C75" s="48" t="n">
        <f aca="false">$C$7*B75</f>
        <v>9.16666666666667</v>
      </c>
      <c r="D75" s="49" t="n">
        <f aca="false">0.5*c_rho*'P3 Energie'!E8*'P3 Energie'!E7*(C75-c_Vv)^2+'P3 Energie'!E13+'P3 Energie'!E15+'P3 Energie'!E6*$C$7</f>
        <v>18213.6734508602</v>
      </c>
      <c r="E75" s="50" t="n">
        <f aca="false">D75*C75</f>
        <v>166958.673299552</v>
      </c>
      <c r="F75" s="46" t="n">
        <v>66</v>
      </c>
      <c r="G75" s="47" t="n">
        <f aca="false">F75*$H$6</f>
        <v>1.20429953650278</v>
      </c>
      <c r="H75" s="48" t="n">
        <f aca="false">$H$7*G75</f>
        <v>9.16666666666667</v>
      </c>
      <c r="I75" s="49" t="n">
        <f aca="false">0.5*c_rho*'P3 Energie'!F8*'P3 Energie'!F7*(H75-c_Vv)^2+'P3 Energie'!F13+'P3 Energie'!F15+'P3 Energie'!F6*$H$7</f>
        <v>19067.4623971296</v>
      </c>
      <c r="J75" s="50" t="n">
        <f aca="false">I75*H75</f>
        <v>174785.071973688</v>
      </c>
    </row>
    <row r="76" customFormat="false" ht="15" hidden="false" customHeight="false" outlineLevel="0" collapsed="false">
      <c r="A76" s="46" t="n">
        <v>67</v>
      </c>
      <c r="B76" s="47" t="n">
        <f aca="false">A76*$C$6</f>
        <v>1.22608652572765</v>
      </c>
      <c r="C76" s="48" t="n">
        <f aca="false">$C$7*B76</f>
        <v>9.30555555555556</v>
      </c>
      <c r="D76" s="49" t="n">
        <f aca="false">0.5*c_rho*'P3 Energie'!E8*'P3 Energie'!E7*(C76-c_Vv)^2+'P3 Energie'!E13+'P3 Energie'!E15+'P3 Energie'!E6*$C$7</f>
        <v>18214.6982454465</v>
      </c>
      <c r="E76" s="50" t="n">
        <f aca="false">D76*C76</f>
        <v>169497.886450683</v>
      </c>
      <c r="F76" s="46" t="n">
        <v>67</v>
      </c>
      <c r="G76" s="47" t="n">
        <f aca="false">F76*$H$6</f>
        <v>1.22254649917706</v>
      </c>
      <c r="H76" s="48" t="n">
        <f aca="false">$H$7*G76</f>
        <v>9.30555555555556</v>
      </c>
      <c r="I76" s="49" t="n">
        <f aca="false">0.5*c_rho*'P3 Energie'!F8*'P3 Energie'!F7*(H76-c_Vv)^2+'P3 Energie'!F13+'P3 Energie'!F15+'P3 Energie'!F6*$H$7</f>
        <v>19068.3527613194</v>
      </c>
      <c r="J76" s="50" t="n">
        <f aca="false">I76*H76</f>
        <v>177441.615973389</v>
      </c>
    </row>
    <row r="77" customFormat="false" ht="15" hidden="false" customHeight="false" outlineLevel="0" collapsed="false">
      <c r="A77" s="46" t="n">
        <v>68</v>
      </c>
      <c r="B77" s="47" t="n">
        <f aca="false">A77*$C$6</f>
        <v>1.24438632461911</v>
      </c>
      <c r="C77" s="48" t="n">
        <f aca="false">$C$7*B77</f>
        <v>9.44444444444445</v>
      </c>
      <c r="D77" s="49" t="n">
        <f aca="false">0.5*c_rho*'P3 Energie'!E8*'P3 Energie'!E7*(C77-c_Vv)^2+'P3 Energie'!E13+'P3 Energie'!E15+'P3 Energie'!E6*$C$7</f>
        <v>18215.7384504778</v>
      </c>
      <c r="E77" s="50" t="n">
        <f aca="false">D77*C77</f>
        <v>172037.529810068</v>
      </c>
      <c r="F77" s="46" t="n">
        <v>68</v>
      </c>
      <c r="G77" s="47" t="n">
        <f aca="false">F77*$H$6</f>
        <v>1.24079346185135</v>
      </c>
      <c r="H77" s="48" t="n">
        <f aca="false">$H$7*G77</f>
        <v>9.44444444444445</v>
      </c>
      <c r="I77" s="49" t="n">
        <f aca="false">0.5*c_rho*'P3 Energie'!F8*'P3 Energie'!F7*(H77-c_Vv)^2+'P3 Energie'!F13+'P3 Energie'!F15+'P3 Energie'!F6*$H$7</f>
        <v>19069.2565144444</v>
      </c>
      <c r="J77" s="50" t="n">
        <f aca="false">I77*H77</f>
        <v>180098.533747531</v>
      </c>
    </row>
    <row r="78" customFormat="false" ht="15" hidden="false" customHeight="false" outlineLevel="0" collapsed="false">
      <c r="A78" s="46" t="n">
        <v>69</v>
      </c>
      <c r="B78" s="47" t="n">
        <f aca="false">A78*$C$6</f>
        <v>1.26268612351057</v>
      </c>
      <c r="C78" s="48" t="n">
        <f aca="false">$C$7*B78</f>
        <v>9.58333333333333</v>
      </c>
      <c r="D78" s="49" t="n">
        <f aca="false">0.5*c_rho*'P3 Energie'!E8*'P3 Energie'!E7*(C78-c_Vv)^2+'P3 Energie'!E13+'P3 Energie'!E15+'P3 Energie'!E6*$C$7</f>
        <v>18216.7940659539</v>
      </c>
      <c r="E78" s="50" t="n">
        <f aca="false">D78*C78</f>
        <v>174577.609798725</v>
      </c>
      <c r="F78" s="46" t="n">
        <v>69</v>
      </c>
      <c r="G78" s="47" t="n">
        <f aca="false">F78*$H$6</f>
        <v>1.25904042452563</v>
      </c>
      <c r="H78" s="48" t="n">
        <f aca="false">$H$7*G78</f>
        <v>9.58333333333334</v>
      </c>
      <c r="I78" s="49" t="n">
        <f aca="false">0.5*c_rho*'P3 Energie'!F8*'P3 Energie'!F7*(H78-c_Vv)^2+'P3 Energie'!F13+'P3 Energie'!F15+'P3 Energie'!F6*$H$7</f>
        <v>19070.1736565046</v>
      </c>
      <c r="J78" s="50" t="n">
        <f aca="false">I78*H78</f>
        <v>182755.830874836</v>
      </c>
    </row>
    <row r="79" customFormat="false" ht="15" hidden="false" customHeight="false" outlineLevel="0" collapsed="false">
      <c r="A79" s="46" t="n">
        <v>70</v>
      </c>
      <c r="B79" s="47" t="n">
        <f aca="false">A79*$C$6</f>
        <v>1.28098592240202</v>
      </c>
      <c r="C79" s="48" t="n">
        <f aca="false">$C$7*B79</f>
        <v>9.72222222222222</v>
      </c>
      <c r="D79" s="49" t="n">
        <f aca="false">0.5*c_rho*'P3 Energie'!E8*'P3 Energie'!E7*(C79-c_Vv)^2+'P3 Energie'!E13+'P3 Energie'!E15+'P3 Energie'!E6*$C$7</f>
        <v>18217.865091875</v>
      </c>
      <c r="E79" s="50" t="n">
        <f aca="false">D79*C79</f>
        <v>177118.132837674</v>
      </c>
      <c r="F79" s="46" t="n">
        <v>70</v>
      </c>
      <c r="G79" s="47" t="n">
        <f aca="false">F79*$H$6</f>
        <v>1.27728738719992</v>
      </c>
      <c r="H79" s="48" t="n">
        <f aca="false">$H$7*G79</f>
        <v>9.72222222222222</v>
      </c>
      <c r="I79" s="49" t="n">
        <f aca="false">0.5*c_rho*'P3 Energie'!F8*'P3 Energie'!F7*(H79-c_Vv)^2+'P3 Energie'!F13+'P3 Energie'!F15+'P3 Energie'!F6*$H$7</f>
        <v>19071.1041875</v>
      </c>
      <c r="J79" s="50" t="n">
        <f aca="false">I79*H79</f>
        <v>185413.512934028</v>
      </c>
    </row>
    <row r="80" customFormat="false" ht="15" hidden="false" customHeight="false" outlineLevel="0" collapsed="false">
      <c r="A80" s="46" t="n">
        <v>71</v>
      </c>
      <c r="B80" s="47" t="n">
        <f aca="false">A80*$C$6</f>
        <v>1.29928572129348</v>
      </c>
      <c r="C80" s="48" t="n">
        <f aca="false">$C$7*B80</f>
        <v>9.86111111111111</v>
      </c>
      <c r="D80" s="49" t="n">
        <f aca="false">0.5*c_rho*'P3 Energie'!E8*'P3 Energie'!E7*(C80-c_Vv)^2+'P3 Energie'!E13+'P3 Energie'!E15+'P3 Energie'!E6*$C$7</f>
        <v>18218.951528241</v>
      </c>
      <c r="E80" s="50" t="n">
        <f aca="false">D80*C80</f>
        <v>179659.105347932</v>
      </c>
      <c r="F80" s="46" t="n">
        <v>71</v>
      </c>
      <c r="G80" s="47" t="n">
        <f aca="false">F80*$H$6</f>
        <v>1.2955343498742</v>
      </c>
      <c r="H80" s="48" t="n">
        <f aca="false">$H$7*G80</f>
        <v>9.86111111111111</v>
      </c>
      <c r="I80" s="49" t="n">
        <f aca="false">0.5*c_rho*'P3 Energie'!F8*'P3 Energie'!F7*(H80-c_Vv)^2+'P3 Energie'!F13+'P3 Energie'!F15+'P3 Energie'!F6*$H$7</f>
        <v>19072.0481074306</v>
      </c>
      <c r="J80" s="50" t="n">
        <f aca="false">I80*H80</f>
        <v>188071.585503829</v>
      </c>
    </row>
    <row r="81" customFormat="false" ht="15" hidden="false" customHeight="false" outlineLevel="0" collapsed="false">
      <c r="A81" s="46" t="n">
        <v>72</v>
      </c>
      <c r="B81" s="47" t="n">
        <f aca="false">A81*$C$6</f>
        <v>1.31758552018494</v>
      </c>
      <c r="C81" s="48" t="n">
        <f aca="false">$C$7*B81</f>
        <v>10</v>
      </c>
      <c r="D81" s="49" t="n">
        <f aca="false">0.5*c_rho*'P3 Energie'!E8*'P3 Energie'!E7*(C81-c_Vv)^2+'P3 Energie'!E13+'P3 Energie'!E15+'P3 Energie'!E6*$C$7</f>
        <v>18220.0533750519</v>
      </c>
      <c r="E81" s="50" t="n">
        <f aca="false">D81*C81</f>
        <v>182200.533750519</v>
      </c>
      <c r="F81" s="46" t="n">
        <v>72</v>
      </c>
      <c r="G81" s="47" t="n">
        <f aca="false">F81*$H$6</f>
        <v>1.31378131254849</v>
      </c>
      <c r="H81" s="48" t="n">
        <f aca="false">$H$7*G81</f>
        <v>10</v>
      </c>
      <c r="I81" s="49" t="n">
        <f aca="false">0.5*c_rho*'P3 Energie'!F8*'P3 Energie'!F7*(H81-c_Vv)^2+'P3 Energie'!F13+'P3 Energie'!F15+'P3 Energie'!F6*$H$7</f>
        <v>19073.0054162963</v>
      </c>
      <c r="J81" s="50" t="n">
        <f aca="false">I81*H81</f>
        <v>190730.054162963</v>
      </c>
    </row>
    <row r="82" customFormat="false" ht="15" hidden="false" customHeight="false" outlineLevel="0" collapsed="false">
      <c r="A82" s="46" t="n">
        <v>73</v>
      </c>
      <c r="B82" s="47" t="n">
        <f aca="false">A82*$C$6</f>
        <v>1.3358853190764</v>
      </c>
      <c r="C82" s="48" t="n">
        <f aca="false">$C$7*B82</f>
        <v>10.1388888888889</v>
      </c>
      <c r="D82" s="49" t="n">
        <f aca="false">0.5*c_rho*'P3 Energie'!E8*'P3 Energie'!E7*(C82-c_Vv)^2+'P3 Energie'!E13+'P3 Energie'!E15+'P3 Energie'!E6*$C$7</f>
        <v>18221.1706323076</v>
      </c>
      <c r="E82" s="50" t="n">
        <f aca="false">D82*C82</f>
        <v>184742.424466453</v>
      </c>
      <c r="F82" s="46" t="n">
        <v>73</v>
      </c>
      <c r="G82" s="47" t="n">
        <f aca="false">F82*$H$6</f>
        <v>1.33202827522277</v>
      </c>
      <c r="H82" s="48" t="n">
        <f aca="false">$H$7*G82</f>
        <v>10.1388888888889</v>
      </c>
      <c r="I82" s="49" t="n">
        <f aca="false">0.5*c_rho*'P3 Energie'!F8*'P3 Energie'!F7*(H82-c_Vv)^2+'P3 Energie'!F13+'P3 Energie'!F15+'P3 Energie'!F6*$H$7</f>
        <v>19073.9761140972</v>
      </c>
      <c r="J82" s="50" t="n">
        <f aca="false">I82*H82</f>
        <v>193388.924490152</v>
      </c>
    </row>
    <row r="83" customFormat="false" ht="15" hidden="false" customHeight="false" outlineLevel="0" collapsed="false">
      <c r="A83" s="46" t="n">
        <v>74</v>
      </c>
      <c r="B83" s="47" t="n">
        <f aca="false">A83*$C$6</f>
        <v>1.35418511796785</v>
      </c>
      <c r="C83" s="48" t="n">
        <f aca="false">$C$7*B83</f>
        <v>10.2777777777778</v>
      </c>
      <c r="D83" s="49" t="n">
        <f aca="false">0.5*c_rho*'P3 Energie'!E8*'P3 Energie'!E7*(C83-c_Vv)^2+'P3 Energie'!E13+'P3 Energie'!E15+'P3 Energie'!E6*$C$7</f>
        <v>18222.3033000083</v>
      </c>
      <c r="E83" s="50" t="n">
        <f aca="false">D83*C83</f>
        <v>187284.783916752</v>
      </c>
      <c r="F83" s="46" t="n">
        <v>74</v>
      </c>
      <c r="G83" s="47" t="n">
        <f aca="false">F83*$H$6</f>
        <v>1.35027523789706</v>
      </c>
      <c r="H83" s="48" t="n">
        <f aca="false">$H$7*G83</f>
        <v>10.2777777777778</v>
      </c>
      <c r="I83" s="49" t="n">
        <f aca="false">0.5*c_rho*'P3 Energie'!F8*'P3 Energie'!F7*(H83-c_Vv)^2+'P3 Energie'!F13+'P3 Energie'!F15+'P3 Energie'!F6*$H$7</f>
        <v>19074.9602008333</v>
      </c>
      <c r="J83" s="50" t="n">
        <f aca="false">I83*H83</f>
        <v>196048.20206412</v>
      </c>
    </row>
    <row r="84" customFormat="false" ht="15" hidden="false" customHeight="false" outlineLevel="0" collapsed="false">
      <c r="A84" s="46" t="n">
        <v>75</v>
      </c>
      <c r="B84" s="47" t="n">
        <f aca="false">A84*$C$6</f>
        <v>1.37248491685931</v>
      </c>
      <c r="C84" s="48" t="n">
        <f aca="false">$C$7*B84</f>
        <v>10.4166666666667</v>
      </c>
      <c r="D84" s="49" t="n">
        <f aca="false">0.5*c_rho*'P3 Energie'!E8*'P3 Energie'!E7*(C84-c_Vv)^2+'P3 Energie'!E13+'P3 Energie'!E15+'P3 Energie'!E6*$C$7</f>
        <v>18223.4513781539</v>
      </c>
      <c r="E84" s="50" t="n">
        <f aca="false">D84*C84</f>
        <v>189827.618522437</v>
      </c>
      <c r="F84" s="46" t="n">
        <v>75</v>
      </c>
      <c r="G84" s="47" t="n">
        <f aca="false">F84*$H$6</f>
        <v>1.36852220057134</v>
      </c>
      <c r="H84" s="48" t="n">
        <f aca="false">$H$7*G84</f>
        <v>10.4166666666667</v>
      </c>
      <c r="I84" s="49" t="n">
        <f aca="false">0.5*c_rho*'P3 Energie'!F8*'P3 Energie'!F7*(H84-c_Vv)^2+'P3 Energie'!F13+'P3 Energie'!F15+'P3 Energie'!F6*$H$7</f>
        <v>19075.9576765046</v>
      </c>
      <c r="J84" s="50" t="n">
        <f aca="false">I84*H84</f>
        <v>198707.89246359</v>
      </c>
    </row>
    <row r="85" customFormat="false" ht="15" hidden="false" customHeight="false" outlineLevel="0" collapsed="false">
      <c r="A85" s="46" t="n">
        <v>76</v>
      </c>
      <c r="B85" s="47" t="n">
        <f aca="false">A85*$C$6</f>
        <v>1.39078471575077</v>
      </c>
      <c r="C85" s="48" t="n">
        <f aca="false">$C$7*B85</f>
        <v>10.5555555555556</v>
      </c>
      <c r="D85" s="49" t="n">
        <f aca="false">0.5*c_rho*'P3 Energie'!E8*'P3 Energie'!E7*(C85-c_Vv)^2+'P3 Energie'!E13+'P3 Energie'!E15+'P3 Energie'!E6*$C$7</f>
        <v>18224.6148667445</v>
      </c>
      <c r="E85" s="50" t="n">
        <f aca="false">D85*C85</f>
        <v>192370.934704525</v>
      </c>
      <c r="F85" s="46" t="n">
        <v>76</v>
      </c>
      <c r="G85" s="47" t="n">
        <f aca="false">F85*$H$6</f>
        <v>1.38676916324562</v>
      </c>
      <c r="H85" s="48" t="n">
        <f aca="false">$H$7*G85</f>
        <v>10.5555555555556</v>
      </c>
      <c r="I85" s="49" t="n">
        <f aca="false">0.5*c_rho*'P3 Energie'!F8*'P3 Energie'!F7*(H85-c_Vv)^2+'P3 Energie'!F13+'P3 Energie'!F15+'P3 Energie'!F6*$H$7</f>
        <v>19076.9685411111</v>
      </c>
      <c r="J85" s="50" t="n">
        <f aca="false">I85*H85</f>
        <v>201368.001267284</v>
      </c>
    </row>
    <row r="86" customFormat="false" ht="15" hidden="false" customHeight="false" outlineLevel="0" collapsed="false">
      <c r="A86" s="46" t="n">
        <v>77</v>
      </c>
      <c r="B86" s="47" t="n">
        <f aca="false">A86*$C$6</f>
        <v>1.40908451464223</v>
      </c>
      <c r="C86" s="48" t="n">
        <f aca="false">$C$7*B86</f>
        <v>10.6944444444444</v>
      </c>
      <c r="D86" s="49" t="n">
        <f aca="false">0.5*c_rho*'P3 Energie'!E8*'P3 Energie'!E7*(C86-c_Vv)^2+'P3 Energie'!E13+'P3 Energie'!E15+'P3 Energie'!E6*$C$7</f>
        <v>18225.7937657799</v>
      </c>
      <c r="E86" s="50" t="n">
        <f aca="false">D86*C86</f>
        <v>194914.738884035</v>
      </c>
      <c r="F86" s="46" t="n">
        <v>77</v>
      </c>
      <c r="G86" s="47" t="n">
        <f aca="false">F86*$H$6</f>
        <v>1.40501612591991</v>
      </c>
      <c r="H86" s="48" t="n">
        <f aca="false">$H$7*G86</f>
        <v>10.6944444444444</v>
      </c>
      <c r="I86" s="49" t="n">
        <f aca="false">0.5*c_rho*'P3 Energie'!F8*'P3 Energie'!F7*(H86-c_Vv)^2+'P3 Energie'!F13+'P3 Energie'!F15+'P3 Energie'!F6*$H$7</f>
        <v>19077.9927946528</v>
      </c>
      <c r="J86" s="50" t="n">
        <f aca="false">I86*H86</f>
        <v>204028.534053926</v>
      </c>
    </row>
    <row r="87" customFormat="false" ht="15" hidden="false" customHeight="false" outlineLevel="0" collapsed="false">
      <c r="A87" s="46" t="n">
        <v>78</v>
      </c>
      <c r="B87" s="47" t="n">
        <f aca="false">A87*$C$6</f>
        <v>1.42738431353368</v>
      </c>
      <c r="C87" s="48" t="n">
        <f aca="false">$C$7*B87</f>
        <v>10.8333333333333</v>
      </c>
      <c r="D87" s="49" t="n">
        <f aca="false">0.5*c_rho*'P3 Energie'!E8*'P3 Energie'!E7*(C87-c_Vv)^2+'P3 Energie'!E13+'P3 Energie'!E15+'P3 Energie'!E6*$C$7</f>
        <v>18226.9880752602</v>
      </c>
      <c r="E87" s="50" t="n">
        <f aca="false">D87*C87</f>
        <v>197459.037481985</v>
      </c>
      <c r="F87" s="46" t="n">
        <v>78</v>
      </c>
      <c r="G87" s="47" t="n">
        <f aca="false">F87*$H$6</f>
        <v>1.42326308859419</v>
      </c>
      <c r="H87" s="48" t="n">
        <f aca="false">$H$7*G87</f>
        <v>10.8333333333333</v>
      </c>
      <c r="I87" s="49" t="n">
        <f aca="false">0.5*c_rho*'P3 Energie'!F8*'P3 Energie'!F7*(H87-c_Vv)^2+'P3 Energie'!F13+'P3 Energie'!F15+'P3 Energie'!F6*$H$7</f>
        <v>19079.0304371296</v>
      </c>
      <c r="J87" s="50" t="n">
        <f aca="false">I87*H87</f>
        <v>206689.496402238</v>
      </c>
    </row>
    <row r="88" customFormat="false" ht="15" hidden="false" customHeight="false" outlineLevel="0" collapsed="false">
      <c r="A88" s="46" t="n">
        <v>79</v>
      </c>
      <c r="B88" s="47" t="n">
        <f aca="false">A88*$C$6</f>
        <v>1.44568411242514</v>
      </c>
      <c r="C88" s="48" t="n">
        <f aca="false">$C$7*B88</f>
        <v>10.9722222222222</v>
      </c>
      <c r="D88" s="49" t="n">
        <f aca="false">0.5*c_rho*'P3 Energie'!E8*'P3 Energie'!E7*(C88-c_Vv)^2+'P3 Energie'!E13+'P3 Energie'!E15+'P3 Energie'!E6*$C$7</f>
        <v>18228.1977951854</v>
      </c>
      <c r="E88" s="50" t="n">
        <f aca="false">D88*C88</f>
        <v>200003.836919396</v>
      </c>
      <c r="F88" s="46" t="n">
        <v>79</v>
      </c>
      <c r="G88" s="47" t="n">
        <f aca="false">F88*$H$6</f>
        <v>1.44151005126848</v>
      </c>
      <c r="H88" s="48" t="n">
        <f aca="false">$H$7*G88</f>
        <v>10.9722222222222</v>
      </c>
      <c r="I88" s="49" t="n">
        <f aca="false">0.5*c_rho*'P3 Energie'!F8*'P3 Energie'!F7*(H88-c_Vv)^2+'P3 Energie'!F13+'P3 Energie'!F15+'P3 Energie'!F6*$H$7</f>
        <v>19080.0814685417</v>
      </c>
      <c r="J88" s="50" t="n">
        <f aca="false">I88*H88</f>
        <v>209350.893890943</v>
      </c>
    </row>
    <row r="89" customFormat="false" ht="15" hidden="false" customHeight="false" outlineLevel="0" collapsed="false">
      <c r="A89" s="46" t="n">
        <v>80</v>
      </c>
      <c r="B89" s="47" t="n">
        <f aca="false">A89*$C$6</f>
        <v>1.4639839113166</v>
      </c>
      <c r="C89" s="48" t="n">
        <f aca="false">$C$7*B89</f>
        <v>11.1111111111111</v>
      </c>
      <c r="D89" s="49" t="n">
        <f aca="false">0.5*c_rho*'P3 Energie'!E8*'P3 Energie'!E7*(C89-c_Vv)^2+'P3 Energie'!E13+'P3 Energie'!E15+'P3 Energie'!E6*$C$7</f>
        <v>18229.4229255556</v>
      </c>
      <c r="E89" s="50" t="n">
        <f aca="false">D89*C89</f>
        <v>202549.143617284</v>
      </c>
      <c r="F89" s="46" t="n">
        <v>80</v>
      </c>
      <c r="G89" s="47" t="n">
        <f aca="false">F89*$H$6</f>
        <v>1.45975701394276</v>
      </c>
      <c r="H89" s="48" t="n">
        <f aca="false">$H$7*G89</f>
        <v>11.1111111111111</v>
      </c>
      <c r="I89" s="49" t="n">
        <f aca="false">0.5*c_rho*'P3 Energie'!F8*'P3 Energie'!F7*(H89-c_Vv)^2+'P3 Energie'!F13+'P3 Energie'!F15+'P3 Energie'!F6*$H$7</f>
        <v>19081.1458888889</v>
      </c>
      <c r="J89" s="50" t="n">
        <f aca="false">I89*H89</f>
        <v>212012.732098765</v>
      </c>
    </row>
    <row r="90" customFormat="false" ht="15" hidden="false" customHeight="false" outlineLevel="0" collapsed="false">
      <c r="A90" s="46" t="n">
        <v>81</v>
      </c>
      <c r="B90" s="47" t="n">
        <f aca="false">A90*$C$6</f>
        <v>1.48228371020806</v>
      </c>
      <c r="C90" s="48" t="n">
        <f aca="false">$C$7*B90</f>
        <v>11.25</v>
      </c>
      <c r="D90" s="49" t="n">
        <f aca="false">0.5*c_rho*'P3 Energie'!E8*'P3 Energie'!E7*(C90-c_Vv)^2+'P3 Energie'!E13+'P3 Energie'!E15+'P3 Energie'!E6*$C$7</f>
        <v>18230.6634663706</v>
      </c>
      <c r="E90" s="50" t="n">
        <f aca="false">D90*C90</f>
        <v>205094.963996669</v>
      </c>
      <c r="F90" s="46" t="n">
        <v>81</v>
      </c>
      <c r="G90" s="47" t="n">
        <f aca="false">F90*$H$6</f>
        <v>1.47800397661705</v>
      </c>
      <c r="H90" s="48" t="n">
        <f aca="false">$H$7*G90</f>
        <v>11.25</v>
      </c>
      <c r="I90" s="49" t="n">
        <f aca="false">0.5*c_rho*'P3 Energie'!F8*'P3 Energie'!F7*(H90-c_Vv)^2+'P3 Energie'!F13+'P3 Energie'!F15+'P3 Energie'!F6*$H$7</f>
        <v>19082.2236981713</v>
      </c>
      <c r="J90" s="50" t="n">
        <f aca="false">I90*H90</f>
        <v>214675.016604427</v>
      </c>
    </row>
    <row r="91" customFormat="false" ht="15" hidden="false" customHeight="false" outlineLevel="0" collapsed="false">
      <c r="A91" s="46" t="n">
        <v>82</v>
      </c>
      <c r="B91" s="47" t="n">
        <f aca="false">A91*$C$6</f>
        <v>1.50058350909951</v>
      </c>
      <c r="C91" s="48" t="n">
        <f aca="false">$C$7*B91</f>
        <v>11.3888888888889</v>
      </c>
      <c r="D91" s="49" t="n">
        <f aca="false">0.5*c_rho*'P3 Energie'!E8*'P3 Energie'!E7*(C91-c_Vv)^2+'P3 Energie'!E13+'P3 Energie'!E15+'P3 Energie'!E6*$C$7</f>
        <v>18231.9194176306</v>
      </c>
      <c r="E91" s="50" t="n">
        <f aca="false">D91*C91</f>
        <v>207641.30447857</v>
      </c>
      <c r="F91" s="46" t="n">
        <v>82</v>
      </c>
      <c r="G91" s="47" t="n">
        <f aca="false">F91*$H$6</f>
        <v>1.49625093929133</v>
      </c>
      <c r="H91" s="48" t="n">
        <f aca="false">$H$7*G91</f>
        <v>11.3888888888889</v>
      </c>
      <c r="I91" s="49" t="n">
        <f aca="false">0.5*c_rho*'P3 Energie'!F8*'P3 Energie'!F7*(H91-c_Vv)^2+'P3 Energie'!F13+'P3 Energie'!F15+'P3 Energie'!F6*$H$7</f>
        <v>19083.3148963889</v>
      </c>
      <c r="J91" s="50" t="n">
        <f aca="false">I91*H91</f>
        <v>217337.752986651</v>
      </c>
    </row>
    <row r="92" customFormat="false" ht="15" hidden="false" customHeight="false" outlineLevel="0" collapsed="false">
      <c r="A92" s="46" t="n">
        <v>83</v>
      </c>
      <c r="B92" s="47" t="n">
        <f aca="false">A92*$C$6</f>
        <v>1.51888330799097</v>
      </c>
      <c r="C92" s="48" t="n">
        <f aca="false">$C$7*B92</f>
        <v>11.5277777777778</v>
      </c>
      <c r="D92" s="49" t="n">
        <f aca="false">0.5*c_rho*'P3 Energie'!E8*'P3 Energie'!E7*(C92-c_Vv)^2+'P3 Energie'!E13+'P3 Energie'!E15+'P3 Energie'!E6*$C$7</f>
        <v>18233.1907793354</v>
      </c>
      <c r="E92" s="50" t="n">
        <f aca="false">D92*C92</f>
        <v>210188.171484006</v>
      </c>
      <c r="F92" s="46" t="n">
        <v>83</v>
      </c>
      <c r="G92" s="47" t="n">
        <f aca="false">F92*$H$6</f>
        <v>1.51449790196562</v>
      </c>
      <c r="H92" s="48" t="n">
        <f aca="false">$H$7*G92</f>
        <v>11.5277777777778</v>
      </c>
      <c r="I92" s="49" t="n">
        <f aca="false">0.5*c_rho*'P3 Energie'!F8*'P3 Energie'!F7*(H92-c_Vv)^2+'P3 Energie'!F13+'P3 Energie'!F15+'P3 Energie'!F6*$H$7</f>
        <v>19084.4194835417</v>
      </c>
      <c r="J92" s="50" t="n">
        <f aca="false">I92*H92</f>
        <v>220000.946824161</v>
      </c>
    </row>
    <row r="93" customFormat="false" ht="15" hidden="false" customHeight="false" outlineLevel="0" collapsed="false">
      <c r="A93" s="46" t="n">
        <v>84</v>
      </c>
      <c r="B93" s="47" t="n">
        <f aca="false">A93*$C$6</f>
        <v>1.53718310688243</v>
      </c>
      <c r="C93" s="48" t="n">
        <f aca="false">$C$7*B93</f>
        <v>11.6666666666667</v>
      </c>
      <c r="D93" s="49" t="n">
        <f aca="false">0.5*c_rho*'P3 Energie'!E8*'P3 Energie'!E7*(C93-c_Vv)^2+'P3 Energie'!E13+'P3 Energie'!E15+'P3 Energie'!E6*$C$7</f>
        <v>18234.4775514852</v>
      </c>
      <c r="E93" s="50" t="n">
        <f aca="false">D93*C93</f>
        <v>212735.571433994</v>
      </c>
      <c r="F93" s="46" t="n">
        <v>84</v>
      </c>
      <c r="G93" s="47" t="n">
        <f aca="false">F93*$H$6</f>
        <v>1.5327448646399</v>
      </c>
      <c r="H93" s="48" t="n">
        <f aca="false">$H$7*G93</f>
        <v>11.6666666666667</v>
      </c>
      <c r="I93" s="49" t="n">
        <f aca="false">0.5*c_rho*'P3 Energie'!F8*'P3 Energie'!F7*(H93-c_Vv)^2+'P3 Energie'!F13+'P3 Energie'!F15+'P3 Energie'!F6*$H$7</f>
        <v>19085.5374596296</v>
      </c>
      <c r="J93" s="50" t="n">
        <f aca="false">I93*H93</f>
        <v>222664.603695679</v>
      </c>
    </row>
    <row r="94" customFormat="false" ht="15" hidden="false" customHeight="false" outlineLevel="0" collapsed="false">
      <c r="A94" s="46" t="n">
        <v>85</v>
      </c>
      <c r="B94" s="47" t="n">
        <f aca="false">A94*$C$6</f>
        <v>1.55548290577389</v>
      </c>
      <c r="C94" s="48" t="n">
        <f aca="false">$C$7*B94</f>
        <v>11.8055555555556</v>
      </c>
      <c r="D94" s="49" t="n">
        <f aca="false">0.5*c_rho*'P3 Energie'!E8*'P3 Energie'!E7*(C94-c_Vv)^2+'P3 Energie'!E13+'P3 Energie'!E15+'P3 Energie'!E6*$C$7</f>
        <v>18235.7797340799</v>
      </c>
      <c r="E94" s="50" t="n">
        <f aca="false">D94*C94</f>
        <v>215283.510749554</v>
      </c>
      <c r="F94" s="46" t="n">
        <v>85</v>
      </c>
      <c r="G94" s="47" t="n">
        <f aca="false">F94*$H$6</f>
        <v>1.55099182731419</v>
      </c>
      <c r="H94" s="48" t="n">
        <f aca="false">$H$7*G94</f>
        <v>11.8055555555556</v>
      </c>
      <c r="I94" s="49" t="n">
        <f aca="false">0.5*c_rho*'P3 Energie'!F8*'P3 Energie'!F7*(H94-c_Vv)^2+'P3 Energie'!F13+'P3 Energie'!F15+'P3 Energie'!F6*$H$7</f>
        <v>19086.6688246528</v>
      </c>
      <c r="J94" s="50" t="n">
        <f aca="false">I94*H94</f>
        <v>225328.729179929</v>
      </c>
    </row>
    <row r="95" customFormat="false" ht="15" hidden="false" customHeight="false" outlineLevel="0" collapsed="false">
      <c r="A95" s="46" t="n">
        <v>86</v>
      </c>
      <c r="B95" s="47" t="n">
        <f aca="false">A95*$C$6</f>
        <v>1.57378270466534</v>
      </c>
      <c r="C95" s="48" t="n">
        <f aca="false">$C$7*B95</f>
        <v>11.9444444444444</v>
      </c>
      <c r="D95" s="49" t="n">
        <f aca="false">0.5*c_rho*'P3 Energie'!E8*'P3 Energie'!E7*(C95-c_Vv)^2+'P3 Energie'!E13+'P3 Energie'!E15+'P3 Energie'!E6*$C$7</f>
        <v>18237.0973271195</v>
      </c>
      <c r="E95" s="50" t="n">
        <f aca="false">D95*C95</f>
        <v>217831.995851705</v>
      </c>
      <c r="F95" s="46" t="n">
        <v>86</v>
      </c>
      <c r="G95" s="47" t="n">
        <f aca="false">F95*$H$6</f>
        <v>1.56923878998847</v>
      </c>
      <c r="H95" s="48" t="n">
        <f aca="false">$H$7*G95</f>
        <v>11.9444444444444</v>
      </c>
      <c r="I95" s="49" t="n">
        <f aca="false">0.5*c_rho*'P3 Energie'!F8*'P3 Energie'!F7*(H95-c_Vv)^2+'P3 Energie'!F13+'P3 Energie'!F15+'P3 Energie'!F6*$H$7</f>
        <v>19087.8135786111</v>
      </c>
      <c r="J95" s="50" t="n">
        <f aca="false">I95*H95</f>
        <v>227993.328855633</v>
      </c>
    </row>
    <row r="96" customFormat="false" ht="15" hidden="false" customHeight="false" outlineLevel="0" collapsed="false">
      <c r="A96" s="46" t="n">
        <v>87</v>
      </c>
      <c r="B96" s="47" t="n">
        <f aca="false">A96*$C$6</f>
        <v>1.5920825035568</v>
      </c>
      <c r="C96" s="48" t="n">
        <f aca="false">$C$7*B96</f>
        <v>12.0833333333333</v>
      </c>
      <c r="D96" s="49" t="n">
        <f aca="false">0.5*c_rho*'P3 Energie'!E8*'P3 Energie'!E7*(C96-c_Vv)^2+'P3 Energie'!E13+'P3 Energie'!E15+'P3 Energie'!E6*$C$7</f>
        <v>18238.4303306039</v>
      </c>
      <c r="E96" s="50" t="n">
        <f aca="false">D96*C96</f>
        <v>220381.033161464</v>
      </c>
      <c r="F96" s="46" t="n">
        <v>87</v>
      </c>
      <c r="G96" s="47" t="n">
        <f aca="false">F96*$H$6</f>
        <v>1.58748575266275</v>
      </c>
      <c r="H96" s="48" t="n">
        <f aca="false">$H$7*G96</f>
        <v>12.0833333333333</v>
      </c>
      <c r="I96" s="49" t="n">
        <f aca="false">0.5*c_rho*'P3 Energie'!F8*'P3 Energie'!F7*(H96-c_Vv)^2+'P3 Energie'!F13+'P3 Energie'!F15+'P3 Energie'!F6*$H$7</f>
        <v>19088.9717215046</v>
      </c>
      <c r="J96" s="50" t="n">
        <f aca="false">I96*H96</f>
        <v>230658.408301514</v>
      </c>
    </row>
    <row r="97" customFormat="false" ht="15" hidden="false" customHeight="false" outlineLevel="0" collapsed="false">
      <c r="A97" s="46" t="n">
        <v>88</v>
      </c>
      <c r="B97" s="47" t="n">
        <f aca="false">A97*$C$6</f>
        <v>1.61038230244826</v>
      </c>
      <c r="C97" s="48" t="n">
        <f aca="false">$C$7*B97</f>
        <v>12.2222222222222</v>
      </c>
      <c r="D97" s="49" t="n">
        <f aca="false">0.5*c_rho*'P3 Energie'!E8*'P3 Energie'!E7*(C97-c_Vv)^2+'P3 Energie'!E13+'P3 Energie'!E15+'P3 Energie'!E6*$C$7</f>
        <v>18239.7787445333</v>
      </c>
      <c r="E97" s="50" t="n">
        <f aca="false">D97*C97</f>
        <v>222930.629099852</v>
      </c>
      <c r="F97" s="46" t="n">
        <v>88</v>
      </c>
      <c r="G97" s="47" t="n">
        <f aca="false">F97*$H$6</f>
        <v>1.60573271533704</v>
      </c>
      <c r="H97" s="48" t="n">
        <f aca="false">$H$7*G97</f>
        <v>12.2222222222222</v>
      </c>
      <c r="I97" s="49" t="n">
        <f aca="false">0.5*c_rho*'P3 Energie'!F8*'P3 Energie'!F7*(H97-c_Vv)^2+'P3 Energie'!F13+'P3 Energie'!F15+'P3 Energie'!F6*$H$7</f>
        <v>19090.1432533333</v>
      </c>
      <c r="J97" s="50" t="n">
        <f aca="false">I97*H97</f>
        <v>233323.973096296</v>
      </c>
    </row>
    <row r="98" customFormat="false" ht="15" hidden="false" customHeight="false" outlineLevel="0" collapsed="false">
      <c r="A98" s="46" t="n">
        <v>89</v>
      </c>
      <c r="B98" s="47" t="n">
        <f aca="false">A98*$C$6</f>
        <v>1.62868210133972</v>
      </c>
      <c r="C98" s="48" t="n">
        <f aca="false">$C$7*B98</f>
        <v>12.3611111111111</v>
      </c>
      <c r="D98" s="49" t="n">
        <f aca="false">0.5*c_rho*'P3 Energie'!E8*'P3 Energie'!E7*(C98-c_Vv)^2+'P3 Energie'!E13+'P3 Energie'!E15+'P3 Energie'!E6*$C$7</f>
        <v>18241.1425689076</v>
      </c>
      <c r="E98" s="50" t="n">
        <f aca="false">D98*C98</f>
        <v>225480.790087886</v>
      </c>
      <c r="F98" s="46" t="n">
        <v>89</v>
      </c>
      <c r="G98" s="47" t="n">
        <f aca="false">F98*$H$6</f>
        <v>1.62397967801132</v>
      </c>
      <c r="H98" s="48" t="n">
        <f aca="false">$H$7*G98</f>
        <v>12.3611111111111</v>
      </c>
      <c r="I98" s="49" t="n">
        <f aca="false">0.5*c_rho*'P3 Energie'!F8*'P3 Energie'!F7*(H98-c_Vv)^2+'P3 Energie'!F13+'P3 Energie'!F15+'P3 Energie'!F6*$H$7</f>
        <v>19091.3281740972</v>
      </c>
      <c r="J98" s="50" t="n">
        <f aca="false">I98*H98</f>
        <v>235990.028818702</v>
      </c>
    </row>
    <row r="99" customFormat="false" ht="15" hidden="false" customHeight="false" outlineLevel="0" collapsed="false">
      <c r="A99" s="46" t="n">
        <v>90</v>
      </c>
      <c r="B99" s="47" t="n">
        <f aca="false">A99*$C$6</f>
        <v>1.64698190023117</v>
      </c>
      <c r="C99" s="48" t="n">
        <f aca="false">$C$7*B99</f>
        <v>12.5</v>
      </c>
      <c r="D99" s="49" t="n">
        <f aca="false">0.5*c_rho*'P3 Energie'!E8*'P3 Energie'!E7*(C99-c_Vv)^2+'P3 Energie'!E13+'P3 Energie'!E15+'P3 Energie'!E6*$C$7</f>
        <v>18242.5218037269</v>
      </c>
      <c r="E99" s="50" t="n">
        <f aca="false">D99*C99</f>
        <v>228031.522546586</v>
      </c>
      <c r="F99" s="46" t="n">
        <v>90</v>
      </c>
      <c r="G99" s="47" t="n">
        <f aca="false">F99*$H$6</f>
        <v>1.64222664068561</v>
      </c>
      <c r="H99" s="48" t="n">
        <f aca="false">$H$7*G99</f>
        <v>12.5</v>
      </c>
      <c r="I99" s="49" t="n">
        <f aca="false">0.5*c_rho*'P3 Energie'!F8*'P3 Energie'!F7*(H99-c_Vv)^2+'P3 Energie'!F13+'P3 Energie'!F15+'P3 Energie'!F6*$H$7</f>
        <v>19092.5264837963</v>
      </c>
      <c r="J99" s="50" t="n">
        <f aca="false">I99*H99</f>
        <v>238656.581047454</v>
      </c>
    </row>
    <row r="100" customFormat="false" ht="15" hidden="false" customHeight="false" outlineLevel="0" collapsed="false">
      <c r="A100" s="46" t="n">
        <v>91</v>
      </c>
      <c r="B100" s="47" t="n">
        <f aca="false">A100*$C$6</f>
        <v>1.66528169912263</v>
      </c>
      <c r="C100" s="48" t="n">
        <f aca="false">$C$7*B100</f>
        <v>12.6388888888889</v>
      </c>
      <c r="D100" s="49" t="n">
        <f aca="false">0.5*c_rho*'P3 Energie'!E8*'P3 Energie'!E7*(C100-c_Vv)^2+'P3 Energie'!E13+'P3 Energie'!E15+'P3 Energie'!E6*$C$7</f>
        <v>18243.916448991</v>
      </c>
      <c r="E100" s="50" t="n">
        <f aca="false">D100*C100</f>
        <v>230582.832896969</v>
      </c>
      <c r="F100" s="46" t="n">
        <v>91</v>
      </c>
      <c r="G100" s="47" t="n">
        <f aca="false">F100*$H$6</f>
        <v>1.66047360335989</v>
      </c>
      <c r="H100" s="48" t="n">
        <f aca="false">$H$7*G100</f>
        <v>12.6388888888889</v>
      </c>
      <c r="I100" s="49" t="n">
        <f aca="false">0.5*c_rho*'P3 Energie'!F8*'P3 Energie'!F7*(H100-c_Vv)^2+'P3 Energie'!F13+'P3 Energie'!F15+'P3 Energie'!F6*$H$7</f>
        <v>19093.7381824306</v>
      </c>
      <c r="J100" s="50" t="n">
        <f aca="false">I100*H100</f>
        <v>241323.635361275</v>
      </c>
    </row>
    <row r="101" customFormat="false" ht="15" hidden="false" customHeight="false" outlineLevel="0" collapsed="false">
      <c r="A101" s="46" t="n">
        <v>92</v>
      </c>
      <c r="B101" s="47" t="n">
        <f aca="false">A101*$C$6</f>
        <v>1.68358149801409</v>
      </c>
      <c r="C101" s="48" t="n">
        <f aca="false">$C$7*B101</f>
        <v>12.7777777777778</v>
      </c>
      <c r="D101" s="49" t="n">
        <f aca="false">0.5*c_rho*'P3 Energie'!E8*'P3 Energie'!E7*(C101-c_Vv)^2+'P3 Energie'!E13+'P3 Energie'!E15+'P3 Energie'!E6*$C$7</f>
        <v>18245.3265047</v>
      </c>
      <c r="E101" s="50" t="n">
        <f aca="false">D101*C101</f>
        <v>233134.727560056</v>
      </c>
      <c r="F101" s="46" t="n">
        <v>92</v>
      </c>
      <c r="G101" s="47" t="n">
        <f aca="false">F101*$H$6</f>
        <v>1.67872056603418</v>
      </c>
      <c r="H101" s="48" t="n">
        <f aca="false">$H$7*G101</f>
        <v>12.7777777777778</v>
      </c>
      <c r="I101" s="49" t="n">
        <f aca="false">0.5*c_rho*'P3 Energie'!F8*'P3 Energie'!F7*(H101-c_Vv)^2+'P3 Energie'!F13+'P3 Energie'!F15+'P3 Energie'!F6*$H$7</f>
        <v>19094.96327</v>
      </c>
      <c r="J101" s="50" t="n">
        <f aca="false">I101*H101</f>
        <v>243991.197338889</v>
      </c>
    </row>
    <row r="102" customFormat="false" ht="15" hidden="false" customHeight="false" outlineLevel="0" collapsed="false">
      <c r="A102" s="46" t="n">
        <v>93</v>
      </c>
      <c r="B102" s="47" t="n">
        <f aca="false">A102*$C$6</f>
        <v>1.70188129690555</v>
      </c>
      <c r="C102" s="48" t="n">
        <f aca="false">$C$7*B102</f>
        <v>12.9166666666667</v>
      </c>
      <c r="D102" s="49" t="n">
        <f aca="false">0.5*c_rho*'P3 Energie'!E8*'P3 Energie'!E7*(C102-c_Vv)^2+'P3 Energie'!E13+'P3 Energie'!E15+'P3 Energie'!E6*$C$7</f>
        <v>18246.7519708539</v>
      </c>
      <c r="E102" s="50" t="n">
        <f aca="false">D102*C102</f>
        <v>235687.212956863</v>
      </c>
      <c r="F102" s="46" t="n">
        <v>93</v>
      </c>
      <c r="G102" s="47" t="n">
        <f aca="false">F102*$H$6</f>
        <v>1.69696752870846</v>
      </c>
      <c r="H102" s="48" t="n">
        <f aca="false">$H$7*G102</f>
        <v>12.9166666666667</v>
      </c>
      <c r="I102" s="49" t="n">
        <f aca="false">0.5*c_rho*'P3 Energie'!F8*'P3 Energie'!F7*(H102-c_Vv)^2+'P3 Energie'!F13+'P3 Energie'!F15+'P3 Energie'!F6*$H$7</f>
        <v>19096.2017465046</v>
      </c>
      <c r="J102" s="50" t="n">
        <f aca="false">I102*H102</f>
        <v>246659.272559018</v>
      </c>
    </row>
    <row r="103" customFormat="false" ht="15" hidden="false" customHeight="false" outlineLevel="0" collapsed="false">
      <c r="A103" s="46" t="n">
        <v>94</v>
      </c>
      <c r="B103" s="47" t="n">
        <f aca="false">A103*$C$6</f>
        <v>1.720181095797</v>
      </c>
      <c r="C103" s="48" t="n">
        <f aca="false">$C$7*B103</f>
        <v>13.0555555555556</v>
      </c>
      <c r="D103" s="49" t="n">
        <f aca="false">0.5*c_rho*'P3 Energie'!E8*'P3 Energie'!E7*(C103-c_Vv)^2+'P3 Energie'!E13+'P3 Energie'!E15+'P3 Energie'!E6*$C$7</f>
        <v>18248.1928474528</v>
      </c>
      <c r="E103" s="50" t="n">
        <f aca="false">D103*C103</f>
        <v>238240.295508411</v>
      </c>
      <c r="F103" s="46" t="n">
        <v>94</v>
      </c>
      <c r="G103" s="47" t="n">
        <f aca="false">F103*$H$6</f>
        <v>1.71521449138275</v>
      </c>
      <c r="H103" s="48" t="n">
        <f aca="false">$H$7*G103</f>
        <v>13.0555555555556</v>
      </c>
      <c r="I103" s="49" t="n">
        <f aca="false">0.5*c_rho*'P3 Energie'!F8*'P3 Energie'!F7*(H103-c_Vv)^2+'P3 Energie'!F13+'P3 Energie'!F15+'P3 Energie'!F6*$H$7</f>
        <v>19097.4536119444</v>
      </c>
      <c r="J103" s="50" t="n">
        <f aca="false">I103*H103</f>
        <v>249327.866600386</v>
      </c>
    </row>
    <row r="104" customFormat="false" ht="15" hidden="false" customHeight="false" outlineLevel="0" collapsed="false">
      <c r="A104" s="46" t="n">
        <v>95</v>
      </c>
      <c r="B104" s="47" t="n">
        <f aca="false">A104*$C$6</f>
        <v>1.73848089468846</v>
      </c>
      <c r="C104" s="48" t="n">
        <f aca="false">$C$7*B104</f>
        <v>13.1944444444444</v>
      </c>
      <c r="D104" s="49" t="n">
        <f aca="false">0.5*c_rho*'P3 Energie'!E8*'P3 Energie'!E7*(C104-c_Vv)^2+'P3 Energie'!E13+'P3 Energie'!E15+'P3 Energie'!E6*$C$7</f>
        <v>18249.6491344965</v>
      </c>
      <c r="E104" s="50" t="n">
        <f aca="false">D104*C104</f>
        <v>240793.981635718</v>
      </c>
      <c r="F104" s="46" t="n">
        <v>95</v>
      </c>
      <c r="G104" s="47" t="n">
        <f aca="false">F104*$H$6</f>
        <v>1.73346145405703</v>
      </c>
      <c r="H104" s="48" t="n">
        <f aca="false">$H$7*G104</f>
        <v>13.1944444444444</v>
      </c>
      <c r="I104" s="49" t="n">
        <f aca="false">0.5*c_rho*'P3 Energie'!F8*'P3 Energie'!F7*(H104-c_Vv)^2+'P3 Energie'!F13+'P3 Energie'!F15+'P3 Energie'!F6*$H$7</f>
        <v>19098.7188663194</v>
      </c>
      <c r="J104" s="50" t="n">
        <f aca="false">I104*H104</f>
        <v>251996.985041715</v>
      </c>
    </row>
    <row r="105" customFormat="false" ht="15" hidden="false" customHeight="false" outlineLevel="0" collapsed="false">
      <c r="A105" s="46" t="n">
        <v>96</v>
      </c>
      <c r="B105" s="47" t="n">
        <f aca="false">A105*$C$6</f>
        <v>1.75678069357992</v>
      </c>
      <c r="C105" s="48" t="n">
        <f aca="false">$C$7*B105</f>
        <v>13.3333333333333</v>
      </c>
      <c r="D105" s="49" t="n">
        <f aca="false">0.5*c_rho*'P3 Energie'!E8*'P3 Energie'!E7*(C105-c_Vv)^2+'P3 Energie'!E13+'P3 Energie'!E15+'P3 Energie'!E6*$C$7</f>
        <v>18251.1208319852</v>
      </c>
      <c r="E105" s="50" t="n">
        <f aca="false">D105*C105</f>
        <v>243348.277759803</v>
      </c>
      <c r="F105" s="46" t="n">
        <v>96</v>
      </c>
      <c r="G105" s="47" t="n">
        <f aca="false">F105*$H$6</f>
        <v>1.75170841673132</v>
      </c>
      <c r="H105" s="48" t="n">
        <f aca="false">$H$7*G105</f>
        <v>13.3333333333333</v>
      </c>
      <c r="I105" s="49" t="n">
        <f aca="false">0.5*c_rho*'P3 Energie'!F8*'P3 Energie'!F7*(H105-c_Vv)^2+'P3 Energie'!F13+'P3 Energie'!F15+'P3 Energie'!F6*$H$7</f>
        <v>19099.9975096296</v>
      </c>
      <c r="J105" s="50" t="n">
        <f aca="false">I105*H105</f>
        <v>254666.633461728</v>
      </c>
    </row>
    <row r="106" customFormat="false" ht="15" hidden="false" customHeight="false" outlineLevel="0" collapsed="false">
      <c r="A106" s="46" t="n">
        <v>97</v>
      </c>
      <c r="B106" s="47" t="n">
        <f aca="false">A106*$C$6</f>
        <v>1.77508049247138</v>
      </c>
      <c r="C106" s="48" t="n">
        <f aca="false">$C$7*B106</f>
        <v>13.4722222222222</v>
      </c>
      <c r="D106" s="49" t="n">
        <f aca="false">0.5*c_rho*'P3 Energie'!E8*'P3 Energie'!E7*(C106-c_Vv)^2+'P3 Energie'!E13+'P3 Energie'!E15+'P3 Energie'!E6*$C$7</f>
        <v>18252.6079399188</v>
      </c>
      <c r="E106" s="50" t="n">
        <f aca="false">D106*C106</f>
        <v>245903.190301683</v>
      </c>
      <c r="F106" s="46" t="n">
        <v>97</v>
      </c>
      <c r="G106" s="47" t="n">
        <f aca="false">F106*$H$6</f>
        <v>1.7699553794056</v>
      </c>
      <c r="H106" s="48" t="n">
        <f aca="false">$H$7*G106</f>
        <v>13.4722222222222</v>
      </c>
      <c r="I106" s="49" t="n">
        <f aca="false">0.5*c_rho*'P3 Energie'!F8*'P3 Energie'!F7*(H106-c_Vv)^2+'P3 Energie'!F13+'P3 Energie'!F15+'P3 Energie'!F6*$H$7</f>
        <v>19101.289541875</v>
      </c>
      <c r="J106" s="50" t="n">
        <f aca="false">I106*H106</f>
        <v>257336.817439149</v>
      </c>
    </row>
    <row r="107" customFormat="false" ht="15" hidden="false" customHeight="false" outlineLevel="0" collapsed="false">
      <c r="A107" s="46" t="n">
        <v>98</v>
      </c>
      <c r="B107" s="47" t="n">
        <f aca="false">A107*$C$6</f>
        <v>1.79338029136283</v>
      </c>
      <c r="C107" s="48" t="n">
        <f aca="false">$C$7*B107</f>
        <v>13.6111111111111</v>
      </c>
      <c r="D107" s="49" t="n">
        <f aca="false">0.5*c_rho*'P3 Energie'!E8*'P3 Energie'!E7*(C107-c_Vv)^2+'P3 Energie'!E13+'P3 Energie'!E15+'P3 Energie'!E6*$C$7</f>
        <v>18254.1104582972</v>
      </c>
      <c r="E107" s="50" t="n">
        <f aca="false">D107*C107</f>
        <v>248458.725682379</v>
      </c>
      <c r="F107" s="46" t="n">
        <v>98</v>
      </c>
      <c r="G107" s="47" t="n">
        <f aca="false">F107*$H$6</f>
        <v>1.78820234207988</v>
      </c>
      <c r="H107" s="48" t="n">
        <f aca="false">$H$7*G107</f>
        <v>13.6111111111111</v>
      </c>
      <c r="I107" s="49" t="n">
        <f aca="false">0.5*c_rho*'P3 Energie'!F8*'P3 Energie'!F7*(H107-c_Vv)^2+'P3 Energie'!F13+'P3 Energie'!F15+'P3 Energie'!F6*$H$7</f>
        <v>19102.5949630556</v>
      </c>
      <c r="J107" s="50" t="n">
        <f aca="false">I107*H107</f>
        <v>260007.542552701</v>
      </c>
    </row>
    <row r="108" customFormat="false" ht="15" hidden="false" customHeight="false" outlineLevel="0" collapsed="false">
      <c r="A108" s="46" t="n">
        <v>99</v>
      </c>
      <c r="B108" s="47" t="n">
        <f aca="false">A108*$C$6</f>
        <v>1.81168009025429</v>
      </c>
      <c r="C108" s="48" t="n">
        <f aca="false">$C$7*B108</f>
        <v>13.75</v>
      </c>
      <c r="D108" s="49" t="n">
        <f aca="false">0.5*c_rho*'P3 Energie'!E8*'P3 Energie'!E7*(C108-c_Vv)^2+'P3 Energie'!E13+'P3 Energie'!E15+'P3 Energie'!E6*$C$7</f>
        <v>18255.6283871206</v>
      </c>
      <c r="E108" s="50" t="n">
        <f aca="false">D108*C108</f>
        <v>251014.890322908</v>
      </c>
      <c r="F108" s="46" t="n">
        <v>99</v>
      </c>
      <c r="G108" s="47" t="n">
        <f aca="false">F108*$H$6</f>
        <v>1.80644930475417</v>
      </c>
      <c r="H108" s="48" t="n">
        <f aca="false">$H$7*G108</f>
        <v>13.75</v>
      </c>
      <c r="I108" s="49" t="n">
        <f aca="false">0.5*c_rho*'P3 Energie'!F8*'P3 Energie'!F7*(H108-c_Vv)^2+'P3 Energie'!F13+'P3 Energie'!F15+'P3 Energie'!F6*$H$7</f>
        <v>19103.9137731713</v>
      </c>
      <c r="J108" s="50" t="n">
        <f aca="false">I108*H108</f>
        <v>262678.814381105</v>
      </c>
    </row>
    <row r="109" customFormat="false" ht="15" hidden="false" customHeight="false" outlineLevel="0" collapsed="false">
      <c r="A109" s="46" t="n">
        <v>100</v>
      </c>
      <c r="B109" s="47" t="n">
        <f aca="false">A109*$C$6</f>
        <v>1.82997988914575</v>
      </c>
      <c r="C109" s="48" t="n">
        <f aca="false">$C$7*B109</f>
        <v>13.8888888888889</v>
      </c>
      <c r="D109" s="49" t="n">
        <f aca="false">0.5*c_rho*'P3 Energie'!E8*'P3 Energie'!E7*(C109-c_Vv)^2+'P3 Energie'!E13+'P3 Energie'!E15+'P3 Energie'!E6*$C$7</f>
        <v>18257.1617263889</v>
      </c>
      <c r="E109" s="50" t="n">
        <f aca="false">D109*C109</f>
        <v>253571.69064429</v>
      </c>
      <c r="F109" s="46" t="n">
        <v>100</v>
      </c>
      <c r="G109" s="47" t="n">
        <f aca="false">F109*$H$6</f>
        <v>1.82469626742845</v>
      </c>
      <c r="H109" s="48" t="n">
        <f aca="false">$H$7*G109</f>
        <v>13.8888888888889</v>
      </c>
      <c r="I109" s="49" t="n">
        <f aca="false">0.5*c_rho*'P3 Energie'!F8*'P3 Energie'!F7*(H109-c_Vv)^2+'P3 Energie'!F13+'P3 Energie'!F15+'P3 Energie'!F6*$H$7</f>
        <v>19105.2459722222</v>
      </c>
      <c r="J109" s="50" t="n">
        <f aca="false">I109*H109</f>
        <v>265350.638503086</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12"/>
    <col collapsed="false" customWidth="true" hidden="false" outlineLevel="0" max="5" min="5" style="0" width="13"/>
    <col collapsed="false" customWidth="true" hidden="false" outlineLevel="0" max="6" min="6" style="0" width="7"/>
    <col collapsed="false" customWidth="true" hidden="false" outlineLevel="0" max="9" min="7" style="0" width="12"/>
    <col collapsed="false" customWidth="true" hidden="false" outlineLevel="0" max="10" min="10" style="0" width="13"/>
  </cols>
  <sheetData>
    <row r="1" customFormat="false" ht="17.35" hidden="false" customHeight="false" outlineLevel="0" collapsed="false">
      <c r="A1" s="1" t="s">
        <v>395</v>
      </c>
    </row>
    <row r="2" customFormat="false" ht="15" hidden="false" customHeight="false" outlineLevel="0" collapsed="false">
      <c r="A2" s="2" t="s">
        <v>384</v>
      </c>
    </row>
    <row r="3" customFormat="false" ht="15" hidden="false" customHeight="false" outlineLevel="0" collapsed="false">
      <c r="A3" s="16" t="s">
        <v>50</v>
      </c>
      <c r="F3" s="16" t="s">
        <v>385</v>
      </c>
    </row>
    <row r="4" customFormat="false" ht="15" hidden="false" customHeight="false" outlineLevel="0" collapsed="false">
      <c r="B4" s="16" t="s">
        <v>386</v>
      </c>
      <c r="C4" s="43" t="n">
        <f aca="false">SUM(E10:E1009)/1000</f>
        <v>126645.088988701</v>
      </c>
      <c r="G4" s="16" t="s">
        <v>386</v>
      </c>
      <c r="H4" s="43" t="n">
        <f aca="false">SUM(J10:J1009)/1000</f>
        <v>132575.548011832</v>
      </c>
    </row>
    <row r="5" customFormat="false" ht="15" hidden="false" customHeight="false" outlineLevel="0" collapsed="false">
      <c r="B5" s="16" t="s">
        <v>387</v>
      </c>
      <c r="C5" s="43" t="n">
        <f aca="false">SUM(E9:E1009)*C6</f>
        <v>231757.965908396</v>
      </c>
      <c r="G5" s="16" t="s">
        <v>387</v>
      </c>
      <c r="H5" s="43" t="n">
        <f aca="false">SUM(J9:J1009)*H6</f>
        <v>241910.107609472</v>
      </c>
    </row>
    <row r="6" customFormat="false" ht="15" hidden="false" customHeight="false" outlineLevel="0" collapsed="false">
      <c r="B6" s="16" t="s">
        <v>388</v>
      </c>
      <c r="C6" s="44" t="n">
        <f aca="false">'P3 Energie'!E24/1000</f>
        <v>0.00182997988914575</v>
      </c>
      <c r="G6" s="16" t="s">
        <v>388</v>
      </c>
      <c r="H6" s="44" t="n">
        <f aca="false">'P3 Energie'!F24/1000</f>
        <v>0.00182469626742845</v>
      </c>
    </row>
    <row r="7" customFormat="false" ht="15" hidden="false" customHeight="false" outlineLevel="0" collapsed="false">
      <c r="B7" s="16" t="s">
        <v>389</v>
      </c>
      <c r="C7" s="44" t="n">
        <f aca="false">'P3 Energie'!E19</f>
        <v>7.58964017652257</v>
      </c>
      <c r="G7" s="16" t="s">
        <v>389</v>
      </c>
      <c r="H7" s="44" t="n">
        <f aca="false">'P3 Energie'!F19</f>
        <v>7.61161686841313</v>
      </c>
    </row>
    <row r="8" customFormat="false" ht="15" hidden="false" customHeight="false" outlineLevel="0" collapsed="false">
      <c r="A8" s="45" t="s">
        <v>390</v>
      </c>
      <c r="B8" s="45" t="s">
        <v>391</v>
      </c>
      <c r="C8" s="45" t="s">
        <v>392</v>
      </c>
      <c r="D8" s="45" t="s">
        <v>393</v>
      </c>
      <c r="E8" s="45" t="s">
        <v>394</v>
      </c>
      <c r="F8" s="45" t="s">
        <v>390</v>
      </c>
      <c r="G8" s="45" t="s">
        <v>391</v>
      </c>
      <c r="H8" s="45" t="s">
        <v>392</v>
      </c>
      <c r="I8" s="45" t="s">
        <v>393</v>
      </c>
      <c r="J8" s="45" t="s">
        <v>394</v>
      </c>
    </row>
    <row r="9" customFormat="false" ht="15" hidden="false" customHeight="false" outlineLevel="0" collapsed="false">
      <c r="A9" s="46" t="n">
        <v>0</v>
      </c>
      <c r="B9" s="47" t="n">
        <f aca="false">A9*$C$6</f>
        <v>0</v>
      </c>
      <c r="C9" s="48" t="n">
        <f aca="false">$C$7*B9</f>
        <v>0</v>
      </c>
      <c r="D9" s="49" t="n">
        <f aca="false">0.5*c_rho*'P3 Energie'!E8*'P3 Energie'!E7*(C9-c_Vv)^2+'P3 Energie'!E13+'P3 Energie'!E15+'P3 Energie'!E6*$C$7</f>
        <v>18180.1095018519</v>
      </c>
      <c r="E9" s="50" t="n">
        <f aca="false">D9*C9</f>
        <v>0</v>
      </c>
      <c r="F9" s="46" t="n">
        <v>0</v>
      </c>
      <c r="G9" s="47" t="n">
        <f aca="false">F9*$H$6</f>
        <v>0</v>
      </c>
      <c r="H9" s="48" t="n">
        <f aca="false">$H$7*G9</f>
        <v>0</v>
      </c>
      <c r="I9" s="49" t="n">
        <f aca="false">0.5*c_rho*'P3 Energie'!F8*'P3 Energie'!F7*(H9-c_Vv)^2+'P3 Energie'!F13+'P3 Energie'!F15+'P3 Energie'!F6*$H$7</f>
        <v>19038.3012962963</v>
      </c>
      <c r="J9" s="50" t="n">
        <f aca="false">I9*H9</f>
        <v>0</v>
      </c>
    </row>
    <row r="10" customFormat="false" ht="15" hidden="false" customHeight="false" outlineLevel="0" collapsed="false">
      <c r="A10" s="46" t="n">
        <v>1</v>
      </c>
      <c r="B10" s="47" t="n">
        <f aca="false">A10*$C$6</f>
        <v>0.00182997988914575</v>
      </c>
      <c r="C10" s="48" t="n">
        <f aca="false">$C$7*B10</f>
        <v>0.0138888888888889</v>
      </c>
      <c r="D10" s="49" t="n">
        <f aca="false">0.5*c_rho*'P3 Energie'!E8*'P3 Energie'!E7*(C10-c_Vv)^2+'P3 Energie'!E13+'P3 Energie'!E15+'P3 Energie'!E6*$C$7</f>
        <v>18180.1095789041</v>
      </c>
      <c r="E10" s="50" t="n">
        <f aca="false">D10*C10</f>
        <v>252.501521929223</v>
      </c>
      <c r="F10" s="46" t="n">
        <v>1</v>
      </c>
      <c r="G10" s="47" t="n">
        <f aca="false">F10*$H$6</f>
        <v>0.00182469626742845</v>
      </c>
      <c r="H10" s="48" t="n">
        <f aca="false">$H$7*G10</f>
        <v>0.0138888888888889</v>
      </c>
      <c r="I10" s="49" t="n">
        <f aca="false">0.5*c_rho*'P3 Energie'!F8*'P3 Energie'!F7*(H10-c_Vv)^2+'P3 Energie'!F13+'P3 Energie'!F15+'P3 Energie'!F6*$H$7</f>
        <v>19038.301363241</v>
      </c>
      <c r="J10" s="50" t="n">
        <f aca="false">I10*H10</f>
        <v>264.420852267236</v>
      </c>
    </row>
    <row r="11" customFormat="false" ht="15" hidden="false" customHeight="false" outlineLevel="0" collapsed="false">
      <c r="A11" s="46" t="n">
        <v>2</v>
      </c>
      <c r="B11" s="47" t="n">
        <f aca="false">A11*$C$6</f>
        <v>0.0036599597782915</v>
      </c>
      <c r="C11" s="48" t="n">
        <f aca="false">$C$7*B11</f>
        <v>0.0277777777777778</v>
      </c>
      <c r="D11" s="49" t="n">
        <f aca="false">0.5*c_rho*'P3 Energie'!E8*'P3 Energie'!E7*(C11-c_Vv)^2+'P3 Energie'!E13+'P3 Energie'!E15+'P3 Energie'!E6*$C$7</f>
        <v>18180.1098100608</v>
      </c>
      <c r="E11" s="50" t="n">
        <f aca="false">D11*C11</f>
        <v>505.003050279465</v>
      </c>
      <c r="F11" s="46" t="n">
        <v>2</v>
      </c>
      <c r="G11" s="47" t="n">
        <f aca="false">F11*$H$6</f>
        <v>0.00364939253485691</v>
      </c>
      <c r="H11" s="48" t="n">
        <f aca="false">$H$7*G11</f>
        <v>0.0277777777777778</v>
      </c>
      <c r="I11" s="49" t="n">
        <f aca="false">0.5*c_rho*'P3 Energie'!F8*'P3 Energie'!F7*(H11-c_Vv)^2+'P3 Energie'!F13+'P3 Energie'!F15+'P3 Energie'!F6*$H$7</f>
        <v>19038.301564075</v>
      </c>
      <c r="J11" s="50" t="n">
        <f aca="false">I11*H11</f>
        <v>528.841710113195</v>
      </c>
    </row>
    <row r="12" customFormat="false" ht="15" hidden="false" customHeight="false" outlineLevel="0" collapsed="false">
      <c r="A12" s="46" t="n">
        <v>3</v>
      </c>
      <c r="B12" s="47" t="n">
        <f aca="false">A12*$C$6</f>
        <v>0.00548993966743725</v>
      </c>
      <c r="C12" s="48" t="n">
        <f aca="false">$C$7*B12</f>
        <v>0.0416666666666667</v>
      </c>
      <c r="D12" s="49" t="n">
        <f aca="false">0.5*c_rho*'P3 Energie'!E8*'P3 Energie'!E7*(C12-c_Vv)^2+'P3 Energie'!E13+'P3 Energie'!E15+'P3 Energie'!E6*$C$7</f>
        <v>18180.1101953219</v>
      </c>
      <c r="E12" s="50" t="n">
        <f aca="false">D12*C12</f>
        <v>757.504591471745</v>
      </c>
      <c r="F12" s="46" t="n">
        <v>3</v>
      </c>
      <c r="G12" s="47" t="n">
        <f aca="false">F12*$H$6</f>
        <v>0.00547408880228536</v>
      </c>
      <c r="H12" s="48" t="n">
        <f aca="false">$H$7*G12</f>
        <v>0.0416666666666667</v>
      </c>
      <c r="I12" s="49" t="n">
        <f aca="false">0.5*c_rho*'P3 Energie'!F8*'P3 Energie'!F7*(H12-c_Vv)^2+'P3 Energie'!F13+'P3 Energie'!F15+'P3 Energie'!F6*$H$7</f>
        <v>19038.3018987984</v>
      </c>
      <c r="J12" s="50" t="n">
        <f aca="false">I12*H12</f>
        <v>793.262579116599</v>
      </c>
    </row>
    <row r="13" customFormat="false" ht="15" hidden="false" customHeight="false" outlineLevel="0" collapsed="false">
      <c r="A13" s="46" t="n">
        <v>4</v>
      </c>
      <c r="B13" s="47" t="n">
        <f aca="false">A13*$C$6</f>
        <v>0.007319919556583</v>
      </c>
      <c r="C13" s="48" t="n">
        <f aca="false">$C$7*B13</f>
        <v>0.0555555555555556</v>
      </c>
      <c r="D13" s="49" t="n">
        <f aca="false">0.5*c_rho*'P3 Energie'!E8*'P3 Energie'!E7*(C13-c_Vv)^2+'P3 Energie'!E13+'P3 Energie'!E15+'P3 Energie'!E6*$C$7</f>
        <v>18180.1107346875</v>
      </c>
      <c r="E13" s="50" t="n">
        <f aca="false">D13*C13</f>
        <v>1010.00615192708</v>
      </c>
      <c r="F13" s="46" t="n">
        <v>4</v>
      </c>
      <c r="G13" s="47" t="n">
        <f aca="false">F13*$H$6</f>
        <v>0.00729878506971381</v>
      </c>
      <c r="H13" s="48" t="n">
        <f aca="false">$H$7*G13</f>
        <v>0.0555555555555556</v>
      </c>
      <c r="I13" s="49" t="n">
        <f aca="false">0.5*c_rho*'P3 Energie'!F8*'P3 Energie'!F7*(H13-c_Vv)^2+'P3 Energie'!F13+'P3 Energie'!F15+'P3 Energie'!F6*$H$7</f>
        <v>19038.3023674111</v>
      </c>
      <c r="J13" s="50" t="n">
        <f aca="false">I13*H13</f>
        <v>1057.68346485617</v>
      </c>
    </row>
    <row r="14" customFormat="false" ht="15" hidden="false" customHeight="false" outlineLevel="0" collapsed="false">
      <c r="A14" s="46" t="n">
        <v>5</v>
      </c>
      <c r="B14" s="47" t="n">
        <f aca="false">A14*$C$6</f>
        <v>0.00914989944572875</v>
      </c>
      <c r="C14" s="48" t="n">
        <f aca="false">$C$7*B14</f>
        <v>0.0694444444444445</v>
      </c>
      <c r="D14" s="49" t="n">
        <f aca="false">0.5*c_rho*'P3 Energie'!E8*'P3 Energie'!E7*(C14-c_Vv)^2+'P3 Energie'!E13+'P3 Energie'!E15+'P3 Energie'!E6*$C$7</f>
        <v>18180.1114281575</v>
      </c>
      <c r="E14" s="50" t="n">
        <f aca="false">D14*C14</f>
        <v>1262.50773806649</v>
      </c>
      <c r="F14" s="46" t="n">
        <v>5</v>
      </c>
      <c r="G14" s="47" t="n">
        <f aca="false">F14*$H$6</f>
        <v>0.00912348133714227</v>
      </c>
      <c r="H14" s="48" t="n">
        <f aca="false">$H$7*G14</f>
        <v>0.0694444444444445</v>
      </c>
      <c r="I14" s="49" t="n">
        <f aca="false">0.5*c_rho*'P3 Energie'!F8*'P3 Energie'!F7*(H14-c_Vv)^2+'P3 Energie'!F13+'P3 Energie'!F15+'P3 Energie'!F6*$H$7</f>
        <v>19038.3029699132</v>
      </c>
      <c r="J14" s="50" t="n">
        <f aca="false">I14*H14</f>
        <v>1322.10437291064</v>
      </c>
    </row>
    <row r="15" customFormat="false" ht="15" hidden="false" customHeight="false" outlineLevel="0" collapsed="false">
      <c r="A15" s="46" t="n">
        <v>6</v>
      </c>
      <c r="B15" s="47" t="n">
        <f aca="false">A15*$C$6</f>
        <v>0.0109798793348745</v>
      </c>
      <c r="C15" s="48" t="n">
        <f aca="false">$C$7*B15</f>
        <v>0.0833333333333333</v>
      </c>
      <c r="D15" s="49" t="n">
        <f aca="false">0.5*c_rho*'P3 Energie'!E8*'P3 Energie'!E7*(C15-c_Vv)^2+'P3 Energie'!E13+'P3 Energie'!E15+'P3 Energie'!E6*$C$7</f>
        <v>18180.1122757319</v>
      </c>
      <c r="E15" s="50" t="n">
        <f aca="false">D15*C15</f>
        <v>1515.009356311</v>
      </c>
      <c r="F15" s="46" t="n">
        <v>6</v>
      </c>
      <c r="G15" s="47" t="n">
        <f aca="false">F15*$H$6</f>
        <v>0.0109481776045707</v>
      </c>
      <c r="H15" s="48" t="n">
        <f aca="false">$H$7*G15</f>
        <v>0.0833333333333333</v>
      </c>
      <c r="I15" s="49" t="n">
        <f aca="false">0.5*c_rho*'P3 Energie'!F8*'P3 Energie'!F7*(H15-c_Vv)^2+'P3 Energie'!F13+'P3 Energie'!F15+'P3 Energie'!F6*$H$7</f>
        <v>19038.3037063046</v>
      </c>
      <c r="J15" s="50" t="n">
        <f aca="false">I15*H15</f>
        <v>1586.52530885872</v>
      </c>
    </row>
    <row r="16" customFormat="false" ht="15" hidden="false" customHeight="false" outlineLevel="0" collapsed="false">
      <c r="A16" s="46" t="n">
        <v>7</v>
      </c>
      <c r="B16" s="47" t="n">
        <f aca="false">A16*$C$6</f>
        <v>0.0128098592240202</v>
      </c>
      <c r="C16" s="48" t="n">
        <f aca="false">$C$7*B16</f>
        <v>0.0972222222222222</v>
      </c>
      <c r="D16" s="49" t="n">
        <f aca="false">0.5*c_rho*'P3 Energie'!E8*'P3 Energie'!E7*(C16-c_Vv)^2+'P3 Energie'!E13+'P3 Energie'!E15+'P3 Energie'!E6*$C$7</f>
        <v>18180.1132774109</v>
      </c>
      <c r="E16" s="50" t="n">
        <f aca="false">D16*C16</f>
        <v>1767.51101308161</v>
      </c>
      <c r="F16" s="46" t="n">
        <v>7</v>
      </c>
      <c r="G16" s="47" t="n">
        <f aca="false">F16*$H$6</f>
        <v>0.0127728738719992</v>
      </c>
      <c r="H16" s="48" t="n">
        <f aca="false">$H$7*G16</f>
        <v>0.0972222222222222</v>
      </c>
      <c r="I16" s="49" t="n">
        <f aca="false">0.5*c_rho*'P3 Energie'!F8*'P3 Energie'!F7*(H16-c_Vv)^2+'P3 Energie'!F13+'P3 Energie'!F15+'P3 Energie'!F6*$H$7</f>
        <v>19038.3045765854</v>
      </c>
      <c r="J16" s="50" t="n">
        <f aca="false">I16*H16</f>
        <v>1850.94627827914</v>
      </c>
    </row>
    <row r="17" customFormat="false" ht="15" hidden="false" customHeight="false" outlineLevel="0" collapsed="false">
      <c r="A17" s="46" t="n">
        <v>8</v>
      </c>
      <c r="B17" s="47" t="n">
        <f aca="false">A17*$C$6</f>
        <v>0.014639839113166</v>
      </c>
      <c r="C17" s="48" t="n">
        <f aca="false">$C$7*B17</f>
        <v>0.111111111111111</v>
      </c>
      <c r="D17" s="49" t="n">
        <f aca="false">0.5*c_rho*'P3 Energie'!E8*'P3 Energie'!E7*(C17-c_Vv)^2+'P3 Energie'!E13+'P3 Energie'!E15+'P3 Energie'!E6*$C$7</f>
        <v>18180.1144331942</v>
      </c>
      <c r="E17" s="50" t="n">
        <f aca="false">D17*C17</f>
        <v>2020.01271479936</v>
      </c>
      <c r="F17" s="46" t="n">
        <v>8</v>
      </c>
      <c r="G17" s="47" t="n">
        <f aca="false">F17*$H$6</f>
        <v>0.0145975701394276</v>
      </c>
      <c r="H17" s="48" t="n">
        <f aca="false">$H$7*G17</f>
        <v>0.111111111111111</v>
      </c>
      <c r="I17" s="49" t="n">
        <f aca="false">0.5*c_rho*'P3 Energie'!F8*'P3 Energie'!F7*(H17-c_Vv)^2+'P3 Energie'!F13+'P3 Energie'!F15+'P3 Energie'!F6*$H$7</f>
        <v>19038.3055807556</v>
      </c>
      <c r="J17" s="50" t="n">
        <f aca="false">I17*H17</f>
        <v>2115.36728675062</v>
      </c>
    </row>
    <row r="18" customFormat="false" ht="15" hidden="false" customHeight="false" outlineLevel="0" collapsed="false">
      <c r="A18" s="46" t="n">
        <v>9</v>
      </c>
      <c r="B18" s="47" t="n">
        <f aca="false">A18*$C$6</f>
        <v>0.0164698190023117</v>
      </c>
      <c r="C18" s="48" t="n">
        <f aca="false">$C$7*B18</f>
        <v>0.125</v>
      </c>
      <c r="D18" s="49" t="n">
        <f aca="false">0.5*c_rho*'P3 Energie'!E8*'P3 Energie'!E7*(C18-c_Vv)^2+'P3 Energie'!E13+'P3 Energie'!E15+'P3 Energie'!E6*$C$7</f>
        <v>18180.115743082</v>
      </c>
      <c r="E18" s="50" t="n">
        <f aca="false">D18*C18</f>
        <v>2272.51446788526</v>
      </c>
      <c r="F18" s="46" t="n">
        <v>9</v>
      </c>
      <c r="G18" s="47" t="n">
        <f aca="false">F18*$H$6</f>
        <v>0.0164222664068561</v>
      </c>
      <c r="H18" s="48" t="n">
        <f aca="false">$H$7*G18</f>
        <v>0.125</v>
      </c>
      <c r="I18" s="49" t="n">
        <f aca="false">0.5*c_rho*'P3 Energie'!F8*'P3 Energie'!F7*(H18-c_Vv)^2+'P3 Energie'!F13+'P3 Energie'!F15+'P3 Energie'!F6*$H$7</f>
        <v>19038.306718815</v>
      </c>
      <c r="J18" s="50" t="n">
        <f aca="false">I18*H18</f>
        <v>2379.78833985188</v>
      </c>
    </row>
    <row r="19" customFormat="false" ht="15" hidden="false" customHeight="false" outlineLevel="0" collapsed="false">
      <c r="A19" s="46" t="n">
        <v>10</v>
      </c>
      <c r="B19" s="47" t="n">
        <f aca="false">A19*$C$6</f>
        <v>0.0182997988914575</v>
      </c>
      <c r="C19" s="48" t="n">
        <f aca="false">$C$7*B19</f>
        <v>0.138888888888889</v>
      </c>
      <c r="D19" s="49" t="n">
        <f aca="false">0.5*c_rho*'P3 Energie'!E8*'P3 Energie'!E7*(C19-c_Vv)^2+'P3 Energie'!E13+'P3 Energie'!E15+'P3 Energie'!E6*$C$7</f>
        <v>18180.1172070743</v>
      </c>
      <c r="E19" s="50" t="n">
        <f aca="false">D19*C19</f>
        <v>2525.01627876032</v>
      </c>
      <c r="F19" s="46" t="n">
        <v>10</v>
      </c>
      <c r="G19" s="47" t="n">
        <f aca="false">F19*$H$6</f>
        <v>0.0182469626742845</v>
      </c>
      <c r="H19" s="48" t="n">
        <f aca="false">$H$7*G19</f>
        <v>0.138888888888889</v>
      </c>
      <c r="I19" s="49" t="n">
        <f aca="false">0.5*c_rho*'P3 Energie'!F8*'P3 Energie'!F7*(H19-c_Vv)^2+'P3 Energie'!F13+'P3 Energie'!F15+'P3 Energie'!F6*$H$7</f>
        <v>19038.3079907639</v>
      </c>
      <c r="J19" s="50" t="n">
        <f aca="false">I19*H19</f>
        <v>2644.20944316165</v>
      </c>
    </row>
    <row r="20" customFormat="false" ht="15" hidden="false" customHeight="false" outlineLevel="0" collapsed="false">
      <c r="A20" s="46" t="n">
        <v>11</v>
      </c>
      <c r="B20" s="47" t="n">
        <f aca="false">A20*$C$6</f>
        <v>0.0201297787806032</v>
      </c>
      <c r="C20" s="48" t="n">
        <f aca="false">$C$7*B20</f>
        <v>0.152777777777778</v>
      </c>
      <c r="D20" s="49" t="n">
        <f aca="false">0.5*c_rho*'P3 Energie'!E8*'P3 Energie'!E7*(C20-c_Vv)^2+'P3 Energie'!E13+'P3 Energie'!E15+'P3 Energie'!E6*$C$7</f>
        <v>18180.118825171</v>
      </c>
      <c r="E20" s="50" t="n">
        <f aca="false">D20*C20</f>
        <v>2777.51815384557</v>
      </c>
      <c r="F20" s="46" t="n">
        <v>11</v>
      </c>
      <c r="G20" s="47" t="n">
        <f aca="false">F20*$H$6</f>
        <v>0.020071658941713</v>
      </c>
      <c r="H20" s="48" t="n">
        <f aca="false">$H$7*G20</f>
        <v>0.152777777777778</v>
      </c>
      <c r="I20" s="49" t="n">
        <f aca="false">0.5*c_rho*'P3 Energie'!F8*'P3 Energie'!F7*(H20-c_Vv)^2+'P3 Energie'!F13+'P3 Energie'!F15+'P3 Energie'!F6*$H$7</f>
        <v>19038.3093966021</v>
      </c>
      <c r="J20" s="50" t="n">
        <f aca="false">I20*H20</f>
        <v>2908.63060225865</v>
      </c>
    </row>
    <row r="21" customFormat="false" ht="15" hidden="false" customHeight="false" outlineLevel="0" collapsed="false">
      <c r="A21" s="46" t="n">
        <v>12</v>
      </c>
      <c r="B21" s="47" t="n">
        <f aca="false">A21*$C$6</f>
        <v>0.021959758669749</v>
      </c>
      <c r="C21" s="48" t="n">
        <f aca="false">$C$7*B21</f>
        <v>0.166666666666667</v>
      </c>
      <c r="D21" s="49" t="n">
        <f aca="false">0.5*c_rho*'P3 Energie'!E8*'P3 Energie'!E7*(C21-c_Vv)^2+'P3 Energie'!E13+'P3 Energie'!E15+'P3 Energie'!E6*$C$7</f>
        <v>18180.1205973722</v>
      </c>
      <c r="E21" s="50" t="n">
        <f aca="false">D21*C21</f>
        <v>3030.02009956203</v>
      </c>
      <c r="F21" s="46" t="n">
        <v>12</v>
      </c>
      <c r="G21" s="47" t="n">
        <f aca="false">F21*$H$6</f>
        <v>0.0218963552091414</v>
      </c>
      <c r="H21" s="48" t="n">
        <f aca="false">$H$7*G21</f>
        <v>0.166666666666667</v>
      </c>
      <c r="I21" s="49" t="n">
        <f aca="false">0.5*c_rho*'P3 Energie'!F8*'P3 Energie'!F7*(H21-c_Vv)^2+'P3 Energie'!F13+'P3 Energie'!F15+'P3 Energie'!F6*$H$7</f>
        <v>19038.3109363296</v>
      </c>
      <c r="J21" s="50" t="n">
        <f aca="false">I21*H21</f>
        <v>3173.05182272161</v>
      </c>
    </row>
    <row r="22" customFormat="false" ht="15" hidden="false" customHeight="false" outlineLevel="0" collapsed="false">
      <c r="A22" s="46" t="n">
        <v>13</v>
      </c>
      <c r="B22" s="47" t="n">
        <f aca="false">A22*$C$6</f>
        <v>0.0237897385588947</v>
      </c>
      <c r="C22" s="48" t="n">
        <f aca="false">$C$7*B22</f>
        <v>0.180555555555556</v>
      </c>
      <c r="D22" s="49" t="n">
        <f aca="false">0.5*c_rho*'P3 Energie'!E8*'P3 Energie'!E7*(C22-c_Vv)^2+'P3 Energie'!E13+'P3 Energie'!E15+'P3 Energie'!E6*$C$7</f>
        <v>18180.1225236778</v>
      </c>
      <c r="E22" s="50" t="n">
        <f aca="false">D22*C22</f>
        <v>3282.52212233072</v>
      </c>
      <c r="F22" s="46" t="n">
        <v>13</v>
      </c>
      <c r="G22" s="47" t="n">
        <f aca="false">F22*$H$6</f>
        <v>0.0237210514765699</v>
      </c>
      <c r="H22" s="48" t="n">
        <f aca="false">$H$7*G22</f>
        <v>0.180555555555556</v>
      </c>
      <c r="I22" s="49" t="n">
        <f aca="false">0.5*c_rho*'P3 Energie'!F8*'P3 Energie'!F7*(H22-c_Vv)^2+'P3 Energie'!F13+'P3 Energie'!F15+'P3 Energie'!F6*$H$7</f>
        <v>19038.3126099465</v>
      </c>
      <c r="J22" s="50" t="n">
        <f aca="false">I22*H22</f>
        <v>3437.47311012923</v>
      </c>
    </row>
    <row r="23" customFormat="false" ht="15" hidden="false" customHeight="false" outlineLevel="0" collapsed="false">
      <c r="A23" s="46" t="n">
        <v>14</v>
      </c>
      <c r="B23" s="47" t="n">
        <f aca="false">A23*$C$6</f>
        <v>0.0256197184480405</v>
      </c>
      <c r="C23" s="48" t="n">
        <f aca="false">$C$7*B23</f>
        <v>0.194444444444444</v>
      </c>
      <c r="D23" s="49" t="n">
        <f aca="false">0.5*c_rho*'P3 Energie'!E8*'P3 Energie'!E7*(C23-c_Vv)^2+'P3 Energie'!E13+'P3 Energie'!E15+'P3 Energie'!E6*$C$7</f>
        <v>18180.1246040879</v>
      </c>
      <c r="E23" s="50" t="n">
        <f aca="false">D23*C23</f>
        <v>3535.02422857264</v>
      </c>
      <c r="F23" s="46" t="n">
        <v>14</v>
      </c>
      <c r="G23" s="47" t="n">
        <f aca="false">F23*$H$6</f>
        <v>0.0255457477439984</v>
      </c>
      <c r="H23" s="48" t="n">
        <f aca="false">$H$7*G23</f>
        <v>0.194444444444444</v>
      </c>
      <c r="I23" s="49" t="n">
        <f aca="false">0.5*c_rho*'P3 Energie'!F8*'P3 Energie'!F7*(H23-c_Vv)^2+'P3 Energie'!F13+'P3 Energie'!F15+'P3 Energie'!F6*$H$7</f>
        <v>19038.3144174528</v>
      </c>
      <c r="J23" s="50" t="n">
        <f aca="false">I23*H23</f>
        <v>3701.89447006026</v>
      </c>
    </row>
    <row r="24" customFormat="false" ht="15" hidden="false" customHeight="false" outlineLevel="0" collapsed="false">
      <c r="A24" s="46" t="n">
        <v>15</v>
      </c>
      <c r="B24" s="47" t="n">
        <f aca="false">A24*$C$6</f>
        <v>0.0274496983371862</v>
      </c>
      <c r="C24" s="48" t="n">
        <f aca="false">$C$7*B24</f>
        <v>0.208333333333333</v>
      </c>
      <c r="D24" s="49" t="n">
        <f aca="false">0.5*c_rho*'P3 Energie'!E8*'P3 Energie'!E7*(C24-c_Vv)^2+'P3 Energie'!E13+'P3 Energie'!E15+'P3 Energie'!E6*$C$7</f>
        <v>18180.1268386024</v>
      </c>
      <c r="E24" s="50" t="n">
        <f aca="false">D24*C24</f>
        <v>3787.52642470883</v>
      </c>
      <c r="F24" s="46" t="n">
        <v>15</v>
      </c>
      <c r="G24" s="47" t="n">
        <f aca="false">F24*$H$6</f>
        <v>0.0273704440114268</v>
      </c>
      <c r="H24" s="48" t="n">
        <f aca="false">$H$7*G24</f>
        <v>0.208333333333333</v>
      </c>
      <c r="I24" s="49" t="n">
        <f aca="false">0.5*c_rho*'P3 Energie'!F8*'P3 Energie'!F7*(H24-c_Vv)^2+'P3 Energie'!F13+'P3 Energie'!F15+'P3 Energie'!F6*$H$7</f>
        <v>19038.3163588484</v>
      </c>
      <c r="J24" s="50" t="n">
        <f aca="false">I24*H24</f>
        <v>3966.31590809341</v>
      </c>
    </row>
    <row r="25" customFormat="false" ht="15" hidden="false" customHeight="false" outlineLevel="0" collapsed="false">
      <c r="A25" s="46" t="n">
        <v>16</v>
      </c>
      <c r="B25" s="47" t="n">
        <f aca="false">A25*$C$6</f>
        <v>0.029279678226332</v>
      </c>
      <c r="C25" s="48" t="n">
        <f aca="false">$C$7*B25</f>
        <v>0.222222222222222</v>
      </c>
      <c r="D25" s="49" t="n">
        <f aca="false">0.5*c_rho*'P3 Energie'!E8*'P3 Energie'!E7*(C25-c_Vv)^2+'P3 Energie'!E13+'P3 Energie'!E15+'P3 Energie'!E6*$C$7</f>
        <v>18180.1292272213</v>
      </c>
      <c r="E25" s="50" t="n">
        <f aca="false">D25*C25</f>
        <v>4040.0287171603</v>
      </c>
      <c r="F25" s="46" t="n">
        <v>16</v>
      </c>
      <c r="G25" s="47" t="n">
        <f aca="false">F25*$H$6</f>
        <v>0.0291951402788553</v>
      </c>
      <c r="H25" s="48" t="n">
        <f aca="false">$H$7*G25</f>
        <v>0.222222222222222</v>
      </c>
      <c r="I25" s="49" t="n">
        <f aca="false">0.5*c_rho*'P3 Energie'!F8*'P3 Energie'!F7*(H25-c_Vv)^2+'P3 Energie'!F13+'P3 Energie'!F15+'P3 Energie'!F6*$H$7</f>
        <v>19038.3184341333</v>
      </c>
      <c r="J25" s="50" t="n">
        <f aca="false">I25*H25</f>
        <v>4230.73742980741</v>
      </c>
    </row>
    <row r="26" customFormat="false" ht="15" hidden="false" customHeight="false" outlineLevel="0" collapsed="false">
      <c r="A26" s="46" t="n">
        <v>17</v>
      </c>
      <c r="B26" s="47" t="n">
        <f aca="false">A26*$C$6</f>
        <v>0.0311096581154777</v>
      </c>
      <c r="C26" s="48" t="n">
        <f aca="false">$C$7*B26</f>
        <v>0.236111111111111</v>
      </c>
      <c r="D26" s="49" t="n">
        <f aca="false">0.5*c_rho*'P3 Energie'!E8*'P3 Energie'!E7*(C26-c_Vv)^2+'P3 Energie'!E13+'P3 Energie'!E15+'P3 Energie'!E6*$C$7</f>
        <v>18180.1317699448</v>
      </c>
      <c r="E26" s="50" t="n">
        <f aca="false">D26*C26</f>
        <v>4292.53111234807</v>
      </c>
      <c r="F26" s="46" t="n">
        <v>17</v>
      </c>
      <c r="G26" s="47" t="n">
        <f aca="false">F26*$H$6</f>
        <v>0.0310198365462837</v>
      </c>
      <c r="H26" s="48" t="n">
        <f aca="false">$H$7*G26</f>
        <v>0.236111111111111</v>
      </c>
      <c r="I26" s="49" t="n">
        <f aca="false">0.5*c_rho*'P3 Energie'!F8*'P3 Energie'!F7*(H26-c_Vv)^2+'P3 Energie'!F13+'P3 Energie'!F15+'P3 Energie'!F6*$H$7</f>
        <v>19038.3206433076</v>
      </c>
      <c r="J26" s="50" t="n">
        <f aca="false">I26*H26</f>
        <v>4495.15904078097</v>
      </c>
    </row>
    <row r="27" customFormat="false" ht="15" hidden="false" customHeight="false" outlineLevel="0" collapsed="false">
      <c r="A27" s="46" t="n">
        <v>18</v>
      </c>
      <c r="B27" s="47" t="n">
        <f aca="false">A27*$C$6</f>
        <v>0.0329396380046235</v>
      </c>
      <c r="C27" s="48" t="n">
        <f aca="false">$C$7*B27</f>
        <v>0.25</v>
      </c>
      <c r="D27" s="49" t="n">
        <f aca="false">0.5*c_rho*'P3 Energie'!E8*'P3 Energie'!E7*(C27-c_Vv)^2+'P3 Energie'!E13+'P3 Energie'!E15+'P3 Energie'!E6*$C$7</f>
        <v>18180.1344667726</v>
      </c>
      <c r="E27" s="50" t="n">
        <f aca="false">D27*C27</f>
        <v>4545.03361669315</v>
      </c>
      <c r="F27" s="46" t="n">
        <v>18</v>
      </c>
      <c r="G27" s="47" t="n">
        <f aca="false">F27*$H$6</f>
        <v>0.0328445328137122</v>
      </c>
      <c r="H27" s="48" t="n">
        <f aca="false">$H$7*G27</f>
        <v>0.25</v>
      </c>
      <c r="I27" s="49" t="n">
        <f aca="false">0.5*c_rho*'P3 Energie'!F8*'P3 Energie'!F7*(H27-c_Vv)^2+'P3 Energie'!F13+'P3 Energie'!F15+'P3 Energie'!F6*$H$7</f>
        <v>19038.3229863713</v>
      </c>
      <c r="J27" s="50" t="n">
        <f aca="false">I27*H27</f>
        <v>4759.58074659283</v>
      </c>
    </row>
    <row r="28" customFormat="false" ht="15" hidden="false" customHeight="false" outlineLevel="0" collapsed="false">
      <c r="A28" s="46" t="n">
        <v>19</v>
      </c>
      <c r="B28" s="47" t="n">
        <f aca="false">A28*$C$6</f>
        <v>0.0347696178937692</v>
      </c>
      <c r="C28" s="48" t="n">
        <f aca="false">$C$7*B28</f>
        <v>0.263888888888889</v>
      </c>
      <c r="D28" s="49" t="n">
        <f aca="false">0.5*c_rho*'P3 Energie'!E8*'P3 Energie'!E7*(C28-c_Vv)^2+'P3 Energie'!E13+'P3 Energie'!E15+'P3 Energie'!E6*$C$7</f>
        <v>18180.1373177049</v>
      </c>
      <c r="E28" s="50" t="n">
        <f aca="false">D28*C28</f>
        <v>4797.53623661658</v>
      </c>
      <c r="F28" s="46" t="n">
        <v>19</v>
      </c>
      <c r="G28" s="47" t="n">
        <f aca="false">F28*$H$6</f>
        <v>0.0346692290811406</v>
      </c>
      <c r="H28" s="48" t="n">
        <f aca="false">$H$7*G28</f>
        <v>0.263888888888889</v>
      </c>
      <c r="I28" s="49" t="n">
        <f aca="false">0.5*c_rho*'P3 Energie'!F8*'P3 Energie'!F7*(H28-c_Vv)^2+'P3 Energie'!F13+'P3 Energie'!F15+'P3 Energie'!F6*$H$7</f>
        <v>19038.3254633243</v>
      </c>
      <c r="J28" s="50" t="n">
        <f aca="false">I28*H28</f>
        <v>5024.00255282169</v>
      </c>
    </row>
    <row r="29" customFormat="false" ht="15" hidden="false" customHeight="false" outlineLevel="0" collapsed="false">
      <c r="A29" s="46" t="n">
        <v>20</v>
      </c>
      <c r="B29" s="47" t="n">
        <f aca="false">A29*$C$6</f>
        <v>0.036599597782915</v>
      </c>
      <c r="C29" s="48" t="n">
        <f aca="false">$C$7*B29</f>
        <v>0.277777777777778</v>
      </c>
      <c r="D29" s="49" t="n">
        <f aca="false">0.5*c_rho*'P3 Energie'!E8*'P3 Energie'!E7*(C29-c_Vv)^2+'P3 Energie'!E13+'P3 Energie'!E15+'P3 Energie'!E6*$C$7</f>
        <v>18180.1403227417</v>
      </c>
      <c r="E29" s="50" t="n">
        <f aca="false">D29*C29</f>
        <v>5050.03897853935</v>
      </c>
      <c r="F29" s="46" t="n">
        <v>20</v>
      </c>
      <c r="G29" s="47" t="n">
        <f aca="false">F29*$H$6</f>
        <v>0.0364939253485691</v>
      </c>
      <c r="H29" s="48" t="n">
        <f aca="false">$H$7*G29</f>
        <v>0.277777777777778</v>
      </c>
      <c r="I29" s="49" t="n">
        <f aca="false">0.5*c_rho*'P3 Energie'!F8*'P3 Energie'!F7*(H29-c_Vv)^2+'P3 Energie'!F13+'P3 Energie'!F15+'P3 Energie'!F6*$H$7</f>
        <v>19038.3280741667</v>
      </c>
      <c r="J29" s="50" t="n">
        <f aca="false">I29*H29</f>
        <v>5288.4244650463</v>
      </c>
    </row>
    <row r="30" customFormat="false" ht="15" hidden="false" customHeight="false" outlineLevel="0" collapsed="false">
      <c r="A30" s="46" t="n">
        <v>21</v>
      </c>
      <c r="B30" s="47" t="n">
        <f aca="false">A30*$C$6</f>
        <v>0.0384295776720607</v>
      </c>
      <c r="C30" s="48" t="n">
        <f aca="false">$C$7*B30</f>
        <v>0.291666666666667</v>
      </c>
      <c r="D30" s="49" t="n">
        <f aca="false">0.5*c_rho*'P3 Energie'!E8*'P3 Energie'!E7*(C30-c_Vv)^2+'P3 Energie'!E13+'P3 Energie'!E15+'P3 Energie'!E6*$C$7</f>
        <v>18180.1434818829</v>
      </c>
      <c r="E30" s="50" t="n">
        <f aca="false">D30*C30</f>
        <v>5302.54184888251</v>
      </c>
      <c r="F30" s="46" t="n">
        <v>21</v>
      </c>
      <c r="G30" s="47" t="n">
        <f aca="false">F30*$H$6</f>
        <v>0.0383186216159975</v>
      </c>
      <c r="H30" s="48" t="n">
        <f aca="false">$H$7*G30</f>
        <v>0.291666666666667</v>
      </c>
      <c r="I30" s="49" t="n">
        <f aca="false">0.5*c_rho*'P3 Energie'!F8*'P3 Energie'!F7*(H30-c_Vv)^2+'P3 Energie'!F13+'P3 Energie'!F15+'P3 Energie'!F6*$H$7</f>
        <v>19038.3308188984</v>
      </c>
      <c r="J30" s="50" t="n">
        <f aca="false">I30*H30</f>
        <v>5552.84648884536</v>
      </c>
    </row>
    <row r="31" customFormat="false" ht="15" hidden="false" customHeight="false" outlineLevel="0" collapsed="false">
      <c r="A31" s="46" t="n">
        <v>22</v>
      </c>
      <c r="B31" s="47" t="n">
        <f aca="false">A31*$C$6</f>
        <v>0.0402595575612065</v>
      </c>
      <c r="C31" s="48" t="n">
        <f aca="false">$C$7*B31</f>
        <v>0.305555555555556</v>
      </c>
      <c r="D31" s="49" t="n">
        <f aca="false">0.5*c_rho*'P3 Energie'!E8*'P3 Energie'!E7*(C31-c_Vv)^2+'P3 Energie'!E13+'P3 Energie'!E15+'P3 Energie'!E6*$C$7</f>
        <v>18180.1467951285</v>
      </c>
      <c r="E31" s="50" t="n">
        <f aca="false">D31*C31</f>
        <v>5555.04485406705</v>
      </c>
      <c r="F31" s="46" t="n">
        <v>22</v>
      </c>
      <c r="G31" s="47" t="n">
        <f aca="false">F31*$H$6</f>
        <v>0.040143317883426</v>
      </c>
      <c r="H31" s="48" t="n">
        <f aca="false">$H$7*G31</f>
        <v>0.305555555555556</v>
      </c>
      <c r="I31" s="49" t="n">
        <f aca="false">0.5*c_rho*'P3 Energie'!F8*'P3 Energie'!F7*(H31-c_Vv)^2+'P3 Energie'!F13+'P3 Energie'!F15+'P3 Energie'!F6*$H$7</f>
        <v>19038.3336975194</v>
      </c>
      <c r="J31" s="50" t="n">
        <f aca="false">I31*H31</f>
        <v>5817.26862979761</v>
      </c>
    </row>
    <row r="32" customFormat="false" ht="15" hidden="false" customHeight="false" outlineLevel="0" collapsed="false">
      <c r="A32" s="46" t="n">
        <v>23</v>
      </c>
      <c r="B32" s="47" t="n">
        <f aca="false">A32*$C$6</f>
        <v>0.0420895374503522</v>
      </c>
      <c r="C32" s="48" t="n">
        <f aca="false">$C$7*B32</f>
        <v>0.319444444444445</v>
      </c>
      <c r="D32" s="49" t="n">
        <f aca="false">0.5*c_rho*'P3 Energie'!E8*'P3 Energie'!E7*(C32-c_Vv)^2+'P3 Energie'!E13+'P3 Energie'!E15+'P3 Energie'!E6*$C$7</f>
        <v>18180.1502624786</v>
      </c>
      <c r="E32" s="50" t="n">
        <f aca="false">D32*C32</f>
        <v>5807.54800051401</v>
      </c>
      <c r="F32" s="46" t="n">
        <v>23</v>
      </c>
      <c r="G32" s="47" t="n">
        <f aca="false">F32*$H$6</f>
        <v>0.0419680141508544</v>
      </c>
      <c r="H32" s="48" t="n">
        <f aca="false">$H$7*G32</f>
        <v>0.319444444444445</v>
      </c>
      <c r="I32" s="49" t="n">
        <f aca="false">0.5*c_rho*'P3 Energie'!F8*'P3 Energie'!F7*(H32-c_Vv)^2+'P3 Energie'!F13+'P3 Energie'!F15+'P3 Energie'!F6*$H$7</f>
        <v>19038.3367100299</v>
      </c>
      <c r="J32" s="50" t="n">
        <f aca="false">I32*H32</f>
        <v>6081.69089348176</v>
      </c>
    </row>
    <row r="33" customFormat="false" ht="15" hidden="false" customHeight="false" outlineLevel="0" collapsed="false">
      <c r="A33" s="46" t="n">
        <v>24</v>
      </c>
      <c r="B33" s="47" t="n">
        <f aca="false">A33*$C$6</f>
        <v>0.043919517339498</v>
      </c>
      <c r="C33" s="48" t="n">
        <f aca="false">$C$7*B33</f>
        <v>0.333333333333333</v>
      </c>
      <c r="D33" s="49" t="n">
        <f aca="false">0.5*c_rho*'P3 Energie'!E8*'P3 Energie'!E7*(C33-c_Vv)^2+'P3 Energie'!E13+'P3 Energie'!E15+'P3 Energie'!E6*$C$7</f>
        <v>18180.1538839332</v>
      </c>
      <c r="E33" s="50" t="n">
        <f aca="false">D33*C33</f>
        <v>6060.0512946444</v>
      </c>
      <c r="F33" s="46" t="n">
        <v>24</v>
      </c>
      <c r="G33" s="47" t="n">
        <f aca="false">F33*$H$6</f>
        <v>0.0437927104182829</v>
      </c>
      <c r="H33" s="48" t="n">
        <f aca="false">$H$7*G33</f>
        <v>0.333333333333333</v>
      </c>
      <c r="I33" s="49" t="n">
        <f aca="false">0.5*c_rho*'P3 Energie'!F8*'P3 Energie'!F7*(H33-c_Vv)^2+'P3 Energie'!F13+'P3 Energie'!F15+'P3 Energie'!F6*$H$7</f>
        <v>19038.3398564296</v>
      </c>
      <c r="J33" s="50" t="n">
        <f aca="false">I33*H33</f>
        <v>6346.11328547654</v>
      </c>
    </row>
    <row r="34" customFormat="false" ht="15" hidden="false" customHeight="false" outlineLevel="0" collapsed="false">
      <c r="A34" s="46" t="n">
        <v>25</v>
      </c>
      <c r="B34" s="47" t="n">
        <f aca="false">A34*$C$6</f>
        <v>0.0457494972286437</v>
      </c>
      <c r="C34" s="48" t="n">
        <f aca="false">$C$7*B34</f>
        <v>0.347222222222222</v>
      </c>
      <c r="D34" s="49" t="n">
        <f aca="false">0.5*c_rho*'P3 Energie'!E8*'P3 Energie'!E7*(C34-c_Vv)^2+'P3 Energie'!E13+'P3 Energie'!E15+'P3 Energie'!E6*$C$7</f>
        <v>18180.1576594922</v>
      </c>
      <c r="E34" s="50" t="n">
        <f aca="false">D34*C34</f>
        <v>6312.55474287923</v>
      </c>
      <c r="F34" s="46" t="n">
        <v>25</v>
      </c>
      <c r="G34" s="47" t="n">
        <f aca="false">F34*$H$6</f>
        <v>0.0456174066857113</v>
      </c>
      <c r="H34" s="48" t="n">
        <f aca="false">$H$7*G34</f>
        <v>0.347222222222222</v>
      </c>
      <c r="I34" s="49" t="n">
        <f aca="false">0.5*c_rho*'P3 Energie'!F8*'P3 Energie'!F7*(H34-c_Vv)^2+'P3 Energie'!F13+'P3 Energie'!F15+'P3 Energie'!F6*$H$7</f>
        <v>19038.3431367188</v>
      </c>
      <c r="J34" s="50" t="n">
        <f aca="false">I34*H34</f>
        <v>6610.53581136068</v>
      </c>
    </row>
    <row r="35" customFormat="false" ht="15" hidden="false" customHeight="false" outlineLevel="0" collapsed="false">
      <c r="A35" s="46" t="n">
        <v>26</v>
      </c>
      <c r="B35" s="47" t="n">
        <f aca="false">A35*$C$6</f>
        <v>0.0475794771177895</v>
      </c>
      <c r="C35" s="48" t="n">
        <f aca="false">$C$7*B35</f>
        <v>0.361111111111111</v>
      </c>
      <c r="D35" s="49" t="n">
        <f aca="false">0.5*c_rho*'P3 Energie'!E8*'P3 Energie'!E7*(C35-c_Vv)^2+'P3 Energie'!E13+'P3 Energie'!E15+'P3 Energie'!E6*$C$7</f>
        <v>18180.1615891556</v>
      </c>
      <c r="E35" s="50" t="n">
        <f aca="false">D35*C35</f>
        <v>6565.05835163954</v>
      </c>
      <c r="F35" s="46" t="n">
        <v>26</v>
      </c>
      <c r="G35" s="47" t="n">
        <f aca="false">F35*$H$6</f>
        <v>0.0474421029531398</v>
      </c>
      <c r="H35" s="48" t="n">
        <f aca="false">$H$7*G35</f>
        <v>0.361111111111111</v>
      </c>
      <c r="I35" s="49" t="n">
        <f aca="false">0.5*c_rho*'P3 Energie'!F8*'P3 Energie'!F7*(H35-c_Vv)^2+'P3 Energie'!F13+'P3 Energie'!F15+'P3 Energie'!F6*$H$7</f>
        <v>19038.3465508972</v>
      </c>
      <c r="J35" s="50" t="n">
        <f aca="false">I35*H35</f>
        <v>6874.95847671289</v>
      </c>
    </row>
    <row r="36" customFormat="false" ht="15" hidden="false" customHeight="false" outlineLevel="0" collapsed="false">
      <c r="A36" s="46" t="n">
        <v>27</v>
      </c>
      <c r="B36" s="47" t="n">
        <f aca="false">A36*$C$6</f>
        <v>0.0494094570069352</v>
      </c>
      <c r="C36" s="48" t="n">
        <f aca="false">$C$7*B36</f>
        <v>0.375</v>
      </c>
      <c r="D36" s="49" t="n">
        <f aca="false">0.5*c_rho*'P3 Energie'!E8*'P3 Energie'!E7*(C36-c_Vv)^2+'P3 Energie'!E13+'P3 Energie'!E15+'P3 Energie'!E6*$C$7</f>
        <v>18180.1656729235</v>
      </c>
      <c r="E36" s="50" t="n">
        <f aca="false">D36*C36</f>
        <v>6817.56212734633</v>
      </c>
      <c r="F36" s="46" t="n">
        <v>27</v>
      </c>
      <c r="G36" s="47" t="n">
        <f aca="false">F36*$H$6</f>
        <v>0.0492667992205682</v>
      </c>
      <c r="H36" s="48" t="n">
        <f aca="false">$H$7*G36</f>
        <v>0.375</v>
      </c>
      <c r="I36" s="49" t="n">
        <f aca="false">0.5*c_rho*'P3 Energie'!F8*'P3 Energie'!F7*(H36-c_Vv)^2+'P3 Energie'!F13+'P3 Energie'!F15+'P3 Energie'!F6*$H$7</f>
        <v>19038.350098965</v>
      </c>
      <c r="J36" s="50" t="n">
        <f aca="false">I36*H36</f>
        <v>7139.38128711189</v>
      </c>
    </row>
    <row r="37" customFormat="false" ht="15" hidden="false" customHeight="false" outlineLevel="0" collapsed="false">
      <c r="A37" s="46" t="n">
        <v>28</v>
      </c>
      <c r="B37" s="47" t="n">
        <f aca="false">A37*$C$6</f>
        <v>0.051239436896081</v>
      </c>
      <c r="C37" s="48" t="n">
        <f aca="false">$C$7*B37</f>
        <v>0.388888888888889</v>
      </c>
      <c r="D37" s="49" t="n">
        <f aca="false">0.5*c_rho*'P3 Energie'!E8*'P3 Energie'!E7*(C37-c_Vv)^2+'P3 Energie'!E13+'P3 Energie'!E15+'P3 Energie'!E6*$C$7</f>
        <v>18180.1699107959</v>
      </c>
      <c r="E37" s="50" t="n">
        <f aca="false">D37*C37</f>
        <v>7070.06607642063</v>
      </c>
      <c r="F37" s="46" t="n">
        <v>28</v>
      </c>
      <c r="G37" s="47" t="n">
        <f aca="false">F37*$H$6</f>
        <v>0.0510914954879967</v>
      </c>
      <c r="H37" s="48" t="n">
        <f aca="false">$H$7*G37</f>
        <v>0.388888888888889</v>
      </c>
      <c r="I37" s="49" t="n">
        <f aca="false">0.5*c_rho*'P3 Energie'!F8*'P3 Energie'!F7*(H37-c_Vv)^2+'P3 Energie'!F13+'P3 Energie'!F15+'P3 Energie'!F6*$H$7</f>
        <v>19038.3537809222</v>
      </c>
      <c r="J37" s="50" t="n">
        <f aca="false">I37*H37</f>
        <v>7403.80424813642</v>
      </c>
    </row>
    <row r="38" customFormat="false" ht="15" hidden="false" customHeight="false" outlineLevel="0" collapsed="false">
      <c r="A38" s="46" t="n">
        <v>29</v>
      </c>
      <c r="B38" s="47" t="n">
        <f aca="false">A38*$C$6</f>
        <v>0.0530694167852267</v>
      </c>
      <c r="C38" s="48" t="n">
        <f aca="false">$C$7*B38</f>
        <v>0.402777777777778</v>
      </c>
      <c r="D38" s="49" t="n">
        <f aca="false">0.5*c_rho*'P3 Energie'!E8*'P3 Energie'!E7*(C38-c_Vv)^2+'P3 Energie'!E13+'P3 Energie'!E15+'P3 Energie'!E6*$C$7</f>
        <v>18180.1743027727</v>
      </c>
      <c r="E38" s="50" t="n">
        <f aca="false">D38*C38</f>
        <v>7322.57020528345</v>
      </c>
      <c r="F38" s="46" t="n">
        <v>29</v>
      </c>
      <c r="G38" s="47" t="n">
        <f aca="false">F38*$H$6</f>
        <v>0.0529161917554252</v>
      </c>
      <c r="H38" s="48" t="n">
        <f aca="false">$H$7*G38</f>
        <v>0.402777777777778</v>
      </c>
      <c r="I38" s="49" t="n">
        <f aca="false">0.5*c_rho*'P3 Energie'!F8*'P3 Energie'!F7*(H38-c_Vv)^2+'P3 Energie'!F13+'P3 Energie'!F15+'P3 Energie'!F6*$H$7</f>
        <v>19038.3575967688</v>
      </c>
      <c r="J38" s="50" t="n">
        <f aca="false">I38*H38</f>
        <v>7668.22736536519</v>
      </c>
    </row>
    <row r="39" customFormat="false" ht="15" hidden="false" customHeight="false" outlineLevel="0" collapsed="false">
      <c r="A39" s="46" t="n">
        <v>30</v>
      </c>
      <c r="B39" s="47" t="n">
        <f aca="false">A39*$C$6</f>
        <v>0.0548993966743725</v>
      </c>
      <c r="C39" s="48" t="n">
        <f aca="false">$C$7*B39</f>
        <v>0.416666666666667</v>
      </c>
      <c r="D39" s="49" t="n">
        <f aca="false">0.5*c_rho*'P3 Energie'!E8*'P3 Energie'!E7*(C39-c_Vv)^2+'P3 Energie'!E13+'P3 Energie'!E15+'P3 Energie'!E6*$C$7</f>
        <v>18180.1788488539</v>
      </c>
      <c r="E39" s="50" t="n">
        <f aca="false">D39*C39</f>
        <v>7575.07452035581</v>
      </c>
      <c r="F39" s="46" t="n">
        <v>30</v>
      </c>
      <c r="G39" s="47" t="n">
        <f aca="false">F39*$H$6</f>
        <v>0.0547408880228536</v>
      </c>
      <c r="H39" s="48" t="n">
        <f aca="false">$H$7*G39</f>
        <v>0.416666666666667</v>
      </c>
      <c r="I39" s="49" t="n">
        <f aca="false">0.5*c_rho*'P3 Energie'!F8*'P3 Energie'!F7*(H39-c_Vv)^2+'P3 Energie'!F13+'P3 Energie'!F15+'P3 Energie'!F6*$H$7</f>
        <v>19038.3615465046</v>
      </c>
      <c r="J39" s="50" t="n">
        <f aca="false">I39*H39</f>
        <v>7932.65064437693</v>
      </c>
    </row>
    <row r="40" customFormat="false" ht="15" hidden="false" customHeight="false" outlineLevel="0" collapsed="false">
      <c r="A40" s="46" t="n">
        <v>31</v>
      </c>
      <c r="B40" s="47" t="n">
        <f aca="false">A40*$C$6</f>
        <v>0.0567293765635182</v>
      </c>
      <c r="C40" s="48" t="n">
        <f aca="false">$C$7*B40</f>
        <v>0.430555555555556</v>
      </c>
      <c r="D40" s="49" t="n">
        <f aca="false">0.5*c_rho*'P3 Energie'!E8*'P3 Energie'!E7*(C40-c_Vv)^2+'P3 Energie'!E13+'P3 Energie'!E15+'P3 Energie'!E6*$C$7</f>
        <v>18180.1835490396</v>
      </c>
      <c r="E40" s="50" t="n">
        <f aca="false">D40*C40</f>
        <v>7827.57902805873</v>
      </c>
      <c r="F40" s="46" t="n">
        <v>31</v>
      </c>
      <c r="G40" s="47" t="n">
        <f aca="false">F40*$H$6</f>
        <v>0.0565655842902821</v>
      </c>
      <c r="H40" s="48" t="n">
        <f aca="false">$H$7*G40</f>
        <v>0.430555555555556</v>
      </c>
      <c r="I40" s="49" t="n">
        <f aca="false">0.5*c_rho*'P3 Energie'!F8*'P3 Energie'!F7*(H40-c_Vv)^2+'P3 Energie'!F13+'P3 Energie'!F15+'P3 Energie'!F6*$H$7</f>
        <v>19038.3656301299</v>
      </c>
      <c r="J40" s="50" t="n">
        <f aca="false">I40*H40</f>
        <v>8197.07409075036</v>
      </c>
    </row>
    <row r="41" customFormat="false" ht="15" hidden="false" customHeight="false" outlineLevel="0" collapsed="false">
      <c r="A41" s="46" t="n">
        <v>32</v>
      </c>
      <c r="B41" s="47" t="n">
        <f aca="false">A41*$C$6</f>
        <v>0.058559356452664</v>
      </c>
      <c r="C41" s="48" t="n">
        <f aca="false">$C$7*B41</f>
        <v>0.444444444444445</v>
      </c>
      <c r="D41" s="49" t="n">
        <f aca="false">0.5*c_rho*'P3 Energie'!E8*'P3 Energie'!E7*(C41-c_Vv)^2+'P3 Energie'!E13+'P3 Energie'!E15+'P3 Energie'!E6*$C$7</f>
        <v>18180.1884033298</v>
      </c>
      <c r="E41" s="50" t="n">
        <f aca="false">D41*C41</f>
        <v>8080.08373481324</v>
      </c>
      <c r="F41" s="46" t="n">
        <v>32</v>
      </c>
      <c r="G41" s="47" t="n">
        <f aca="false">F41*$H$6</f>
        <v>0.0583902805577105</v>
      </c>
      <c r="H41" s="48" t="n">
        <f aca="false">$H$7*G41</f>
        <v>0.444444444444445</v>
      </c>
      <c r="I41" s="49" t="n">
        <f aca="false">0.5*c_rho*'P3 Energie'!F8*'P3 Energie'!F7*(H41-c_Vv)^2+'P3 Energie'!F13+'P3 Energie'!F15+'P3 Energie'!F6*$H$7</f>
        <v>19038.3698476444</v>
      </c>
      <c r="J41" s="50" t="n">
        <f aca="false">I41*H41</f>
        <v>8461.4977100642</v>
      </c>
    </row>
    <row r="42" customFormat="false" ht="15" hidden="false" customHeight="false" outlineLevel="0" collapsed="false">
      <c r="A42" s="46" t="n">
        <v>33</v>
      </c>
      <c r="B42" s="47" t="n">
        <f aca="false">A42*$C$6</f>
        <v>0.0603893363418097</v>
      </c>
      <c r="C42" s="48" t="n">
        <f aca="false">$C$7*B42</f>
        <v>0.458333333333333</v>
      </c>
      <c r="D42" s="49" t="n">
        <f aca="false">0.5*c_rho*'P3 Energie'!E8*'P3 Energie'!E7*(C42-c_Vv)^2+'P3 Energie'!E13+'P3 Energie'!E15+'P3 Energie'!E6*$C$7</f>
        <v>18180.1934117244</v>
      </c>
      <c r="E42" s="50" t="n">
        <f aca="false">D42*C42</f>
        <v>8332.58864704034</v>
      </c>
      <c r="F42" s="46" t="n">
        <v>33</v>
      </c>
      <c r="G42" s="47" t="n">
        <f aca="false">F42*$H$6</f>
        <v>0.060214976825139</v>
      </c>
      <c r="H42" s="48" t="n">
        <f aca="false">$H$7*G42</f>
        <v>0.458333333333333</v>
      </c>
      <c r="I42" s="49" t="n">
        <f aca="false">0.5*c_rho*'P3 Energie'!F8*'P3 Energie'!F7*(H42-c_Vv)^2+'P3 Energie'!F13+'P3 Energie'!F15+'P3 Energie'!F6*$H$7</f>
        <v>19038.3741990484</v>
      </c>
      <c r="J42" s="50" t="n">
        <f aca="false">I42*H42</f>
        <v>8725.92150789717</v>
      </c>
    </row>
    <row r="43" customFormat="false" ht="15" hidden="false" customHeight="false" outlineLevel="0" collapsed="false">
      <c r="A43" s="46" t="n">
        <v>34</v>
      </c>
      <c r="B43" s="47" t="n">
        <f aca="false">A43*$C$6</f>
        <v>0.0622193162309555</v>
      </c>
      <c r="C43" s="48" t="n">
        <f aca="false">$C$7*B43</f>
        <v>0.472222222222222</v>
      </c>
      <c r="D43" s="49" t="n">
        <f aca="false">0.5*c_rho*'P3 Energie'!E8*'P3 Energie'!E7*(C43-c_Vv)^2+'P3 Energie'!E13+'P3 Energie'!E15+'P3 Energie'!E6*$C$7</f>
        <v>18180.1985742234</v>
      </c>
      <c r="E43" s="50" t="n">
        <f aca="false">D43*C43</f>
        <v>8585.09377116106</v>
      </c>
      <c r="F43" s="46" t="n">
        <v>34</v>
      </c>
      <c r="G43" s="47" t="n">
        <f aca="false">F43*$H$6</f>
        <v>0.0620396730925674</v>
      </c>
      <c r="H43" s="48" t="n">
        <f aca="false">$H$7*G43</f>
        <v>0.472222222222222</v>
      </c>
      <c r="I43" s="49" t="n">
        <f aca="false">0.5*c_rho*'P3 Energie'!F8*'P3 Energie'!F7*(H43-c_Vv)^2+'P3 Energie'!F13+'P3 Energie'!F15+'P3 Energie'!F6*$H$7</f>
        <v>19038.3786843417</v>
      </c>
      <c r="J43" s="50" t="n">
        <f aca="false">I43*H43</f>
        <v>8990.34548982801</v>
      </c>
    </row>
    <row r="44" customFormat="false" ht="15" hidden="false" customHeight="false" outlineLevel="0" collapsed="false">
      <c r="A44" s="46" t="n">
        <v>35</v>
      </c>
      <c r="B44" s="47" t="n">
        <f aca="false">A44*$C$6</f>
        <v>0.0640492961201012</v>
      </c>
      <c r="C44" s="48" t="n">
        <f aca="false">$C$7*B44</f>
        <v>0.486111111111111</v>
      </c>
      <c r="D44" s="49" t="n">
        <f aca="false">0.5*c_rho*'P3 Energie'!E8*'P3 Energie'!E7*(C44-c_Vv)^2+'P3 Energie'!E13+'P3 Energie'!E15+'P3 Energie'!E6*$C$7</f>
        <v>18180.2038908269</v>
      </c>
      <c r="E44" s="50" t="n">
        <f aca="false">D44*C44</f>
        <v>8837.59911359642</v>
      </c>
      <c r="F44" s="46" t="n">
        <v>35</v>
      </c>
      <c r="G44" s="47" t="n">
        <f aca="false">F44*$H$6</f>
        <v>0.0638643693599959</v>
      </c>
      <c r="H44" s="48" t="n">
        <f aca="false">$H$7*G44</f>
        <v>0.486111111111111</v>
      </c>
      <c r="I44" s="49" t="n">
        <f aca="false">0.5*c_rho*'P3 Energie'!F8*'P3 Energie'!F7*(H44-c_Vv)^2+'P3 Energie'!F13+'P3 Energie'!F15+'P3 Energie'!F6*$H$7</f>
        <v>19038.3833035243</v>
      </c>
      <c r="J44" s="50" t="n">
        <f aca="false">I44*H44</f>
        <v>9254.76966143543</v>
      </c>
    </row>
    <row r="45" customFormat="false" ht="15" hidden="false" customHeight="false" outlineLevel="0" collapsed="false">
      <c r="A45" s="46" t="n">
        <v>36</v>
      </c>
      <c r="B45" s="47" t="n">
        <f aca="false">A45*$C$6</f>
        <v>0.065879276009247</v>
      </c>
      <c r="C45" s="48" t="n">
        <f aca="false">$C$7*B45</f>
        <v>0.5</v>
      </c>
      <c r="D45" s="49" t="n">
        <f aca="false">0.5*c_rho*'P3 Energie'!E8*'P3 Energie'!E7*(C45-c_Vv)^2+'P3 Energie'!E13+'P3 Energie'!E15+'P3 Energie'!E6*$C$7</f>
        <v>18180.2093615349</v>
      </c>
      <c r="E45" s="50" t="n">
        <f aca="false">D45*C45</f>
        <v>9090.10468076743</v>
      </c>
      <c r="F45" s="46" t="n">
        <v>36</v>
      </c>
      <c r="G45" s="47" t="n">
        <f aca="false">F45*$H$6</f>
        <v>0.0656890656274243</v>
      </c>
      <c r="H45" s="48" t="n">
        <f aca="false">$H$7*G45</f>
        <v>0.5</v>
      </c>
      <c r="I45" s="49" t="n">
        <f aca="false">0.5*c_rho*'P3 Energie'!F8*'P3 Energie'!F7*(H45-c_Vv)^2+'P3 Energie'!F13+'P3 Energie'!F15+'P3 Energie'!F6*$H$7</f>
        <v>19038.3880565963</v>
      </c>
      <c r="J45" s="50" t="n">
        <f aca="false">I45*H45</f>
        <v>9519.19402829815</v>
      </c>
    </row>
    <row r="46" customFormat="false" ht="15" hidden="false" customHeight="false" outlineLevel="0" collapsed="false">
      <c r="A46" s="46" t="n">
        <v>37</v>
      </c>
      <c r="B46" s="47" t="n">
        <f aca="false">A46*$C$6</f>
        <v>0.0677092558983927</v>
      </c>
      <c r="C46" s="48" t="n">
        <f aca="false">$C$7*B46</f>
        <v>0.513888888888889</v>
      </c>
      <c r="D46" s="49" t="n">
        <f aca="false">0.5*c_rho*'P3 Energie'!E8*'P3 Energie'!E7*(C46-c_Vv)^2+'P3 Energie'!E13+'P3 Energie'!E15+'P3 Energie'!E6*$C$7</f>
        <v>18180.2149863473</v>
      </c>
      <c r="E46" s="50" t="n">
        <f aca="false">D46*C46</f>
        <v>9342.61047909512</v>
      </c>
      <c r="F46" s="46" t="n">
        <v>37</v>
      </c>
      <c r="G46" s="47" t="n">
        <f aca="false">F46*$H$6</f>
        <v>0.0675137618948528</v>
      </c>
      <c r="H46" s="48" t="n">
        <f aca="false">$H$7*G46</f>
        <v>0.513888888888889</v>
      </c>
      <c r="I46" s="49" t="n">
        <f aca="false">0.5*c_rho*'P3 Energie'!F8*'P3 Energie'!F7*(H46-c_Vv)^2+'P3 Energie'!F13+'P3 Energie'!F15+'P3 Energie'!F6*$H$7</f>
        <v>19038.3929435576</v>
      </c>
      <c r="J46" s="50" t="n">
        <f aca="false">I46*H46</f>
        <v>9783.6185959949</v>
      </c>
    </row>
    <row r="47" customFormat="false" ht="15" hidden="false" customHeight="false" outlineLevel="0" collapsed="false">
      <c r="A47" s="46" t="n">
        <v>38</v>
      </c>
      <c r="B47" s="47" t="n">
        <f aca="false">A47*$C$6</f>
        <v>0.0695392357875385</v>
      </c>
      <c r="C47" s="48" t="n">
        <f aca="false">$C$7*B47</f>
        <v>0.527777777777778</v>
      </c>
      <c r="D47" s="49" t="n">
        <f aca="false">0.5*c_rho*'P3 Energie'!E8*'P3 Energie'!E7*(C47-c_Vv)^2+'P3 Energie'!E13+'P3 Energie'!E15+'P3 Energie'!E6*$C$7</f>
        <v>18180.2207652641</v>
      </c>
      <c r="E47" s="50" t="n">
        <f aca="false">D47*C47</f>
        <v>9595.11651500049</v>
      </c>
      <c r="F47" s="46" t="n">
        <v>38</v>
      </c>
      <c r="G47" s="47" t="n">
        <f aca="false">F47*$H$6</f>
        <v>0.0693384581622812</v>
      </c>
      <c r="H47" s="48" t="n">
        <f aca="false">$H$7*G47</f>
        <v>0.527777777777778</v>
      </c>
      <c r="I47" s="49" t="n">
        <f aca="false">0.5*c_rho*'P3 Energie'!F8*'P3 Energie'!F7*(H47-c_Vv)^2+'P3 Energie'!F13+'P3 Energie'!F15+'P3 Energie'!F6*$H$7</f>
        <v>19038.3979644083</v>
      </c>
      <c r="J47" s="50" t="n">
        <f aca="false">I47*H47</f>
        <v>10048.0433701044</v>
      </c>
    </row>
    <row r="48" customFormat="false" ht="15" hidden="false" customHeight="false" outlineLevel="0" collapsed="false">
      <c r="A48" s="46" t="n">
        <v>39</v>
      </c>
      <c r="B48" s="47" t="n">
        <f aca="false">A48*$C$6</f>
        <v>0.0713692156766842</v>
      </c>
      <c r="C48" s="48" t="n">
        <f aca="false">$C$7*B48</f>
        <v>0.541666666666667</v>
      </c>
      <c r="D48" s="49" t="n">
        <f aca="false">0.5*c_rho*'P3 Energie'!E8*'P3 Energie'!E7*(C48-c_Vv)^2+'P3 Energie'!E13+'P3 Energie'!E15+'P3 Energie'!E6*$C$7</f>
        <v>18180.2266982854</v>
      </c>
      <c r="E48" s="50" t="n">
        <f aca="false">D48*C48</f>
        <v>9847.62279490458</v>
      </c>
      <c r="F48" s="46" t="n">
        <v>39</v>
      </c>
      <c r="G48" s="47" t="n">
        <f aca="false">F48*$H$6</f>
        <v>0.0711631544297097</v>
      </c>
      <c r="H48" s="48" t="n">
        <f aca="false">$H$7*G48</f>
        <v>0.541666666666667</v>
      </c>
      <c r="I48" s="49" t="n">
        <f aca="false">0.5*c_rho*'P3 Energie'!F8*'P3 Energie'!F7*(H48-c_Vv)^2+'P3 Energie'!F13+'P3 Energie'!F15+'P3 Energie'!F6*$H$7</f>
        <v>19038.4031191484</v>
      </c>
      <c r="J48" s="50" t="n">
        <f aca="false">I48*H48</f>
        <v>10312.4683562054</v>
      </c>
    </row>
    <row r="49" customFormat="false" ht="15" hidden="false" customHeight="false" outlineLevel="0" collapsed="false">
      <c r="A49" s="46" t="n">
        <v>40</v>
      </c>
      <c r="B49" s="47" t="n">
        <f aca="false">A49*$C$6</f>
        <v>0.07319919556583</v>
      </c>
      <c r="C49" s="48" t="n">
        <f aca="false">$C$7*B49</f>
        <v>0.555555555555556</v>
      </c>
      <c r="D49" s="49" t="n">
        <f aca="false">0.5*c_rho*'P3 Energie'!E8*'P3 Energie'!E7*(C49-c_Vv)^2+'P3 Energie'!E13+'P3 Energie'!E15+'P3 Energie'!E6*$C$7</f>
        <v>18180.2327854111</v>
      </c>
      <c r="E49" s="50" t="n">
        <f aca="false">D49*C49</f>
        <v>10100.1293252284</v>
      </c>
      <c r="F49" s="46" t="n">
        <v>40</v>
      </c>
      <c r="G49" s="47" t="n">
        <f aca="false">F49*$H$6</f>
        <v>0.0729878506971382</v>
      </c>
      <c r="H49" s="48" t="n">
        <f aca="false">$H$7*G49</f>
        <v>0.555555555555556</v>
      </c>
      <c r="I49" s="49" t="n">
        <f aca="false">0.5*c_rho*'P3 Energie'!F8*'P3 Energie'!F7*(H49-c_Vv)^2+'P3 Energie'!F13+'P3 Energie'!F15+'P3 Energie'!F6*$H$7</f>
        <v>19038.4084077778</v>
      </c>
      <c r="J49" s="50" t="n">
        <f aca="false">I49*H49</f>
        <v>10576.8935598765</v>
      </c>
    </row>
    <row r="50" customFormat="false" ht="15" hidden="false" customHeight="false" outlineLevel="0" collapsed="false">
      <c r="A50" s="46" t="n">
        <v>41</v>
      </c>
      <c r="B50" s="47" t="n">
        <f aca="false">A50*$C$6</f>
        <v>0.0750291754549757</v>
      </c>
      <c r="C50" s="48" t="n">
        <f aca="false">$C$7*B50</f>
        <v>0.569444444444444</v>
      </c>
      <c r="D50" s="49" t="n">
        <f aca="false">0.5*c_rho*'P3 Energie'!E8*'P3 Energie'!E7*(C50-c_Vv)^2+'P3 Energie'!E13+'P3 Energie'!E15+'P3 Energie'!E6*$C$7</f>
        <v>18180.2390266413</v>
      </c>
      <c r="E50" s="50" t="n">
        <f aca="false">D50*C50</f>
        <v>10352.636112393</v>
      </c>
      <c r="F50" s="46" t="n">
        <v>41</v>
      </c>
      <c r="G50" s="47" t="n">
        <f aca="false">F50*$H$6</f>
        <v>0.0748125469645666</v>
      </c>
      <c r="H50" s="48" t="n">
        <f aca="false">$H$7*G50</f>
        <v>0.569444444444445</v>
      </c>
      <c r="I50" s="49" t="n">
        <f aca="false">0.5*c_rho*'P3 Energie'!F8*'P3 Energie'!F7*(H50-c_Vv)^2+'P3 Energie'!F13+'P3 Energie'!F15+'P3 Energie'!F6*$H$7</f>
        <v>19038.4138302965</v>
      </c>
      <c r="J50" s="50" t="n">
        <f aca="false">I50*H50</f>
        <v>10841.3189866966</v>
      </c>
    </row>
    <row r="51" customFormat="false" ht="15" hidden="false" customHeight="false" outlineLevel="0" collapsed="false">
      <c r="A51" s="46" t="n">
        <v>42</v>
      </c>
      <c r="B51" s="47" t="n">
        <f aca="false">A51*$C$6</f>
        <v>0.0768591553441215</v>
      </c>
      <c r="C51" s="48" t="n">
        <f aca="false">$C$7*B51</f>
        <v>0.583333333333333</v>
      </c>
      <c r="D51" s="49" t="n">
        <f aca="false">0.5*c_rho*'P3 Energie'!E8*'P3 Energie'!E7*(C51-c_Vv)^2+'P3 Energie'!E13+'P3 Energie'!E15+'P3 Energie'!E6*$C$7</f>
        <v>18180.2454219759</v>
      </c>
      <c r="E51" s="50" t="n">
        <f aca="false">D51*C51</f>
        <v>10605.1431628193</v>
      </c>
      <c r="F51" s="46" t="n">
        <v>42</v>
      </c>
      <c r="G51" s="47" t="n">
        <f aca="false">F51*$H$6</f>
        <v>0.076637243231995</v>
      </c>
      <c r="H51" s="48" t="n">
        <f aca="false">$H$7*G51</f>
        <v>0.583333333333333</v>
      </c>
      <c r="I51" s="49" t="n">
        <f aca="false">0.5*c_rho*'P3 Energie'!F8*'P3 Energie'!F7*(H51-c_Vv)^2+'P3 Energie'!F13+'P3 Energie'!F15+'P3 Energie'!F6*$H$7</f>
        <v>19038.4193867046</v>
      </c>
      <c r="J51" s="50" t="n">
        <f aca="false">I51*H51</f>
        <v>11105.7446422444</v>
      </c>
    </row>
    <row r="52" customFormat="false" ht="15" hidden="false" customHeight="false" outlineLevel="0" collapsed="false">
      <c r="A52" s="46" t="n">
        <v>43</v>
      </c>
      <c r="B52" s="47" t="n">
        <f aca="false">A52*$C$6</f>
        <v>0.0786891352332672</v>
      </c>
      <c r="C52" s="48" t="n">
        <f aca="false">$C$7*B52</f>
        <v>0.597222222222222</v>
      </c>
      <c r="D52" s="49" t="n">
        <f aca="false">0.5*c_rho*'P3 Energie'!E8*'P3 Energie'!E7*(C52-c_Vv)^2+'P3 Energie'!E13+'P3 Energie'!E15+'P3 Energie'!E6*$C$7</f>
        <v>18180.251971415</v>
      </c>
      <c r="E52" s="50" t="n">
        <f aca="false">D52*C52</f>
        <v>10857.6504829284</v>
      </c>
      <c r="F52" s="46" t="n">
        <v>43</v>
      </c>
      <c r="G52" s="47" t="n">
        <f aca="false">F52*$H$6</f>
        <v>0.0784619394994235</v>
      </c>
      <c r="H52" s="48" t="n">
        <f aca="false">$H$7*G52</f>
        <v>0.597222222222222</v>
      </c>
      <c r="I52" s="49" t="n">
        <f aca="false">0.5*c_rho*'P3 Energie'!F8*'P3 Energie'!F7*(H52-c_Vv)^2+'P3 Energie'!F13+'P3 Energie'!F15+'P3 Energie'!F6*$H$7</f>
        <v>19038.4250770021</v>
      </c>
      <c r="J52" s="50" t="n">
        <f aca="false">I52*H52</f>
        <v>11370.1705320985</v>
      </c>
    </row>
    <row r="53" customFormat="false" ht="15" hidden="false" customHeight="false" outlineLevel="0" collapsed="false">
      <c r="A53" s="46" t="n">
        <v>44</v>
      </c>
      <c r="B53" s="47" t="n">
        <f aca="false">A53*$C$6</f>
        <v>0.080519115122413</v>
      </c>
      <c r="C53" s="48" t="n">
        <f aca="false">$C$7*B53</f>
        <v>0.611111111111111</v>
      </c>
      <c r="D53" s="49" t="n">
        <f aca="false">0.5*c_rho*'P3 Energie'!E8*'P3 Energie'!E7*(C53-c_Vv)^2+'P3 Energie'!E13+'P3 Energie'!E15+'P3 Energie'!E6*$C$7</f>
        <v>18180.2586749586</v>
      </c>
      <c r="E53" s="50" t="n">
        <f aca="false">D53*C53</f>
        <v>11110.1580791413</v>
      </c>
      <c r="F53" s="46" t="n">
        <v>44</v>
      </c>
      <c r="G53" s="47" t="n">
        <f aca="false">F53*$H$6</f>
        <v>0.080286635766852</v>
      </c>
      <c r="H53" s="48" t="n">
        <f aca="false">$H$7*G53</f>
        <v>0.611111111111111</v>
      </c>
      <c r="I53" s="49" t="n">
        <f aca="false">0.5*c_rho*'P3 Energie'!F8*'P3 Energie'!F7*(H53-c_Vv)^2+'P3 Energie'!F13+'P3 Energie'!F15+'P3 Energie'!F6*$H$7</f>
        <v>19038.4309011889</v>
      </c>
      <c r="J53" s="50" t="n">
        <f aca="false">I53*H53</f>
        <v>11634.5966618377</v>
      </c>
    </row>
    <row r="54" customFormat="false" ht="15" hidden="false" customHeight="false" outlineLevel="0" collapsed="false">
      <c r="A54" s="46" t="n">
        <v>45</v>
      </c>
      <c r="B54" s="47" t="n">
        <f aca="false">A54*$C$6</f>
        <v>0.0823490950115587</v>
      </c>
      <c r="C54" s="48" t="n">
        <f aca="false">$C$7*B54</f>
        <v>0.625</v>
      </c>
      <c r="D54" s="49" t="n">
        <f aca="false">0.5*c_rho*'P3 Energie'!E8*'P3 Energie'!E7*(C54-c_Vv)^2+'P3 Energie'!E13+'P3 Energie'!E15+'P3 Energie'!E6*$C$7</f>
        <v>18180.2655326065</v>
      </c>
      <c r="E54" s="50" t="n">
        <f aca="false">D54*C54</f>
        <v>11362.6659578791</v>
      </c>
      <c r="F54" s="46" t="n">
        <v>45</v>
      </c>
      <c r="G54" s="47" t="n">
        <f aca="false">F54*$H$6</f>
        <v>0.0821113320342804</v>
      </c>
      <c r="H54" s="48" t="n">
        <f aca="false">$H$7*G54</f>
        <v>0.625</v>
      </c>
      <c r="I54" s="49" t="n">
        <f aca="false">0.5*c_rho*'P3 Energie'!F8*'P3 Energie'!F7*(H54-c_Vv)^2+'P3 Energie'!F13+'P3 Energie'!F15+'P3 Energie'!F6*$H$7</f>
        <v>19038.436859265</v>
      </c>
      <c r="J54" s="50" t="n">
        <f aca="false">I54*H54</f>
        <v>11899.0230370407</v>
      </c>
    </row>
    <row r="55" customFormat="false" ht="15" hidden="false" customHeight="false" outlineLevel="0" collapsed="false">
      <c r="A55" s="46" t="n">
        <v>46</v>
      </c>
      <c r="B55" s="47" t="n">
        <f aca="false">A55*$C$6</f>
        <v>0.0841790749007045</v>
      </c>
      <c r="C55" s="48" t="n">
        <f aca="false">$C$7*B55</f>
        <v>0.638888888888889</v>
      </c>
      <c r="D55" s="49" t="n">
        <f aca="false">0.5*c_rho*'P3 Energie'!E8*'P3 Energie'!E7*(C55-c_Vv)^2+'P3 Energie'!E13+'P3 Energie'!E15+'P3 Energie'!E6*$C$7</f>
        <v>18180.272544359</v>
      </c>
      <c r="E55" s="50" t="n">
        <f aca="false">D55*C55</f>
        <v>11615.1741255627</v>
      </c>
      <c r="F55" s="46" t="n">
        <v>46</v>
      </c>
      <c r="G55" s="47" t="n">
        <f aca="false">F55*$H$6</f>
        <v>0.0839360283017089</v>
      </c>
      <c r="H55" s="48" t="n">
        <f aca="false">$H$7*G55</f>
        <v>0.638888888888889</v>
      </c>
      <c r="I55" s="49" t="n">
        <f aca="false">0.5*c_rho*'P3 Energie'!F8*'P3 Energie'!F7*(H55-c_Vv)^2+'P3 Energie'!F13+'P3 Energie'!F15+'P3 Energie'!F6*$H$7</f>
        <v>19038.4429512306</v>
      </c>
      <c r="J55" s="50" t="n">
        <f aca="false">I55*H55</f>
        <v>12163.4496632862</v>
      </c>
    </row>
    <row r="56" customFormat="false" ht="15" hidden="false" customHeight="false" outlineLevel="0" collapsed="false">
      <c r="A56" s="46" t="n">
        <v>47</v>
      </c>
      <c r="B56" s="47" t="n">
        <f aca="false">A56*$C$6</f>
        <v>0.0860090547898502</v>
      </c>
      <c r="C56" s="48" t="n">
        <f aca="false">$C$7*B56</f>
        <v>0.652777777777778</v>
      </c>
      <c r="D56" s="49" t="n">
        <f aca="false">0.5*c_rho*'P3 Energie'!E8*'P3 Energie'!E7*(C56-c_Vv)^2+'P3 Energie'!E13+'P3 Energie'!E15+'P3 Energie'!E6*$C$7</f>
        <v>18180.2797102159</v>
      </c>
      <c r="E56" s="50" t="n">
        <f aca="false">D56*C56</f>
        <v>11867.6825886131</v>
      </c>
      <c r="F56" s="46" t="n">
        <v>47</v>
      </c>
      <c r="G56" s="47" t="n">
        <f aca="false">F56*$H$6</f>
        <v>0.0857607245691373</v>
      </c>
      <c r="H56" s="48" t="n">
        <f aca="false">$H$7*G56</f>
        <v>0.652777777777778</v>
      </c>
      <c r="I56" s="49" t="n">
        <f aca="false">0.5*c_rho*'P3 Energie'!F8*'P3 Energie'!F7*(H56-c_Vv)^2+'P3 Energie'!F13+'P3 Energie'!F15+'P3 Energie'!F6*$H$7</f>
        <v>19038.4491770854</v>
      </c>
      <c r="J56" s="50" t="n">
        <f aca="false">I56*H56</f>
        <v>12427.876546153</v>
      </c>
    </row>
    <row r="57" customFormat="false" ht="15" hidden="false" customHeight="false" outlineLevel="0" collapsed="false">
      <c r="A57" s="46" t="n">
        <v>48</v>
      </c>
      <c r="B57" s="47" t="n">
        <f aca="false">A57*$C$6</f>
        <v>0.087839034678996</v>
      </c>
      <c r="C57" s="48" t="n">
        <f aca="false">$C$7*B57</f>
        <v>0.666666666666667</v>
      </c>
      <c r="D57" s="49" t="n">
        <f aca="false">0.5*c_rho*'P3 Energie'!E8*'P3 Energie'!E7*(C57-c_Vv)^2+'P3 Energie'!E13+'P3 Energie'!E15+'P3 Energie'!E6*$C$7</f>
        <v>18180.2870301772</v>
      </c>
      <c r="E57" s="50" t="n">
        <f aca="false">D57*C57</f>
        <v>12120.1913534515</v>
      </c>
      <c r="F57" s="46" t="n">
        <v>48</v>
      </c>
      <c r="G57" s="47" t="n">
        <f aca="false">F57*$H$6</f>
        <v>0.0875854208365658</v>
      </c>
      <c r="H57" s="48" t="n">
        <f aca="false">$H$7*G57</f>
        <v>0.666666666666667</v>
      </c>
      <c r="I57" s="49" t="n">
        <f aca="false">0.5*c_rho*'P3 Energie'!F8*'P3 Energie'!F7*(H57-c_Vv)^2+'P3 Energie'!F13+'P3 Energie'!F15+'P3 Energie'!F6*$H$7</f>
        <v>19038.4555368296</v>
      </c>
      <c r="J57" s="50" t="n">
        <f aca="false">I57*H57</f>
        <v>12692.3036912198</v>
      </c>
    </row>
    <row r="58" customFormat="false" ht="15" hidden="false" customHeight="false" outlineLevel="0" collapsed="false">
      <c r="A58" s="46" t="n">
        <v>49</v>
      </c>
      <c r="B58" s="47" t="n">
        <f aca="false">A58*$C$6</f>
        <v>0.0896690145681417</v>
      </c>
      <c r="C58" s="48" t="n">
        <f aca="false">$C$7*B58</f>
        <v>0.680555555555556</v>
      </c>
      <c r="D58" s="49" t="n">
        <f aca="false">0.5*c_rho*'P3 Energie'!E8*'P3 Energie'!E7*(C58-c_Vv)^2+'P3 Energie'!E13+'P3 Energie'!E15+'P3 Energie'!E6*$C$7</f>
        <v>18180.294504243</v>
      </c>
      <c r="E58" s="50" t="n">
        <f aca="false">D58*C58</f>
        <v>12372.7004264987</v>
      </c>
      <c r="F58" s="46" t="n">
        <v>49</v>
      </c>
      <c r="G58" s="47" t="n">
        <f aca="false">F58*$H$6</f>
        <v>0.0894101171039942</v>
      </c>
      <c r="H58" s="48" t="n">
        <f aca="false">$H$7*G58</f>
        <v>0.680555555555556</v>
      </c>
      <c r="I58" s="49" t="n">
        <f aca="false">0.5*c_rho*'P3 Energie'!F8*'P3 Energie'!F7*(H58-c_Vv)^2+'P3 Energie'!F13+'P3 Energie'!F15+'P3 Energie'!F6*$H$7</f>
        <v>19038.4620304632</v>
      </c>
      <c r="J58" s="50" t="n">
        <f aca="false">I58*H58</f>
        <v>12956.7311040652</v>
      </c>
    </row>
    <row r="59" customFormat="false" ht="15" hidden="false" customHeight="false" outlineLevel="0" collapsed="false">
      <c r="A59" s="46" t="n">
        <v>50</v>
      </c>
      <c r="B59" s="47" t="n">
        <f aca="false">A59*$C$6</f>
        <v>0.0914989944572875</v>
      </c>
      <c r="C59" s="48" t="n">
        <f aca="false">$C$7*B59</f>
        <v>0.694444444444444</v>
      </c>
      <c r="D59" s="49" t="n">
        <f aca="false">0.5*c_rho*'P3 Energie'!E8*'P3 Energie'!E7*(C59-c_Vv)^2+'P3 Energie'!E13+'P3 Energie'!E15+'P3 Energie'!E6*$C$7</f>
        <v>18180.3021324132</v>
      </c>
      <c r="E59" s="50" t="n">
        <f aca="false">D59*C59</f>
        <v>12625.2098141758</v>
      </c>
      <c r="F59" s="46" t="n">
        <v>50</v>
      </c>
      <c r="G59" s="47" t="n">
        <f aca="false">F59*$H$6</f>
        <v>0.0912348133714227</v>
      </c>
      <c r="H59" s="48" t="n">
        <f aca="false">$H$7*G59</f>
        <v>0.694444444444445</v>
      </c>
      <c r="I59" s="49" t="n">
        <f aca="false">0.5*c_rho*'P3 Energie'!F8*'P3 Energie'!F7*(H59-c_Vv)^2+'P3 Energie'!F13+'P3 Energie'!F15+'P3 Energie'!F6*$H$7</f>
        <v>19038.4686579861</v>
      </c>
      <c r="J59" s="50" t="n">
        <f aca="false">I59*H59</f>
        <v>13221.1587902681</v>
      </c>
    </row>
    <row r="60" customFormat="false" ht="15" hidden="false" customHeight="false" outlineLevel="0" collapsed="false">
      <c r="A60" s="46" t="n">
        <v>51</v>
      </c>
      <c r="B60" s="47" t="n">
        <f aca="false">A60*$C$6</f>
        <v>0.0933289743464332</v>
      </c>
      <c r="C60" s="48" t="n">
        <f aca="false">$C$7*B60</f>
        <v>0.708333333333333</v>
      </c>
      <c r="D60" s="49" t="n">
        <f aca="false">0.5*c_rho*'P3 Energie'!E8*'P3 Energie'!E7*(C60-c_Vv)^2+'P3 Energie'!E13+'P3 Energie'!E15+'P3 Energie'!E6*$C$7</f>
        <v>18180.3099146879</v>
      </c>
      <c r="E60" s="50" t="n">
        <f aca="false">D60*C60</f>
        <v>12877.7195229039</v>
      </c>
      <c r="F60" s="46" t="n">
        <v>51</v>
      </c>
      <c r="G60" s="47" t="n">
        <f aca="false">F60*$H$6</f>
        <v>0.0930595096388511</v>
      </c>
      <c r="H60" s="48" t="n">
        <f aca="false">$H$7*G60</f>
        <v>0.708333333333333</v>
      </c>
      <c r="I60" s="49" t="n">
        <f aca="false">0.5*c_rho*'P3 Energie'!F8*'P3 Energie'!F7*(H60-c_Vv)^2+'P3 Energie'!F13+'P3 Energie'!F15+'P3 Energie'!F6*$H$7</f>
        <v>19038.4754193984</v>
      </c>
      <c r="J60" s="50" t="n">
        <f aca="false">I60*H60</f>
        <v>13485.5867554072</v>
      </c>
    </row>
    <row r="61" customFormat="false" ht="15" hidden="false" customHeight="false" outlineLevel="0" collapsed="false">
      <c r="A61" s="46" t="n">
        <v>52</v>
      </c>
      <c r="B61" s="47" t="n">
        <f aca="false">A61*$C$6</f>
        <v>0.095158954235579</v>
      </c>
      <c r="C61" s="48" t="n">
        <f aca="false">$C$7*B61</f>
        <v>0.722222222222222</v>
      </c>
      <c r="D61" s="49" t="n">
        <f aca="false">0.5*c_rho*'P3 Energie'!E8*'P3 Energie'!E7*(C61-c_Vv)^2+'P3 Energie'!E13+'P3 Energie'!E15+'P3 Energie'!E6*$C$7</f>
        <v>18180.317851067</v>
      </c>
      <c r="E61" s="50" t="n">
        <f aca="false">D61*C61</f>
        <v>13130.229559104</v>
      </c>
      <c r="F61" s="46" t="n">
        <v>52</v>
      </c>
      <c r="G61" s="47" t="n">
        <f aca="false">F61*$H$6</f>
        <v>0.0948842059062796</v>
      </c>
      <c r="H61" s="48" t="n">
        <f aca="false">$H$7*G61</f>
        <v>0.722222222222222</v>
      </c>
      <c r="I61" s="49" t="n">
        <f aca="false">0.5*c_rho*'P3 Energie'!F8*'P3 Energie'!F7*(H61-c_Vv)^2+'P3 Energie'!F13+'P3 Energie'!F15+'P3 Energie'!F6*$H$7</f>
        <v>19038.4823147</v>
      </c>
      <c r="J61" s="50" t="n">
        <f aca="false">I61*H61</f>
        <v>13750.0150050611</v>
      </c>
    </row>
    <row r="62" customFormat="false" ht="15" hidden="false" customHeight="false" outlineLevel="0" collapsed="false">
      <c r="A62" s="46" t="n">
        <v>53</v>
      </c>
      <c r="B62" s="47" t="n">
        <f aca="false">A62*$C$6</f>
        <v>0.0969889341247247</v>
      </c>
      <c r="C62" s="48" t="n">
        <f aca="false">$C$7*B62</f>
        <v>0.736111111111111</v>
      </c>
      <c r="D62" s="49" t="n">
        <f aca="false">0.5*c_rho*'P3 Energie'!E8*'P3 Energie'!E7*(C62-c_Vv)^2+'P3 Energie'!E13+'P3 Energie'!E15+'P3 Energie'!E6*$C$7</f>
        <v>18180.3259415506</v>
      </c>
      <c r="E62" s="50" t="n">
        <f aca="false">D62*C62</f>
        <v>13382.739929197</v>
      </c>
      <c r="F62" s="46" t="n">
        <v>53</v>
      </c>
      <c r="G62" s="47" t="n">
        <f aca="false">F62*$H$6</f>
        <v>0.096708902173708</v>
      </c>
      <c r="H62" s="48" t="n">
        <f aca="false">$H$7*G62</f>
        <v>0.736111111111111</v>
      </c>
      <c r="I62" s="49" t="n">
        <f aca="false">0.5*c_rho*'P3 Energie'!F8*'P3 Energie'!F7*(H62-c_Vv)^2+'P3 Energie'!F13+'P3 Energie'!F15+'P3 Energie'!F6*$H$7</f>
        <v>19038.489343891</v>
      </c>
      <c r="J62" s="50" t="n">
        <f aca="false">I62*H62</f>
        <v>14014.4435448086</v>
      </c>
    </row>
    <row r="63" customFormat="false" ht="15" hidden="false" customHeight="false" outlineLevel="0" collapsed="false">
      <c r="A63" s="46" t="n">
        <v>54</v>
      </c>
      <c r="B63" s="47" t="n">
        <f aca="false">A63*$C$6</f>
        <v>0.0988189140138705</v>
      </c>
      <c r="C63" s="48" t="n">
        <f aca="false">$C$7*B63</f>
        <v>0.75</v>
      </c>
      <c r="D63" s="49" t="n">
        <f aca="false">0.5*c_rho*'P3 Energie'!E8*'P3 Energie'!E7*(C63-c_Vv)^2+'P3 Energie'!E13+'P3 Energie'!E15+'P3 Energie'!E6*$C$7</f>
        <v>18180.3341861386</v>
      </c>
      <c r="E63" s="50" t="n">
        <f aca="false">D63*C63</f>
        <v>13635.250639604</v>
      </c>
      <c r="F63" s="46" t="n">
        <v>54</v>
      </c>
      <c r="G63" s="47" t="n">
        <f aca="false">F63*$H$6</f>
        <v>0.0985335984411365</v>
      </c>
      <c r="H63" s="48" t="n">
        <f aca="false">$H$7*G63</f>
        <v>0.75</v>
      </c>
      <c r="I63" s="49" t="n">
        <f aca="false">0.5*c_rho*'P3 Energie'!F8*'P3 Energie'!F7*(H63-c_Vv)^2+'P3 Energie'!F13+'P3 Energie'!F15+'P3 Energie'!F6*$H$7</f>
        <v>19038.4965069713</v>
      </c>
      <c r="J63" s="50" t="n">
        <f aca="false">I63*H63</f>
        <v>14278.8723802285</v>
      </c>
    </row>
    <row r="64" customFormat="false" ht="15" hidden="false" customHeight="false" outlineLevel="0" collapsed="false">
      <c r="A64" s="46" t="n">
        <v>55</v>
      </c>
      <c r="B64" s="47" t="n">
        <f aca="false">A64*$C$6</f>
        <v>0.100648893903016</v>
      </c>
      <c r="C64" s="48" t="n">
        <f aca="false">$C$7*B64</f>
        <v>0.763888888888889</v>
      </c>
      <c r="D64" s="49" t="n">
        <f aca="false">0.5*c_rho*'P3 Energie'!E8*'P3 Energie'!E7*(C64-c_Vv)^2+'P3 Energie'!E13+'P3 Energie'!E15+'P3 Energie'!E6*$C$7</f>
        <v>18180.3425848311</v>
      </c>
      <c r="E64" s="50" t="n">
        <f aca="false">D64*C64</f>
        <v>13887.761696746</v>
      </c>
      <c r="F64" s="46" t="n">
        <v>55</v>
      </c>
      <c r="G64" s="47" t="n">
        <f aca="false">F64*$H$6</f>
        <v>0.100358294708565</v>
      </c>
      <c r="H64" s="48" t="n">
        <f aca="false">$H$7*G64</f>
        <v>0.763888888888889</v>
      </c>
      <c r="I64" s="49" t="n">
        <f aca="false">0.5*c_rho*'P3 Energie'!F8*'P3 Energie'!F7*(H64-c_Vv)^2+'P3 Energie'!F13+'P3 Energie'!F15+'P3 Energie'!F6*$H$7</f>
        <v>19038.503803941</v>
      </c>
      <c r="J64" s="50" t="n">
        <f aca="false">I64*H64</f>
        <v>14543.3015168994</v>
      </c>
    </row>
    <row r="65" customFormat="false" ht="15" hidden="false" customHeight="false" outlineLevel="0" collapsed="false">
      <c r="A65" s="46" t="n">
        <v>56</v>
      </c>
      <c r="B65" s="47" t="n">
        <f aca="false">A65*$C$6</f>
        <v>0.102478873792162</v>
      </c>
      <c r="C65" s="48" t="n">
        <f aca="false">$C$7*B65</f>
        <v>0.777777777777778</v>
      </c>
      <c r="D65" s="49" t="n">
        <f aca="false">0.5*c_rho*'P3 Energie'!E8*'P3 Energie'!E7*(C65-c_Vv)^2+'P3 Energie'!E13+'P3 Energie'!E15+'P3 Energie'!E6*$C$7</f>
        <v>18180.351137628</v>
      </c>
      <c r="E65" s="50" t="n">
        <f aca="false">D65*C65</f>
        <v>14140.273107044</v>
      </c>
      <c r="F65" s="46" t="n">
        <v>56</v>
      </c>
      <c r="G65" s="47" t="n">
        <f aca="false">F65*$H$6</f>
        <v>0.102182990975993</v>
      </c>
      <c r="H65" s="48" t="n">
        <f aca="false">$H$7*G65</f>
        <v>0.777777777777778</v>
      </c>
      <c r="I65" s="49" t="n">
        <f aca="false">0.5*c_rho*'P3 Energie'!F8*'P3 Energie'!F7*(H65-c_Vv)^2+'P3 Energie'!F13+'P3 Energie'!F15+'P3 Energie'!F6*$H$7</f>
        <v>19038.5112348</v>
      </c>
      <c r="J65" s="50" t="n">
        <f aca="false">I65*H65</f>
        <v>14807.7309604</v>
      </c>
    </row>
    <row r="66" customFormat="false" ht="15" hidden="false" customHeight="false" outlineLevel="0" collapsed="false">
      <c r="A66" s="46" t="n">
        <v>57</v>
      </c>
      <c r="B66" s="47" t="n">
        <f aca="false">A66*$C$6</f>
        <v>0.104308853681308</v>
      </c>
      <c r="C66" s="48" t="n">
        <f aca="false">$C$7*B66</f>
        <v>0.791666666666667</v>
      </c>
      <c r="D66" s="49" t="n">
        <f aca="false">0.5*c_rho*'P3 Energie'!E8*'P3 Energie'!E7*(C66-c_Vv)^2+'P3 Energie'!E13+'P3 Energie'!E15+'P3 Energie'!E6*$C$7</f>
        <v>18180.3598445294</v>
      </c>
      <c r="E66" s="50" t="n">
        <f aca="false">D66*C66</f>
        <v>14392.7848769191</v>
      </c>
      <c r="F66" s="46" t="n">
        <v>57</v>
      </c>
      <c r="G66" s="47" t="n">
        <f aca="false">F66*$H$6</f>
        <v>0.104007687243422</v>
      </c>
      <c r="H66" s="48" t="n">
        <f aca="false">$H$7*G66</f>
        <v>0.791666666666667</v>
      </c>
      <c r="I66" s="49" t="n">
        <f aca="false">0.5*c_rho*'P3 Energie'!F8*'P3 Energie'!F7*(H66-c_Vv)^2+'P3 Energie'!F13+'P3 Energie'!F15+'P3 Energie'!F6*$H$7</f>
        <v>19038.5187995484</v>
      </c>
      <c r="J66" s="50" t="n">
        <f aca="false">I66*H66</f>
        <v>15072.1607163091</v>
      </c>
    </row>
    <row r="67" customFormat="false" ht="15" hidden="false" customHeight="false" outlineLevel="0" collapsed="false">
      <c r="A67" s="46" t="n">
        <v>58</v>
      </c>
      <c r="B67" s="47" t="n">
        <f aca="false">A67*$C$6</f>
        <v>0.106138833570453</v>
      </c>
      <c r="C67" s="48" t="n">
        <f aca="false">$C$7*B67</f>
        <v>0.805555555555556</v>
      </c>
      <c r="D67" s="49" t="n">
        <f aca="false">0.5*c_rho*'P3 Energie'!E8*'P3 Energie'!E7*(C67-c_Vv)^2+'P3 Energie'!E13+'P3 Energie'!E15+'P3 Energie'!E6*$C$7</f>
        <v>18180.3687055352</v>
      </c>
      <c r="E67" s="50" t="n">
        <f aca="false">D67*C67</f>
        <v>14645.2970127922</v>
      </c>
      <c r="F67" s="46" t="n">
        <v>58</v>
      </c>
      <c r="G67" s="47" t="n">
        <f aca="false">F67*$H$6</f>
        <v>0.10583238351085</v>
      </c>
      <c r="H67" s="48" t="n">
        <f aca="false">$H$7*G67</f>
        <v>0.805555555555556</v>
      </c>
      <c r="I67" s="49" t="n">
        <f aca="false">0.5*c_rho*'P3 Energie'!F8*'P3 Energie'!F7*(H67-c_Vv)^2+'P3 Energie'!F13+'P3 Energie'!F15+'P3 Energie'!F6*$H$7</f>
        <v>19038.5264981861</v>
      </c>
      <c r="J67" s="50" t="n">
        <f aca="false">I67*H67</f>
        <v>15336.5907902055</v>
      </c>
    </row>
    <row r="68" customFormat="false" ht="15" hidden="false" customHeight="false" outlineLevel="0" collapsed="false">
      <c r="A68" s="46" t="n">
        <v>59</v>
      </c>
      <c r="B68" s="47" t="n">
        <f aca="false">A68*$C$6</f>
        <v>0.107968813459599</v>
      </c>
      <c r="C68" s="48" t="n">
        <f aca="false">$C$7*B68</f>
        <v>0.819444444444444</v>
      </c>
      <c r="D68" s="49" t="n">
        <f aca="false">0.5*c_rho*'P3 Energie'!E8*'P3 Energie'!E7*(C68-c_Vv)^2+'P3 Energie'!E13+'P3 Energie'!E15+'P3 Energie'!E6*$C$7</f>
        <v>18180.3777206455</v>
      </c>
      <c r="E68" s="50" t="n">
        <f aca="false">D68*C68</f>
        <v>14897.8095210845</v>
      </c>
      <c r="F68" s="46" t="n">
        <v>59</v>
      </c>
      <c r="G68" s="47" t="n">
        <f aca="false">F68*$H$6</f>
        <v>0.107657079778279</v>
      </c>
      <c r="H68" s="48" t="n">
        <f aca="false">$H$7*G68</f>
        <v>0.819444444444445</v>
      </c>
      <c r="I68" s="49" t="n">
        <f aca="false">0.5*c_rho*'P3 Energie'!F8*'P3 Energie'!F7*(H68-c_Vv)^2+'P3 Energie'!F13+'P3 Energie'!F15+'P3 Energie'!F6*$H$7</f>
        <v>19038.5343307132</v>
      </c>
      <c r="J68" s="50" t="n">
        <f aca="false">I68*H68</f>
        <v>15601.0211876678</v>
      </c>
    </row>
    <row r="69" customFormat="false" ht="15" hidden="false" customHeight="false" outlineLevel="0" collapsed="false">
      <c r="A69" s="46" t="n">
        <v>60</v>
      </c>
      <c r="B69" s="47" t="n">
        <f aca="false">A69*$C$6</f>
        <v>0.109798793348745</v>
      </c>
      <c r="C69" s="48" t="n">
        <f aca="false">$C$7*B69</f>
        <v>0.833333333333333</v>
      </c>
      <c r="D69" s="49" t="n">
        <f aca="false">0.5*c_rho*'P3 Energie'!E8*'P3 Energie'!E7*(C69-c_Vv)^2+'P3 Energie'!E13+'P3 Energie'!E15+'P3 Energie'!E6*$C$7</f>
        <v>18180.3868898602</v>
      </c>
      <c r="E69" s="50" t="n">
        <f aca="false">D69*C69</f>
        <v>15150.3224082168</v>
      </c>
      <c r="F69" s="46" t="n">
        <v>60</v>
      </c>
      <c r="G69" s="47" t="n">
        <f aca="false">F69*$H$6</f>
        <v>0.109481776045707</v>
      </c>
      <c r="H69" s="48" t="n">
        <f aca="false">$H$7*G69</f>
        <v>0.833333333333333</v>
      </c>
      <c r="I69" s="49" t="n">
        <f aca="false">0.5*c_rho*'P3 Energie'!F8*'P3 Energie'!F7*(H69-c_Vv)^2+'P3 Energie'!F13+'P3 Energie'!F15+'P3 Energie'!F6*$H$7</f>
        <v>19038.5422971296</v>
      </c>
      <c r="J69" s="50" t="n">
        <f aca="false">I69*H69</f>
        <v>15865.4519142747</v>
      </c>
    </row>
    <row r="70" customFormat="false" ht="15" hidden="false" customHeight="false" outlineLevel="0" collapsed="false">
      <c r="A70" s="46" t="n">
        <v>61</v>
      </c>
      <c r="B70" s="47" t="n">
        <f aca="false">A70*$C$6</f>
        <v>0.111628773237891</v>
      </c>
      <c r="C70" s="48" t="n">
        <f aca="false">$C$7*B70</f>
        <v>0.847222222222222</v>
      </c>
      <c r="D70" s="49" t="n">
        <f aca="false">0.5*c_rho*'P3 Energie'!E8*'P3 Energie'!E7*(C70-c_Vv)^2+'P3 Energie'!E13+'P3 Energie'!E15+'P3 Energie'!E6*$C$7</f>
        <v>18180.3962131794</v>
      </c>
      <c r="E70" s="50" t="n">
        <f aca="false">D70*C70</f>
        <v>15402.8356806103</v>
      </c>
      <c r="F70" s="46" t="n">
        <v>61</v>
      </c>
      <c r="G70" s="47" t="n">
        <f aca="false">F70*$H$6</f>
        <v>0.111306472313136</v>
      </c>
      <c r="H70" s="48" t="n">
        <f aca="false">$H$7*G70</f>
        <v>0.847222222222222</v>
      </c>
      <c r="I70" s="49" t="n">
        <f aca="false">0.5*c_rho*'P3 Energie'!F8*'P3 Energie'!F7*(H70-c_Vv)^2+'P3 Energie'!F13+'P3 Energie'!F15+'P3 Energie'!F6*$H$7</f>
        <v>19038.5503974354</v>
      </c>
      <c r="J70" s="50" t="n">
        <f aca="false">I70*H70</f>
        <v>16129.882975605</v>
      </c>
    </row>
    <row r="71" customFormat="false" ht="15" hidden="false" customHeight="false" outlineLevel="0" collapsed="false">
      <c r="A71" s="46" t="n">
        <v>62</v>
      </c>
      <c r="B71" s="47" t="n">
        <f aca="false">A71*$C$6</f>
        <v>0.113458753127036</v>
      </c>
      <c r="C71" s="48" t="n">
        <f aca="false">$C$7*B71</f>
        <v>0.861111111111111</v>
      </c>
      <c r="D71" s="49" t="n">
        <f aca="false">0.5*c_rho*'P3 Energie'!E8*'P3 Energie'!E7*(C71-c_Vv)^2+'P3 Energie'!E13+'P3 Energie'!E15+'P3 Energie'!E6*$C$7</f>
        <v>18180.405690603</v>
      </c>
      <c r="E71" s="50" t="n">
        <f aca="false">D71*C71</f>
        <v>15655.3493446859</v>
      </c>
      <c r="F71" s="46" t="n">
        <v>62</v>
      </c>
      <c r="G71" s="47" t="n">
        <f aca="false">F71*$H$6</f>
        <v>0.113131168580564</v>
      </c>
      <c r="H71" s="48" t="n">
        <f aca="false">$H$7*G71</f>
        <v>0.861111111111111</v>
      </c>
      <c r="I71" s="49" t="n">
        <f aca="false">0.5*c_rho*'P3 Energie'!F8*'P3 Energie'!F7*(H71-c_Vv)^2+'P3 Energie'!F13+'P3 Energie'!F15+'P3 Energie'!F6*$H$7</f>
        <v>19038.5586316306</v>
      </c>
      <c r="J71" s="50" t="n">
        <f aca="false">I71*H71</f>
        <v>16394.3143772374</v>
      </c>
    </row>
    <row r="72" customFormat="false" ht="15" hidden="false" customHeight="false" outlineLevel="0" collapsed="false">
      <c r="A72" s="46" t="n">
        <v>63</v>
      </c>
      <c r="B72" s="47" t="n">
        <f aca="false">A72*$C$6</f>
        <v>0.115288733016182</v>
      </c>
      <c r="C72" s="48" t="n">
        <f aca="false">$C$7*B72</f>
        <v>0.875</v>
      </c>
      <c r="D72" s="49" t="n">
        <f aca="false">0.5*c_rho*'P3 Energie'!E8*'P3 Energie'!E7*(C72-c_Vv)^2+'P3 Energie'!E13+'P3 Energie'!E15+'P3 Energie'!E6*$C$7</f>
        <v>18180.415322131</v>
      </c>
      <c r="E72" s="50" t="n">
        <f aca="false">D72*C72</f>
        <v>15907.8634068647</v>
      </c>
      <c r="F72" s="46" t="n">
        <v>63</v>
      </c>
      <c r="G72" s="47" t="n">
        <f aca="false">F72*$H$6</f>
        <v>0.114955864847993</v>
      </c>
      <c r="H72" s="48" t="n">
        <f aca="false">$H$7*G72</f>
        <v>0.875</v>
      </c>
      <c r="I72" s="49" t="n">
        <f aca="false">0.5*c_rho*'P3 Energie'!F8*'P3 Energie'!F7*(H72-c_Vv)^2+'P3 Energie'!F13+'P3 Energie'!F15+'P3 Energie'!F6*$H$7</f>
        <v>19038.566999715</v>
      </c>
      <c r="J72" s="50" t="n">
        <f aca="false">I72*H72</f>
        <v>16658.7461247507</v>
      </c>
    </row>
    <row r="73" customFormat="false" ht="15" hidden="false" customHeight="false" outlineLevel="0" collapsed="false">
      <c r="A73" s="46" t="n">
        <v>64</v>
      </c>
      <c r="B73" s="47" t="n">
        <f aca="false">A73*$C$6</f>
        <v>0.117118712905328</v>
      </c>
      <c r="C73" s="48" t="n">
        <f aca="false">$C$7*B73</f>
        <v>0.888888888888889</v>
      </c>
      <c r="D73" s="49" t="n">
        <f aca="false">0.5*c_rho*'P3 Energie'!E8*'P3 Energie'!E7*(C73-c_Vv)^2+'P3 Energie'!E13+'P3 Energie'!E15+'P3 Energie'!E6*$C$7</f>
        <v>18180.4251077636</v>
      </c>
      <c r="E73" s="50" t="n">
        <f aca="false">D73*C73</f>
        <v>16160.3778735676</v>
      </c>
      <c r="F73" s="46" t="n">
        <v>64</v>
      </c>
      <c r="G73" s="47" t="n">
        <f aca="false">F73*$H$6</f>
        <v>0.116780561115421</v>
      </c>
      <c r="H73" s="48" t="n">
        <f aca="false">$H$7*G73</f>
        <v>0.888888888888889</v>
      </c>
      <c r="I73" s="49" t="n">
        <f aca="false">0.5*c_rho*'P3 Energie'!F8*'P3 Energie'!F7*(H73-c_Vv)^2+'P3 Energie'!F13+'P3 Energie'!F15+'P3 Energie'!F6*$H$7</f>
        <v>19038.5755016889</v>
      </c>
      <c r="J73" s="50" t="n">
        <f aca="false">I73*H73</f>
        <v>16923.1782237235</v>
      </c>
    </row>
    <row r="74" customFormat="false" ht="15" hidden="false" customHeight="false" outlineLevel="0" collapsed="false">
      <c r="A74" s="46" t="n">
        <v>65</v>
      </c>
      <c r="B74" s="47" t="n">
        <f aca="false">A74*$C$6</f>
        <v>0.118948692794474</v>
      </c>
      <c r="C74" s="48" t="n">
        <f aca="false">$C$7*B74</f>
        <v>0.902777777777778</v>
      </c>
      <c r="D74" s="49" t="n">
        <f aca="false">0.5*c_rho*'P3 Energie'!E8*'P3 Energie'!E7*(C74-c_Vv)^2+'P3 Energie'!E13+'P3 Energie'!E15+'P3 Energie'!E6*$C$7</f>
        <v>18180.4350475005</v>
      </c>
      <c r="E74" s="50" t="n">
        <f aca="false">D74*C74</f>
        <v>16412.8927512158</v>
      </c>
      <c r="F74" s="46" t="n">
        <v>65</v>
      </c>
      <c r="G74" s="47" t="n">
        <f aca="false">F74*$H$6</f>
        <v>0.118605257382849</v>
      </c>
      <c r="H74" s="48" t="n">
        <f aca="false">$H$7*G74</f>
        <v>0.902777777777778</v>
      </c>
      <c r="I74" s="49" t="n">
        <f aca="false">0.5*c_rho*'P3 Energie'!F8*'P3 Energie'!F7*(H74-c_Vv)^2+'P3 Energie'!F13+'P3 Energie'!F15+'P3 Energie'!F6*$H$7</f>
        <v>19038.5841375521</v>
      </c>
      <c r="J74" s="50" t="n">
        <f aca="false">I74*H74</f>
        <v>17187.6106797345</v>
      </c>
    </row>
    <row r="75" customFormat="false" ht="15" hidden="false" customHeight="false" outlineLevel="0" collapsed="false">
      <c r="A75" s="46" t="n">
        <v>66</v>
      </c>
      <c r="B75" s="47" t="n">
        <f aca="false">A75*$C$6</f>
        <v>0.120778672683619</v>
      </c>
      <c r="C75" s="48" t="n">
        <f aca="false">$C$7*B75</f>
        <v>0.916666666666667</v>
      </c>
      <c r="D75" s="49" t="n">
        <f aca="false">0.5*c_rho*'P3 Energie'!E8*'P3 Energie'!E7*(C75-c_Vv)^2+'P3 Energie'!E13+'P3 Energie'!E15+'P3 Energie'!E6*$C$7</f>
        <v>18180.4451413419</v>
      </c>
      <c r="E75" s="50" t="n">
        <f aca="false">D75*C75</f>
        <v>16665.4080462301</v>
      </c>
      <c r="F75" s="46" t="n">
        <v>66</v>
      </c>
      <c r="G75" s="47" t="n">
        <f aca="false">F75*$H$6</f>
        <v>0.120429953650278</v>
      </c>
      <c r="H75" s="48" t="n">
        <f aca="false">$H$7*G75</f>
        <v>0.916666666666667</v>
      </c>
      <c r="I75" s="49" t="n">
        <f aca="false">0.5*c_rho*'P3 Energie'!F8*'P3 Energie'!F7*(H75-c_Vv)^2+'P3 Energie'!F13+'P3 Energie'!F15+'P3 Energie'!F6*$H$7</f>
        <v>19038.5929073046</v>
      </c>
      <c r="J75" s="50" t="n">
        <f aca="false">I75*H75</f>
        <v>17452.0434983626</v>
      </c>
    </row>
    <row r="76" customFormat="false" ht="15" hidden="false" customHeight="false" outlineLevel="0" collapsed="false">
      <c r="A76" s="46" t="n">
        <v>67</v>
      </c>
      <c r="B76" s="47" t="n">
        <f aca="false">A76*$C$6</f>
        <v>0.122608652572765</v>
      </c>
      <c r="C76" s="48" t="n">
        <f aca="false">$C$7*B76</f>
        <v>0.930555555555556</v>
      </c>
      <c r="D76" s="49" t="n">
        <f aca="false">0.5*c_rho*'P3 Energie'!E8*'P3 Energie'!E7*(C76-c_Vv)^2+'P3 Energie'!E13+'P3 Energie'!E15+'P3 Energie'!E6*$C$7</f>
        <v>18180.4553892878</v>
      </c>
      <c r="E76" s="50" t="n">
        <f aca="false">D76*C76</f>
        <v>16917.9237650317</v>
      </c>
      <c r="F76" s="46" t="n">
        <v>67</v>
      </c>
      <c r="G76" s="47" t="n">
        <f aca="false">F76*$H$6</f>
        <v>0.122254649917706</v>
      </c>
      <c r="H76" s="48" t="n">
        <f aca="false">$H$7*G76</f>
        <v>0.930555555555556</v>
      </c>
      <c r="I76" s="49" t="n">
        <f aca="false">0.5*c_rho*'P3 Energie'!F8*'P3 Energie'!F7*(H76-c_Vv)^2+'P3 Energie'!F13+'P3 Energie'!F15+'P3 Energie'!F6*$H$7</f>
        <v>19038.6018109465</v>
      </c>
      <c r="J76" s="50" t="n">
        <f aca="false">I76*H76</f>
        <v>17716.4766851864</v>
      </c>
    </row>
    <row r="77" customFormat="false" ht="15" hidden="false" customHeight="false" outlineLevel="0" collapsed="false">
      <c r="A77" s="46" t="n">
        <v>68</v>
      </c>
      <c r="B77" s="47" t="n">
        <f aca="false">A77*$C$6</f>
        <v>0.124438632461911</v>
      </c>
      <c r="C77" s="48" t="n">
        <f aca="false">$C$7*B77</f>
        <v>0.944444444444444</v>
      </c>
      <c r="D77" s="49" t="n">
        <f aca="false">0.5*c_rho*'P3 Energie'!E8*'P3 Energie'!E7*(C77-c_Vv)^2+'P3 Energie'!E13+'P3 Energie'!E15+'P3 Energie'!E6*$C$7</f>
        <v>18180.4657913381</v>
      </c>
      <c r="E77" s="50" t="n">
        <f aca="false">D77*C77</f>
        <v>17170.4399140416</v>
      </c>
      <c r="F77" s="46" t="n">
        <v>68</v>
      </c>
      <c r="G77" s="47" t="n">
        <f aca="false">F77*$H$6</f>
        <v>0.124079346185135</v>
      </c>
      <c r="H77" s="48" t="n">
        <f aca="false">$H$7*G77</f>
        <v>0.944444444444445</v>
      </c>
      <c r="I77" s="49" t="n">
        <f aca="false">0.5*c_rho*'P3 Energie'!F8*'P3 Energie'!F7*(H77-c_Vv)^2+'P3 Energie'!F13+'P3 Energie'!F15+'P3 Energie'!F6*$H$7</f>
        <v>19038.6108484778</v>
      </c>
      <c r="J77" s="50" t="n">
        <f aca="false">I77*H77</f>
        <v>17980.9102457846</v>
      </c>
    </row>
    <row r="78" customFormat="false" ht="15" hidden="false" customHeight="false" outlineLevel="0" collapsed="false">
      <c r="A78" s="46" t="n">
        <v>69</v>
      </c>
      <c r="B78" s="47" t="n">
        <f aca="false">A78*$C$6</f>
        <v>0.126268612351057</v>
      </c>
      <c r="C78" s="48" t="n">
        <f aca="false">$C$7*B78</f>
        <v>0.958333333333333</v>
      </c>
      <c r="D78" s="49" t="n">
        <f aca="false">0.5*c_rho*'P3 Energie'!E8*'P3 Energie'!E7*(C78-c_Vv)^2+'P3 Energie'!E13+'P3 Energie'!E15+'P3 Energie'!E6*$C$7</f>
        <v>18180.4763474929</v>
      </c>
      <c r="E78" s="50" t="n">
        <f aca="false">D78*C78</f>
        <v>17422.9564996807</v>
      </c>
      <c r="F78" s="46" t="n">
        <v>69</v>
      </c>
      <c r="G78" s="47" t="n">
        <f aca="false">F78*$H$6</f>
        <v>0.125904042452563</v>
      </c>
      <c r="H78" s="48" t="n">
        <f aca="false">$H$7*G78</f>
        <v>0.958333333333333</v>
      </c>
      <c r="I78" s="49" t="n">
        <f aca="false">0.5*c_rho*'P3 Energie'!F8*'P3 Energie'!F7*(H78-c_Vv)^2+'P3 Energie'!F13+'P3 Energie'!F15+'P3 Energie'!F6*$H$7</f>
        <v>19038.6200198984</v>
      </c>
      <c r="J78" s="50" t="n">
        <f aca="false">I78*H78</f>
        <v>18245.3441857359</v>
      </c>
    </row>
    <row r="79" customFormat="false" ht="15" hidden="false" customHeight="false" outlineLevel="0" collapsed="false">
      <c r="A79" s="46" t="n">
        <v>70</v>
      </c>
      <c r="B79" s="47" t="n">
        <f aca="false">A79*$C$6</f>
        <v>0.128098592240202</v>
      </c>
      <c r="C79" s="48" t="n">
        <f aca="false">$C$7*B79</f>
        <v>0.972222222222222</v>
      </c>
      <c r="D79" s="49" t="n">
        <f aca="false">0.5*c_rho*'P3 Energie'!E8*'P3 Energie'!E7*(C79-c_Vv)^2+'P3 Energie'!E13+'P3 Energie'!E15+'P3 Energie'!E6*$C$7</f>
        <v>18180.4870577521</v>
      </c>
      <c r="E79" s="50" t="n">
        <f aca="false">D79*C79</f>
        <v>17675.4735283701</v>
      </c>
      <c r="F79" s="46" t="n">
        <v>70</v>
      </c>
      <c r="G79" s="47" t="n">
        <f aca="false">F79*$H$6</f>
        <v>0.127728738719992</v>
      </c>
      <c r="H79" s="48" t="n">
        <f aca="false">$H$7*G79</f>
        <v>0.972222222222222</v>
      </c>
      <c r="I79" s="49" t="n">
        <f aca="false">0.5*c_rho*'P3 Energie'!F8*'P3 Energie'!F7*(H79-c_Vv)^2+'P3 Energie'!F13+'P3 Energie'!F15+'P3 Energie'!F6*$H$7</f>
        <v>19038.6293252083</v>
      </c>
      <c r="J79" s="50" t="n">
        <f aca="false">I79*H79</f>
        <v>18509.7785106192</v>
      </c>
    </row>
    <row r="80" customFormat="false" ht="15" hidden="false" customHeight="false" outlineLevel="0" collapsed="false">
      <c r="A80" s="46" t="n">
        <v>71</v>
      </c>
      <c r="B80" s="47" t="n">
        <f aca="false">A80*$C$6</f>
        <v>0.129928572129348</v>
      </c>
      <c r="C80" s="48" t="n">
        <f aca="false">$C$7*B80</f>
        <v>0.986111111111111</v>
      </c>
      <c r="D80" s="49" t="n">
        <f aca="false">0.5*c_rho*'P3 Energie'!E8*'P3 Energie'!E7*(C80-c_Vv)^2+'P3 Energie'!E13+'P3 Energie'!E15+'P3 Energie'!E6*$C$7</f>
        <v>18180.4979221158</v>
      </c>
      <c r="E80" s="50" t="n">
        <f aca="false">D80*C80</f>
        <v>17927.9910065308</v>
      </c>
      <c r="F80" s="46" t="n">
        <v>71</v>
      </c>
      <c r="G80" s="47" t="n">
        <f aca="false">F80*$H$6</f>
        <v>0.12955343498742</v>
      </c>
      <c r="H80" s="48" t="n">
        <f aca="false">$H$7*G80</f>
        <v>0.986111111111111</v>
      </c>
      <c r="I80" s="49" t="n">
        <f aca="false">0.5*c_rho*'P3 Energie'!F8*'P3 Energie'!F7*(H80-c_Vv)^2+'P3 Energie'!F13+'P3 Energie'!F15+'P3 Energie'!F6*$H$7</f>
        <v>19038.6387644076</v>
      </c>
      <c r="J80" s="50" t="n">
        <f aca="false">I80*H80</f>
        <v>18774.2132260131</v>
      </c>
    </row>
    <row r="81" customFormat="false" ht="15" hidden="false" customHeight="false" outlineLevel="0" collapsed="false">
      <c r="A81" s="46" t="n">
        <v>72</v>
      </c>
      <c r="B81" s="47" t="n">
        <f aca="false">A81*$C$6</f>
        <v>0.131758552018494</v>
      </c>
      <c r="C81" s="48" t="n">
        <f aca="false">$C$7*B81</f>
        <v>1</v>
      </c>
      <c r="D81" s="49" t="n">
        <f aca="false">0.5*c_rho*'P3 Energie'!E8*'P3 Energie'!E7*(C81-c_Vv)^2+'P3 Energie'!E13+'P3 Energie'!E15+'P3 Energie'!E6*$C$7</f>
        <v>18180.5089405839</v>
      </c>
      <c r="E81" s="50" t="n">
        <f aca="false">D81*C81</f>
        <v>18180.5089405839</v>
      </c>
      <c r="F81" s="46" t="n">
        <v>72</v>
      </c>
      <c r="G81" s="47" t="n">
        <f aca="false">F81*$H$6</f>
        <v>0.131378131254849</v>
      </c>
      <c r="H81" s="48" t="n">
        <f aca="false">$H$7*G81</f>
        <v>1</v>
      </c>
      <c r="I81" s="49" t="n">
        <f aca="false">0.5*c_rho*'P3 Energie'!F8*'P3 Energie'!F7*(H81-c_Vv)^2+'P3 Energie'!F13+'P3 Energie'!F15+'P3 Energie'!F6*$H$7</f>
        <v>19038.6483374963</v>
      </c>
      <c r="J81" s="50" t="n">
        <f aca="false">I81*H81</f>
        <v>19038.6483374963</v>
      </c>
    </row>
    <row r="82" customFormat="false" ht="15" hidden="false" customHeight="false" outlineLevel="0" collapsed="false">
      <c r="A82" s="46" t="n">
        <v>73</v>
      </c>
      <c r="B82" s="47" t="n">
        <f aca="false">A82*$C$6</f>
        <v>0.13358853190764</v>
      </c>
      <c r="C82" s="48" t="n">
        <f aca="false">$C$7*B82</f>
        <v>1.01388888888889</v>
      </c>
      <c r="D82" s="49" t="n">
        <f aca="false">0.5*c_rho*'P3 Energie'!E8*'P3 Energie'!E7*(C82-c_Vv)^2+'P3 Energie'!E13+'P3 Energie'!E15+'P3 Energie'!E6*$C$7</f>
        <v>18180.5201131564</v>
      </c>
      <c r="E82" s="50" t="n">
        <f aca="false">D82*C82</f>
        <v>18433.0273369503</v>
      </c>
      <c r="F82" s="46" t="n">
        <v>73</v>
      </c>
      <c r="G82" s="47" t="n">
        <f aca="false">F82*$H$6</f>
        <v>0.133202827522277</v>
      </c>
      <c r="H82" s="48" t="n">
        <f aca="false">$H$7*G82</f>
        <v>1.01388888888889</v>
      </c>
      <c r="I82" s="49" t="n">
        <f aca="false">0.5*c_rho*'P3 Energie'!F8*'P3 Energie'!F7*(H82-c_Vv)^2+'P3 Energie'!F13+'P3 Energie'!F15+'P3 Energie'!F6*$H$7</f>
        <v>19038.6580444743</v>
      </c>
      <c r="J82" s="50" t="n">
        <f aca="false">I82*H82</f>
        <v>19303.0838506476</v>
      </c>
    </row>
    <row r="83" customFormat="false" ht="15" hidden="false" customHeight="false" outlineLevel="0" collapsed="false">
      <c r="A83" s="46" t="n">
        <v>74</v>
      </c>
      <c r="B83" s="47" t="n">
        <f aca="false">A83*$C$6</f>
        <v>0.135418511796785</v>
      </c>
      <c r="C83" s="48" t="n">
        <f aca="false">$C$7*B83</f>
        <v>1.02777777777778</v>
      </c>
      <c r="D83" s="49" t="n">
        <f aca="false">0.5*c_rho*'P3 Energie'!E8*'P3 Energie'!E7*(C83-c_Vv)^2+'P3 Energie'!E13+'P3 Energie'!E15+'P3 Energie'!E6*$C$7</f>
        <v>18180.5314398334</v>
      </c>
      <c r="E83" s="50" t="n">
        <f aca="false">D83*C83</f>
        <v>18685.546202051</v>
      </c>
      <c r="F83" s="46" t="n">
        <v>74</v>
      </c>
      <c r="G83" s="47" t="n">
        <f aca="false">F83*$H$6</f>
        <v>0.135027523789706</v>
      </c>
      <c r="H83" s="48" t="n">
        <f aca="false">$H$7*G83</f>
        <v>1.02777777777778</v>
      </c>
      <c r="I83" s="49" t="n">
        <f aca="false">0.5*c_rho*'P3 Energie'!F8*'P3 Energie'!F7*(H83-c_Vv)^2+'P3 Energie'!F13+'P3 Energie'!F15+'P3 Energie'!F6*$H$7</f>
        <v>19038.6678853417</v>
      </c>
      <c r="J83" s="50" t="n">
        <f aca="false">I83*H83</f>
        <v>19567.5197710456</v>
      </c>
    </row>
    <row r="84" customFormat="false" ht="15" hidden="false" customHeight="false" outlineLevel="0" collapsed="false">
      <c r="A84" s="46" t="n">
        <v>75</v>
      </c>
      <c r="B84" s="47" t="n">
        <f aca="false">A84*$C$6</f>
        <v>0.137248491685931</v>
      </c>
      <c r="C84" s="48" t="n">
        <f aca="false">$C$7*B84</f>
        <v>1.04166666666667</v>
      </c>
      <c r="D84" s="49" t="n">
        <f aca="false">0.5*c_rho*'P3 Energie'!E8*'P3 Energie'!E7*(C84-c_Vv)^2+'P3 Energie'!E13+'P3 Energie'!E15+'P3 Energie'!E6*$C$7</f>
        <v>18180.5429206149</v>
      </c>
      <c r="E84" s="50" t="n">
        <f aca="false">D84*C84</f>
        <v>18938.0655423072</v>
      </c>
      <c r="F84" s="46" t="n">
        <v>75</v>
      </c>
      <c r="G84" s="47" t="n">
        <f aca="false">F84*$H$6</f>
        <v>0.136852220057134</v>
      </c>
      <c r="H84" s="48" t="n">
        <f aca="false">$H$7*G84</f>
        <v>1.04166666666667</v>
      </c>
      <c r="I84" s="49" t="n">
        <f aca="false">0.5*c_rho*'P3 Energie'!F8*'P3 Energie'!F7*(H84-c_Vv)^2+'P3 Energie'!F13+'P3 Energie'!F15+'P3 Energie'!F6*$H$7</f>
        <v>19038.6778600984</v>
      </c>
      <c r="J84" s="50" t="n">
        <f aca="false">I84*H84</f>
        <v>19831.9561042692</v>
      </c>
    </row>
    <row r="85" customFormat="false" ht="15" hidden="false" customHeight="false" outlineLevel="0" collapsed="false">
      <c r="A85" s="46" t="n">
        <v>76</v>
      </c>
      <c r="B85" s="47" t="n">
        <f aca="false">A85*$C$6</f>
        <v>0.139078471575077</v>
      </c>
      <c r="C85" s="48" t="n">
        <f aca="false">$C$7*B85</f>
        <v>1.05555555555556</v>
      </c>
      <c r="D85" s="49" t="n">
        <f aca="false">0.5*c_rho*'P3 Energie'!E8*'P3 Energie'!E7*(C85-c_Vv)^2+'P3 Energie'!E13+'P3 Energie'!E15+'P3 Energie'!E6*$C$7</f>
        <v>18180.5545555008</v>
      </c>
      <c r="E85" s="50" t="n">
        <f aca="false">D85*C85</f>
        <v>19190.5853641397</v>
      </c>
      <c r="F85" s="46" t="n">
        <v>76</v>
      </c>
      <c r="G85" s="47" t="n">
        <f aca="false">F85*$H$6</f>
        <v>0.138676916324562</v>
      </c>
      <c r="H85" s="48" t="n">
        <f aca="false">$H$7*G85</f>
        <v>1.05555555555556</v>
      </c>
      <c r="I85" s="49" t="n">
        <f aca="false">0.5*c_rho*'P3 Energie'!F8*'P3 Energie'!F7*(H85-c_Vv)^2+'P3 Energie'!F13+'P3 Energie'!F15+'P3 Energie'!F6*$H$7</f>
        <v>19038.6879687444</v>
      </c>
      <c r="J85" s="50" t="n">
        <f aca="false">I85*H85</f>
        <v>20096.3928558969</v>
      </c>
    </row>
    <row r="86" customFormat="false" ht="15" hidden="false" customHeight="false" outlineLevel="0" collapsed="false">
      <c r="A86" s="46" t="n">
        <v>77</v>
      </c>
      <c r="B86" s="47" t="n">
        <f aca="false">A86*$C$6</f>
        <v>0.140908451464223</v>
      </c>
      <c r="C86" s="48" t="n">
        <f aca="false">$C$7*B86</f>
        <v>1.06944444444444</v>
      </c>
      <c r="D86" s="49" t="n">
        <f aca="false">0.5*c_rho*'P3 Energie'!E8*'P3 Energie'!E7*(C86-c_Vv)^2+'P3 Energie'!E13+'P3 Energie'!E15+'P3 Energie'!E6*$C$7</f>
        <v>18180.5663444911</v>
      </c>
      <c r="E86" s="50" t="n">
        <f aca="false">D86*C86</f>
        <v>19443.1056739697</v>
      </c>
      <c r="F86" s="46" t="n">
        <v>77</v>
      </c>
      <c r="G86" s="47" t="n">
        <f aca="false">F86*$H$6</f>
        <v>0.140501612591991</v>
      </c>
      <c r="H86" s="48" t="n">
        <f aca="false">$H$7*G86</f>
        <v>1.06944444444444</v>
      </c>
      <c r="I86" s="49" t="n">
        <f aca="false">0.5*c_rho*'P3 Energie'!F8*'P3 Energie'!F7*(H86-c_Vv)^2+'P3 Energie'!F13+'P3 Energie'!F15+'P3 Energie'!F6*$H$7</f>
        <v>19038.6982112799</v>
      </c>
      <c r="J86" s="50" t="n">
        <f aca="false">I86*H86</f>
        <v>20360.8300315076</v>
      </c>
    </row>
    <row r="87" customFormat="false" ht="15" hidden="false" customHeight="false" outlineLevel="0" collapsed="false">
      <c r="A87" s="46" t="n">
        <v>78</v>
      </c>
      <c r="B87" s="47" t="n">
        <f aca="false">A87*$C$6</f>
        <v>0.142738431353368</v>
      </c>
      <c r="C87" s="48" t="n">
        <f aca="false">$C$7*B87</f>
        <v>1.08333333333333</v>
      </c>
      <c r="D87" s="49" t="n">
        <f aca="false">0.5*c_rho*'P3 Energie'!E8*'P3 Energie'!E7*(C87-c_Vv)^2+'P3 Energie'!E13+'P3 Energie'!E15+'P3 Energie'!E6*$C$7</f>
        <v>18180.5782875859</v>
      </c>
      <c r="E87" s="50" t="n">
        <f aca="false">D87*C87</f>
        <v>19695.6264782181</v>
      </c>
      <c r="F87" s="46" t="n">
        <v>78</v>
      </c>
      <c r="G87" s="47" t="n">
        <f aca="false">F87*$H$6</f>
        <v>0.142326308859419</v>
      </c>
      <c r="H87" s="48" t="n">
        <f aca="false">$H$7*G87</f>
        <v>1.08333333333333</v>
      </c>
      <c r="I87" s="49" t="n">
        <f aca="false">0.5*c_rho*'P3 Energie'!F8*'P3 Energie'!F7*(H87-c_Vv)^2+'P3 Energie'!F13+'P3 Energie'!F15+'P3 Energie'!F6*$H$7</f>
        <v>19038.7085877046</v>
      </c>
      <c r="J87" s="50" t="n">
        <f aca="false">I87*H87</f>
        <v>20625.26763668</v>
      </c>
    </row>
    <row r="88" customFormat="false" ht="15" hidden="false" customHeight="false" outlineLevel="0" collapsed="false">
      <c r="A88" s="46" t="n">
        <v>79</v>
      </c>
      <c r="B88" s="47" t="n">
        <f aca="false">A88*$C$6</f>
        <v>0.144568411242514</v>
      </c>
      <c r="C88" s="48" t="n">
        <f aca="false">$C$7*B88</f>
        <v>1.09722222222222</v>
      </c>
      <c r="D88" s="49" t="n">
        <f aca="false">0.5*c_rho*'P3 Energie'!E8*'P3 Energie'!E7*(C88-c_Vv)^2+'P3 Energie'!E13+'P3 Energie'!E15+'P3 Energie'!E6*$C$7</f>
        <v>18180.5903847852</v>
      </c>
      <c r="E88" s="50" t="n">
        <f aca="false">D88*C88</f>
        <v>19948.147783306</v>
      </c>
      <c r="F88" s="46" t="n">
        <v>79</v>
      </c>
      <c r="G88" s="47" t="n">
        <f aca="false">F88*$H$6</f>
        <v>0.144151005126848</v>
      </c>
      <c r="H88" s="48" t="n">
        <f aca="false">$H$7*G88</f>
        <v>1.09722222222222</v>
      </c>
      <c r="I88" s="49" t="n">
        <f aca="false">0.5*c_rho*'P3 Energie'!F8*'P3 Energie'!F7*(H88-c_Vv)^2+'P3 Energie'!F13+'P3 Energie'!F15+'P3 Energie'!F6*$H$7</f>
        <v>19038.7190980188</v>
      </c>
      <c r="J88" s="50" t="n">
        <f aca="false">I88*H88</f>
        <v>20889.7056769928</v>
      </c>
    </row>
    <row r="89" customFormat="false" ht="15" hidden="false" customHeight="false" outlineLevel="0" collapsed="false">
      <c r="A89" s="46" t="n">
        <v>80</v>
      </c>
      <c r="B89" s="47" t="n">
        <f aca="false">A89*$C$6</f>
        <v>0.14639839113166</v>
      </c>
      <c r="C89" s="48" t="n">
        <f aca="false">$C$7*B89</f>
        <v>1.11111111111111</v>
      </c>
      <c r="D89" s="49" t="n">
        <f aca="false">0.5*c_rho*'P3 Energie'!E8*'P3 Energie'!E7*(C89-c_Vv)^2+'P3 Energie'!E13+'P3 Energie'!E15+'P3 Energie'!E6*$C$7</f>
        <v>18180.6026360889</v>
      </c>
      <c r="E89" s="50" t="n">
        <f aca="false">D89*C89</f>
        <v>20200.6695956543</v>
      </c>
      <c r="F89" s="46" t="n">
        <v>80</v>
      </c>
      <c r="G89" s="47" t="n">
        <f aca="false">F89*$H$6</f>
        <v>0.145975701394276</v>
      </c>
      <c r="H89" s="48" t="n">
        <f aca="false">$H$7*G89</f>
        <v>1.11111111111111</v>
      </c>
      <c r="I89" s="49" t="n">
        <f aca="false">0.5*c_rho*'P3 Energie'!F8*'P3 Energie'!F7*(H89-c_Vv)^2+'P3 Energie'!F13+'P3 Energie'!F15+'P3 Energie'!F6*$H$7</f>
        <v>19038.7297422222</v>
      </c>
      <c r="J89" s="50" t="n">
        <f aca="false">I89*H89</f>
        <v>21154.1441580247</v>
      </c>
    </row>
    <row r="90" customFormat="false" ht="15" hidden="false" customHeight="false" outlineLevel="0" collapsed="false">
      <c r="A90" s="46" t="n">
        <v>81</v>
      </c>
      <c r="B90" s="47" t="n">
        <f aca="false">A90*$C$6</f>
        <v>0.148228371020806</v>
      </c>
      <c r="C90" s="48" t="n">
        <f aca="false">$C$7*B90</f>
        <v>1.125</v>
      </c>
      <c r="D90" s="49" t="n">
        <f aca="false">0.5*c_rho*'P3 Energie'!E8*'P3 Energie'!E7*(C90-c_Vv)^2+'P3 Energie'!E13+'P3 Energie'!E15+'P3 Energie'!E6*$C$7</f>
        <v>18180.615041497</v>
      </c>
      <c r="E90" s="50" t="n">
        <f aca="false">D90*C90</f>
        <v>20453.1919216842</v>
      </c>
      <c r="F90" s="46" t="n">
        <v>81</v>
      </c>
      <c r="G90" s="47" t="n">
        <f aca="false">F90*$H$6</f>
        <v>0.147800397661705</v>
      </c>
      <c r="H90" s="48" t="n">
        <f aca="false">$H$7*G90</f>
        <v>1.125</v>
      </c>
      <c r="I90" s="49" t="n">
        <f aca="false">0.5*c_rho*'P3 Energie'!F8*'P3 Energie'!F7*(H90-c_Vv)^2+'P3 Energie'!F13+'P3 Energie'!F15+'P3 Energie'!F6*$H$7</f>
        <v>19038.7405203151</v>
      </c>
      <c r="J90" s="50" t="n">
        <f aca="false">I90*H90</f>
        <v>21418.5830853544</v>
      </c>
    </row>
    <row r="91" customFormat="false" ht="15" hidden="false" customHeight="false" outlineLevel="0" collapsed="false">
      <c r="A91" s="46" t="n">
        <v>82</v>
      </c>
      <c r="B91" s="47" t="n">
        <f aca="false">A91*$C$6</f>
        <v>0.150058350909951</v>
      </c>
      <c r="C91" s="48" t="n">
        <f aca="false">$C$7*B91</f>
        <v>1.13888888888889</v>
      </c>
      <c r="D91" s="49" t="n">
        <f aca="false">0.5*c_rho*'P3 Energie'!E8*'P3 Energie'!E7*(C91-c_Vv)^2+'P3 Energie'!E13+'P3 Energie'!E15+'P3 Energie'!E6*$C$7</f>
        <v>18180.6276010096</v>
      </c>
      <c r="E91" s="50" t="n">
        <f aca="false">D91*C91</f>
        <v>20705.7147678165</v>
      </c>
      <c r="F91" s="46" t="n">
        <v>82</v>
      </c>
      <c r="G91" s="47" t="n">
        <f aca="false">F91*$H$6</f>
        <v>0.149625093929133</v>
      </c>
      <c r="H91" s="48" t="n">
        <f aca="false">$H$7*G91</f>
        <v>1.13888888888889</v>
      </c>
      <c r="I91" s="49" t="n">
        <f aca="false">0.5*c_rho*'P3 Energie'!F8*'P3 Energie'!F7*(H91-c_Vv)^2+'P3 Energie'!F13+'P3 Energie'!F15+'P3 Energie'!F6*$H$7</f>
        <v>19038.7514322972</v>
      </c>
      <c r="J91" s="50" t="n">
        <f aca="false">I91*H91</f>
        <v>21683.0224645607</v>
      </c>
    </row>
    <row r="92" customFormat="false" ht="15" hidden="false" customHeight="false" outlineLevel="0" collapsed="false">
      <c r="A92" s="46" t="n">
        <v>83</v>
      </c>
      <c r="B92" s="47" t="n">
        <f aca="false">A92*$C$6</f>
        <v>0.151888330799097</v>
      </c>
      <c r="C92" s="48" t="n">
        <f aca="false">$C$7*B92</f>
        <v>1.15277777777778</v>
      </c>
      <c r="D92" s="49" t="n">
        <f aca="false">0.5*c_rho*'P3 Energie'!E8*'P3 Energie'!E7*(C92-c_Vv)^2+'P3 Energie'!E13+'P3 Energie'!E15+'P3 Energie'!E6*$C$7</f>
        <v>18180.6403146267</v>
      </c>
      <c r="E92" s="50" t="n">
        <f aca="false">D92*C92</f>
        <v>20958.2381404724</v>
      </c>
      <c r="F92" s="46" t="n">
        <v>83</v>
      </c>
      <c r="G92" s="47" t="n">
        <f aca="false">F92*$H$6</f>
        <v>0.151449790196562</v>
      </c>
      <c r="H92" s="48" t="n">
        <f aca="false">$H$7*G92</f>
        <v>1.15277777777778</v>
      </c>
      <c r="I92" s="49" t="n">
        <f aca="false">0.5*c_rho*'P3 Energie'!F8*'P3 Energie'!F7*(H92-c_Vv)^2+'P3 Energie'!F13+'P3 Energie'!F15+'P3 Energie'!F6*$H$7</f>
        <v>19038.7624781688</v>
      </c>
      <c r="J92" s="50" t="n">
        <f aca="false">I92*H92</f>
        <v>21947.4623012223</v>
      </c>
    </row>
    <row r="93" customFormat="false" ht="15" hidden="false" customHeight="false" outlineLevel="0" collapsed="false">
      <c r="A93" s="46" t="n">
        <v>84</v>
      </c>
      <c r="B93" s="47" t="n">
        <f aca="false">A93*$C$6</f>
        <v>0.153718310688243</v>
      </c>
      <c r="C93" s="48" t="n">
        <f aca="false">$C$7*B93</f>
        <v>1.16666666666667</v>
      </c>
      <c r="D93" s="49" t="n">
        <f aca="false">0.5*c_rho*'P3 Energie'!E8*'P3 Energie'!E7*(C93-c_Vv)^2+'P3 Energie'!E13+'P3 Energie'!E15+'P3 Energie'!E6*$C$7</f>
        <v>18180.6531823482</v>
      </c>
      <c r="E93" s="50" t="n">
        <f aca="false">D93*C93</f>
        <v>21210.7620460729</v>
      </c>
      <c r="F93" s="46" t="n">
        <v>84</v>
      </c>
      <c r="G93" s="47" t="n">
        <f aca="false">F93*$H$6</f>
        <v>0.15327448646399</v>
      </c>
      <c r="H93" s="48" t="n">
        <f aca="false">$H$7*G93</f>
        <v>1.16666666666667</v>
      </c>
      <c r="I93" s="49" t="n">
        <f aca="false">0.5*c_rho*'P3 Energie'!F8*'P3 Energie'!F7*(H93-c_Vv)^2+'P3 Energie'!F13+'P3 Energie'!F15+'P3 Energie'!F6*$H$7</f>
        <v>19038.7736579296</v>
      </c>
      <c r="J93" s="50" t="n">
        <f aca="false">I93*H93</f>
        <v>22211.9026009179</v>
      </c>
    </row>
    <row r="94" customFormat="false" ht="15" hidden="false" customHeight="false" outlineLevel="0" collapsed="false">
      <c r="A94" s="46" t="n">
        <v>85</v>
      </c>
      <c r="B94" s="47" t="n">
        <f aca="false">A94*$C$6</f>
        <v>0.155548290577389</v>
      </c>
      <c r="C94" s="48" t="n">
        <f aca="false">$C$7*B94</f>
        <v>1.18055555555556</v>
      </c>
      <c r="D94" s="49" t="n">
        <f aca="false">0.5*c_rho*'P3 Energie'!E8*'P3 Energie'!E7*(C94-c_Vv)^2+'P3 Energie'!E13+'P3 Energie'!E15+'P3 Energie'!E6*$C$7</f>
        <v>18180.6662041741</v>
      </c>
      <c r="E94" s="50" t="n">
        <f aca="false">D94*C94</f>
        <v>21463.2864910389</v>
      </c>
      <c r="F94" s="46" t="n">
        <v>85</v>
      </c>
      <c r="G94" s="47" t="n">
        <f aca="false">F94*$H$6</f>
        <v>0.155099182731419</v>
      </c>
      <c r="H94" s="48" t="n">
        <f aca="false">$H$7*G94</f>
        <v>1.18055555555556</v>
      </c>
      <c r="I94" s="49" t="n">
        <f aca="false">0.5*c_rho*'P3 Energie'!F8*'P3 Energie'!F7*(H94-c_Vv)^2+'P3 Energie'!F13+'P3 Energie'!F15+'P3 Energie'!F6*$H$7</f>
        <v>19038.7849715799</v>
      </c>
      <c r="J94" s="50" t="n">
        <f aca="false">I94*H94</f>
        <v>22476.3433692262</v>
      </c>
    </row>
    <row r="95" customFormat="false" ht="15" hidden="false" customHeight="false" outlineLevel="0" collapsed="false">
      <c r="A95" s="46" t="n">
        <v>86</v>
      </c>
      <c r="B95" s="47" t="n">
        <f aca="false">A95*$C$6</f>
        <v>0.157378270466534</v>
      </c>
      <c r="C95" s="48" t="n">
        <f aca="false">$C$7*B95</f>
        <v>1.19444444444444</v>
      </c>
      <c r="D95" s="49" t="n">
        <f aca="false">0.5*c_rho*'P3 Energie'!E8*'P3 Energie'!E7*(C95-c_Vv)^2+'P3 Energie'!E13+'P3 Energie'!E15+'P3 Energie'!E6*$C$7</f>
        <v>18180.6793801045</v>
      </c>
      <c r="E95" s="50" t="n">
        <f aca="false">D95*C95</f>
        <v>21715.8114817915</v>
      </c>
      <c r="F95" s="46" t="n">
        <v>86</v>
      </c>
      <c r="G95" s="47" t="n">
        <f aca="false">F95*$H$6</f>
        <v>0.156923878998847</v>
      </c>
      <c r="H95" s="48" t="n">
        <f aca="false">$H$7*G95</f>
        <v>1.19444444444444</v>
      </c>
      <c r="I95" s="49" t="n">
        <f aca="false">0.5*c_rho*'P3 Energie'!F8*'P3 Energie'!F7*(H95-c_Vv)^2+'P3 Energie'!F13+'P3 Energie'!F15+'P3 Energie'!F6*$H$7</f>
        <v>19038.7964191194</v>
      </c>
      <c r="J95" s="50" t="n">
        <f aca="false">I95*H95</f>
        <v>22740.784611726</v>
      </c>
    </row>
    <row r="96" customFormat="false" ht="15" hidden="false" customHeight="false" outlineLevel="0" collapsed="false">
      <c r="A96" s="46" t="n">
        <v>87</v>
      </c>
      <c r="B96" s="47" t="n">
        <f aca="false">A96*$C$6</f>
        <v>0.15920825035568</v>
      </c>
      <c r="C96" s="48" t="n">
        <f aca="false">$C$7*B96</f>
        <v>1.20833333333333</v>
      </c>
      <c r="D96" s="49" t="n">
        <f aca="false">0.5*c_rho*'P3 Energie'!E8*'P3 Energie'!E7*(C96-c_Vv)^2+'P3 Energie'!E13+'P3 Energie'!E15+'P3 Energie'!E6*$C$7</f>
        <v>18180.6927101394</v>
      </c>
      <c r="E96" s="50" t="n">
        <f aca="false">D96*C96</f>
        <v>21968.3370247518</v>
      </c>
      <c r="F96" s="46" t="n">
        <v>87</v>
      </c>
      <c r="G96" s="47" t="n">
        <f aca="false">F96*$H$6</f>
        <v>0.158748575266275</v>
      </c>
      <c r="H96" s="48" t="n">
        <f aca="false">$H$7*G96</f>
        <v>1.20833333333333</v>
      </c>
      <c r="I96" s="49" t="n">
        <f aca="false">0.5*c_rho*'P3 Energie'!F8*'P3 Energie'!F7*(H96-c_Vv)^2+'P3 Energie'!F13+'P3 Energie'!F15+'P3 Energie'!F6*$H$7</f>
        <v>19038.8080005484</v>
      </c>
      <c r="J96" s="50" t="n">
        <f aca="false">I96*H96</f>
        <v>23005.226333996</v>
      </c>
    </row>
    <row r="97" customFormat="false" ht="15" hidden="false" customHeight="false" outlineLevel="0" collapsed="false">
      <c r="A97" s="46" t="n">
        <v>88</v>
      </c>
      <c r="B97" s="47" t="n">
        <f aca="false">A97*$C$6</f>
        <v>0.161038230244826</v>
      </c>
      <c r="C97" s="48" t="n">
        <f aca="false">$C$7*B97</f>
        <v>1.22222222222222</v>
      </c>
      <c r="D97" s="49" t="n">
        <f aca="false">0.5*c_rho*'P3 Energie'!E8*'P3 Energie'!E7*(C97-c_Vv)^2+'P3 Energie'!E13+'P3 Energie'!E15+'P3 Energie'!E6*$C$7</f>
        <v>18180.7061942787</v>
      </c>
      <c r="E97" s="50" t="n">
        <f aca="false">D97*C97</f>
        <v>22220.8631263406</v>
      </c>
      <c r="F97" s="46" t="n">
        <v>88</v>
      </c>
      <c r="G97" s="47" t="n">
        <f aca="false">F97*$H$6</f>
        <v>0.160573271533704</v>
      </c>
      <c r="H97" s="48" t="n">
        <f aca="false">$H$7*G97</f>
        <v>1.22222222222222</v>
      </c>
      <c r="I97" s="49" t="n">
        <f aca="false">0.5*c_rho*'P3 Energie'!F8*'P3 Energie'!F7*(H97-c_Vv)^2+'P3 Energie'!F13+'P3 Energie'!F15+'P3 Energie'!F6*$H$7</f>
        <v>19038.8197158667</v>
      </c>
      <c r="J97" s="50" t="n">
        <f aca="false">I97*H97</f>
        <v>23269.6685416148</v>
      </c>
    </row>
    <row r="98" customFormat="false" ht="15" hidden="false" customHeight="false" outlineLevel="0" collapsed="false">
      <c r="A98" s="46" t="n">
        <v>89</v>
      </c>
      <c r="B98" s="47" t="n">
        <f aca="false">A98*$C$6</f>
        <v>0.162868210133972</v>
      </c>
      <c r="C98" s="48" t="n">
        <f aca="false">$C$7*B98</f>
        <v>1.23611111111111</v>
      </c>
      <c r="D98" s="49" t="n">
        <f aca="false">0.5*c_rho*'P3 Energie'!E8*'P3 Energie'!E7*(C98-c_Vv)^2+'P3 Energie'!E13+'P3 Energie'!E15+'P3 Energie'!E6*$C$7</f>
        <v>18180.7198325224</v>
      </c>
      <c r="E98" s="50" t="n">
        <f aca="false">D98*C98</f>
        <v>22473.3897929791</v>
      </c>
      <c r="F98" s="46" t="n">
        <v>89</v>
      </c>
      <c r="G98" s="47" t="n">
        <f aca="false">F98*$H$6</f>
        <v>0.162397967801132</v>
      </c>
      <c r="H98" s="48" t="n">
        <f aca="false">$H$7*G98</f>
        <v>1.23611111111111</v>
      </c>
      <c r="I98" s="49" t="n">
        <f aca="false">0.5*c_rho*'P3 Energie'!F8*'P3 Energie'!F7*(H98-c_Vv)^2+'P3 Energie'!F13+'P3 Energie'!F15+'P3 Energie'!F6*$H$7</f>
        <v>19038.8315650743</v>
      </c>
      <c r="J98" s="50" t="n">
        <f aca="false">I98*H98</f>
        <v>23534.1112401613</v>
      </c>
    </row>
    <row r="99" customFormat="false" ht="15" hidden="false" customHeight="false" outlineLevel="0" collapsed="false">
      <c r="A99" s="46" t="n">
        <v>90</v>
      </c>
      <c r="B99" s="47" t="n">
        <f aca="false">A99*$C$6</f>
        <v>0.164698190023117</v>
      </c>
      <c r="C99" s="48" t="n">
        <f aca="false">$C$7*B99</f>
        <v>1.25</v>
      </c>
      <c r="D99" s="49" t="n">
        <f aca="false">0.5*c_rho*'P3 Energie'!E8*'P3 Energie'!E7*(C99-c_Vv)^2+'P3 Energie'!E13+'P3 Energie'!E15+'P3 Energie'!E6*$C$7</f>
        <v>18180.7336248706</v>
      </c>
      <c r="E99" s="50" t="n">
        <f aca="false">D99*C99</f>
        <v>22725.9170310883</v>
      </c>
      <c r="F99" s="46" t="n">
        <v>90</v>
      </c>
      <c r="G99" s="47" t="n">
        <f aca="false">F99*$H$6</f>
        <v>0.164222664068561</v>
      </c>
      <c r="H99" s="48" t="n">
        <f aca="false">$H$7*G99</f>
        <v>1.25</v>
      </c>
      <c r="I99" s="49" t="n">
        <f aca="false">0.5*c_rho*'P3 Energie'!F8*'P3 Energie'!F7*(H99-c_Vv)^2+'P3 Energie'!F13+'P3 Energie'!F15+'P3 Energie'!F6*$H$7</f>
        <v>19038.8435481713</v>
      </c>
      <c r="J99" s="50" t="n">
        <f aca="false">I99*H99</f>
        <v>23798.5544352141</v>
      </c>
    </row>
    <row r="100" customFormat="false" ht="15" hidden="false" customHeight="false" outlineLevel="0" collapsed="false">
      <c r="A100" s="46" t="n">
        <v>91</v>
      </c>
      <c r="B100" s="47" t="n">
        <f aca="false">A100*$C$6</f>
        <v>0.166528169912263</v>
      </c>
      <c r="C100" s="48" t="n">
        <f aca="false">$C$7*B100</f>
        <v>1.26388888888889</v>
      </c>
      <c r="D100" s="49" t="n">
        <f aca="false">0.5*c_rho*'P3 Energie'!E8*'P3 Energie'!E7*(C100-c_Vv)^2+'P3 Energie'!E13+'P3 Energie'!E15+'P3 Energie'!E6*$C$7</f>
        <v>18180.7475713233</v>
      </c>
      <c r="E100" s="50" t="n">
        <f aca="false">D100*C100</f>
        <v>22978.4448470891</v>
      </c>
      <c r="F100" s="46" t="n">
        <v>91</v>
      </c>
      <c r="G100" s="47" t="n">
        <f aca="false">F100*$H$6</f>
        <v>0.166047360335989</v>
      </c>
      <c r="H100" s="48" t="n">
        <f aca="false">$H$7*G100</f>
        <v>1.26388888888889</v>
      </c>
      <c r="I100" s="49" t="n">
        <f aca="false">0.5*c_rho*'P3 Energie'!F8*'P3 Energie'!F7*(H100-c_Vv)^2+'P3 Energie'!F13+'P3 Energie'!F15+'P3 Energie'!F6*$H$7</f>
        <v>19038.8556651576</v>
      </c>
      <c r="J100" s="50" t="n">
        <f aca="false">I100*H100</f>
        <v>24062.998132352</v>
      </c>
    </row>
    <row r="101" customFormat="false" ht="15" hidden="false" customHeight="false" outlineLevel="0" collapsed="false">
      <c r="A101" s="46" t="n">
        <v>92</v>
      </c>
      <c r="B101" s="47" t="n">
        <f aca="false">A101*$C$6</f>
        <v>0.168358149801409</v>
      </c>
      <c r="C101" s="48" t="n">
        <f aca="false">$C$7*B101</f>
        <v>1.27777777777778</v>
      </c>
      <c r="D101" s="49" t="n">
        <f aca="false">0.5*c_rho*'P3 Energie'!E8*'P3 Energie'!E7*(C101-c_Vv)^2+'P3 Energie'!E13+'P3 Energie'!E15+'P3 Energie'!E6*$C$7</f>
        <v>18180.7616718803</v>
      </c>
      <c r="E101" s="50" t="n">
        <f aca="false">D101*C101</f>
        <v>23230.9732474027</v>
      </c>
      <c r="F101" s="46" t="n">
        <v>92</v>
      </c>
      <c r="G101" s="47" t="n">
        <f aca="false">F101*$H$6</f>
        <v>0.167872056603418</v>
      </c>
      <c r="H101" s="48" t="n">
        <f aca="false">$H$7*G101</f>
        <v>1.27777777777778</v>
      </c>
      <c r="I101" s="49" t="n">
        <f aca="false">0.5*c_rho*'P3 Energie'!F8*'P3 Energie'!F7*(H101-c_Vv)^2+'P3 Energie'!F13+'P3 Energie'!F15+'P3 Energie'!F6*$H$7</f>
        <v>19038.8679160333</v>
      </c>
      <c r="J101" s="50" t="n">
        <f aca="false">I101*H101</f>
        <v>24327.4423371537</v>
      </c>
    </row>
    <row r="102" customFormat="false" ht="15" hidden="false" customHeight="false" outlineLevel="0" collapsed="false">
      <c r="A102" s="46" t="n">
        <v>93</v>
      </c>
      <c r="B102" s="47" t="n">
        <f aca="false">A102*$C$6</f>
        <v>0.170188129690555</v>
      </c>
      <c r="C102" s="48" t="n">
        <f aca="false">$C$7*B102</f>
        <v>1.29166666666667</v>
      </c>
      <c r="D102" s="49" t="n">
        <f aca="false">0.5*c_rho*'P3 Energie'!E8*'P3 Energie'!E7*(C102-c_Vv)^2+'P3 Energie'!E13+'P3 Energie'!E15+'P3 Energie'!E6*$C$7</f>
        <v>18180.7759265419</v>
      </c>
      <c r="E102" s="50" t="n">
        <f aca="false">D102*C102</f>
        <v>23483.5022384499</v>
      </c>
      <c r="F102" s="46" t="n">
        <v>93</v>
      </c>
      <c r="G102" s="47" t="n">
        <f aca="false">F102*$H$6</f>
        <v>0.169696752870846</v>
      </c>
      <c r="H102" s="48" t="n">
        <f aca="false">$H$7*G102</f>
        <v>1.29166666666667</v>
      </c>
      <c r="I102" s="49" t="n">
        <f aca="false">0.5*c_rho*'P3 Energie'!F8*'P3 Energie'!F7*(H102-c_Vv)^2+'P3 Energie'!F13+'P3 Energie'!F15+'P3 Energie'!F6*$H$7</f>
        <v>19038.8803007984</v>
      </c>
      <c r="J102" s="50" t="n">
        <f aca="false">I102*H102</f>
        <v>24591.8870551979</v>
      </c>
    </row>
    <row r="103" customFormat="false" ht="15" hidden="false" customHeight="false" outlineLevel="0" collapsed="false">
      <c r="A103" s="46" t="n">
        <v>94</v>
      </c>
      <c r="B103" s="47" t="n">
        <f aca="false">A103*$C$6</f>
        <v>0.1720181095797</v>
      </c>
      <c r="C103" s="48" t="n">
        <f aca="false">$C$7*B103</f>
        <v>1.30555555555556</v>
      </c>
      <c r="D103" s="49" t="n">
        <f aca="false">0.5*c_rho*'P3 Energie'!E8*'P3 Energie'!E7*(C103-c_Vv)^2+'P3 Energie'!E13+'P3 Energie'!E15+'P3 Energie'!E6*$C$7</f>
        <v>18180.7903353079</v>
      </c>
      <c r="E103" s="50" t="n">
        <f aca="false">D103*C103</f>
        <v>23736.0318266519</v>
      </c>
      <c r="F103" s="46" t="n">
        <v>94</v>
      </c>
      <c r="G103" s="47" t="n">
        <f aca="false">F103*$H$6</f>
        <v>0.171521449138275</v>
      </c>
      <c r="H103" s="48" t="n">
        <f aca="false">$H$7*G103</f>
        <v>1.30555555555556</v>
      </c>
      <c r="I103" s="49" t="n">
        <f aca="false">0.5*c_rho*'P3 Energie'!F8*'P3 Energie'!F7*(H103-c_Vv)^2+'P3 Energie'!F13+'P3 Energie'!F15+'P3 Energie'!F6*$H$7</f>
        <v>19038.8928194528</v>
      </c>
      <c r="J103" s="50" t="n">
        <f aca="false">I103*H103</f>
        <v>24856.3322920634</v>
      </c>
    </row>
    <row r="104" customFormat="false" ht="15" hidden="false" customHeight="false" outlineLevel="0" collapsed="false">
      <c r="A104" s="46" t="n">
        <v>95</v>
      </c>
      <c r="B104" s="47" t="n">
        <f aca="false">A104*$C$6</f>
        <v>0.173848089468846</v>
      </c>
      <c r="C104" s="48" t="n">
        <f aca="false">$C$7*B104</f>
        <v>1.31944444444444</v>
      </c>
      <c r="D104" s="49" t="n">
        <f aca="false">0.5*c_rho*'P3 Energie'!E8*'P3 Energie'!E7*(C104-c_Vv)^2+'P3 Energie'!E13+'P3 Energie'!E15+'P3 Energie'!E6*$C$7</f>
        <v>18180.8048981783</v>
      </c>
      <c r="E104" s="50" t="n">
        <f aca="false">D104*C104</f>
        <v>23988.5620184297</v>
      </c>
      <c r="F104" s="46" t="n">
        <v>95</v>
      </c>
      <c r="G104" s="47" t="n">
        <f aca="false">F104*$H$6</f>
        <v>0.173346145405703</v>
      </c>
      <c r="H104" s="48" t="n">
        <f aca="false">$H$7*G104</f>
        <v>1.31944444444444</v>
      </c>
      <c r="I104" s="49" t="n">
        <f aca="false">0.5*c_rho*'P3 Energie'!F8*'P3 Energie'!F7*(H104-c_Vv)^2+'P3 Energie'!F13+'P3 Energie'!F15+'P3 Energie'!F6*$H$7</f>
        <v>19038.9054719965</v>
      </c>
      <c r="J104" s="50" t="n">
        <f aca="false">I104*H104</f>
        <v>25120.7780533288</v>
      </c>
    </row>
    <row r="105" customFormat="false" ht="15" hidden="false" customHeight="false" outlineLevel="0" collapsed="false">
      <c r="A105" s="46" t="n">
        <v>96</v>
      </c>
      <c r="B105" s="47" t="n">
        <f aca="false">A105*$C$6</f>
        <v>0.175678069357992</v>
      </c>
      <c r="C105" s="48" t="n">
        <f aca="false">$C$7*B105</f>
        <v>1.33333333333333</v>
      </c>
      <c r="D105" s="49" t="n">
        <f aca="false">0.5*c_rho*'P3 Energie'!E8*'P3 Energie'!E7*(C105-c_Vv)^2+'P3 Energie'!E13+'P3 Energie'!E15+'P3 Energie'!E6*$C$7</f>
        <v>18180.8196151532</v>
      </c>
      <c r="E105" s="50" t="n">
        <f aca="false">D105*C105</f>
        <v>24241.0928202043</v>
      </c>
      <c r="F105" s="46" t="n">
        <v>96</v>
      </c>
      <c r="G105" s="47" t="n">
        <f aca="false">F105*$H$6</f>
        <v>0.175170841673132</v>
      </c>
      <c r="H105" s="48" t="n">
        <f aca="false">$H$7*G105</f>
        <v>1.33333333333333</v>
      </c>
      <c r="I105" s="49" t="n">
        <f aca="false">0.5*c_rho*'P3 Energie'!F8*'P3 Energie'!F7*(H105-c_Vv)^2+'P3 Energie'!F13+'P3 Energie'!F15+'P3 Energie'!F6*$H$7</f>
        <v>19038.9182584296</v>
      </c>
      <c r="J105" s="50" t="n">
        <f aca="false">I105*H105</f>
        <v>25385.2243445728</v>
      </c>
    </row>
    <row r="106" customFormat="false" ht="15" hidden="false" customHeight="false" outlineLevel="0" collapsed="false">
      <c r="A106" s="46" t="n">
        <v>97</v>
      </c>
      <c r="B106" s="47" t="n">
        <f aca="false">A106*$C$6</f>
        <v>0.177508049247138</v>
      </c>
      <c r="C106" s="48" t="n">
        <f aca="false">$C$7*B106</f>
        <v>1.34722222222222</v>
      </c>
      <c r="D106" s="49" t="n">
        <f aca="false">0.5*c_rho*'P3 Energie'!E8*'P3 Energie'!E7*(C106-c_Vv)^2+'P3 Energie'!E13+'P3 Energie'!E15+'P3 Energie'!E6*$C$7</f>
        <v>18180.8344862325</v>
      </c>
      <c r="E106" s="50" t="n">
        <f aca="false">D106*C106</f>
        <v>24493.6242383966</v>
      </c>
      <c r="F106" s="46" t="n">
        <v>97</v>
      </c>
      <c r="G106" s="47" t="n">
        <f aca="false">F106*$H$6</f>
        <v>0.17699553794056</v>
      </c>
      <c r="H106" s="48" t="n">
        <f aca="false">$H$7*G106</f>
        <v>1.34722222222222</v>
      </c>
      <c r="I106" s="49" t="n">
        <f aca="false">0.5*c_rho*'P3 Energie'!F8*'P3 Energie'!F7*(H106-c_Vv)^2+'P3 Energie'!F13+'P3 Energie'!F15+'P3 Energie'!F6*$H$7</f>
        <v>19038.9311787521</v>
      </c>
      <c r="J106" s="50" t="n">
        <f aca="false">I106*H106</f>
        <v>25649.6711713743</v>
      </c>
    </row>
    <row r="107" customFormat="false" ht="15" hidden="false" customHeight="false" outlineLevel="0" collapsed="false">
      <c r="A107" s="46" t="n">
        <v>98</v>
      </c>
      <c r="B107" s="47" t="n">
        <f aca="false">A107*$C$6</f>
        <v>0.179338029136283</v>
      </c>
      <c r="C107" s="48" t="n">
        <f aca="false">$C$7*B107</f>
        <v>1.36111111111111</v>
      </c>
      <c r="D107" s="49" t="n">
        <f aca="false">0.5*c_rho*'P3 Energie'!E8*'P3 Energie'!E7*(C107-c_Vv)^2+'P3 Energie'!E13+'P3 Energie'!E15+'P3 Energie'!E6*$C$7</f>
        <v>18180.8495114163</v>
      </c>
      <c r="E107" s="50" t="n">
        <f aca="false">D107*C107</f>
        <v>24746.1562794278</v>
      </c>
      <c r="F107" s="46" t="n">
        <v>98</v>
      </c>
      <c r="G107" s="47" t="n">
        <f aca="false">F107*$H$6</f>
        <v>0.178820234207988</v>
      </c>
      <c r="H107" s="48" t="n">
        <f aca="false">$H$7*G107</f>
        <v>1.36111111111111</v>
      </c>
      <c r="I107" s="49" t="n">
        <f aca="false">0.5*c_rho*'P3 Energie'!F8*'P3 Energie'!F7*(H107-c_Vv)^2+'P3 Energie'!F13+'P3 Energie'!F15+'P3 Energie'!F6*$H$7</f>
        <v>19038.9442329639</v>
      </c>
      <c r="J107" s="50" t="n">
        <f aca="false">I107*H107</f>
        <v>25914.118539312</v>
      </c>
    </row>
    <row r="108" customFormat="false" ht="15" hidden="false" customHeight="false" outlineLevel="0" collapsed="false">
      <c r="A108" s="46" t="n">
        <v>99</v>
      </c>
      <c r="B108" s="47" t="n">
        <f aca="false">A108*$C$6</f>
        <v>0.181168009025429</v>
      </c>
      <c r="C108" s="48" t="n">
        <f aca="false">$C$7*B108</f>
        <v>1.375</v>
      </c>
      <c r="D108" s="49" t="n">
        <f aca="false">0.5*c_rho*'P3 Energie'!E8*'P3 Energie'!E7*(C108-c_Vv)^2+'P3 Energie'!E13+'P3 Energie'!E15+'P3 Energie'!E6*$C$7</f>
        <v>18180.8646907045</v>
      </c>
      <c r="E108" s="50" t="n">
        <f aca="false">D108*C108</f>
        <v>24998.6889497188</v>
      </c>
      <c r="F108" s="46" t="n">
        <v>99</v>
      </c>
      <c r="G108" s="47" t="n">
        <f aca="false">F108*$H$6</f>
        <v>0.180644930475417</v>
      </c>
      <c r="H108" s="48" t="n">
        <f aca="false">$H$7*G108</f>
        <v>1.375</v>
      </c>
      <c r="I108" s="49" t="n">
        <f aca="false">0.5*c_rho*'P3 Energie'!F8*'P3 Energie'!F7*(H108-c_Vv)^2+'P3 Energie'!F13+'P3 Energie'!F15+'P3 Energie'!F6*$H$7</f>
        <v>19038.957421065</v>
      </c>
      <c r="J108" s="50" t="n">
        <f aca="false">I108*H108</f>
        <v>26178.5664539644</v>
      </c>
    </row>
    <row r="109" customFormat="false" ht="15" hidden="false" customHeight="false" outlineLevel="0" collapsed="false">
      <c r="A109" s="46" t="n">
        <v>100</v>
      </c>
      <c r="B109" s="47" t="n">
        <f aca="false">A109*$C$6</f>
        <v>0.182997988914575</v>
      </c>
      <c r="C109" s="48" t="n">
        <f aca="false">$C$7*B109</f>
        <v>1.38888888888889</v>
      </c>
      <c r="D109" s="49" t="n">
        <f aca="false">0.5*c_rho*'P3 Energie'!E8*'P3 Energie'!E7*(C109-c_Vv)^2+'P3 Energie'!E13+'P3 Energie'!E15+'P3 Energie'!E6*$C$7</f>
        <v>18180.8800240972</v>
      </c>
      <c r="E109" s="50" t="n">
        <f aca="false">D109*C109</f>
        <v>25251.2222556906</v>
      </c>
      <c r="F109" s="46" t="n">
        <v>100</v>
      </c>
      <c r="G109" s="47" t="n">
        <f aca="false">F109*$H$6</f>
        <v>0.182469626742845</v>
      </c>
      <c r="H109" s="48" t="n">
        <f aca="false">$H$7*G109</f>
        <v>1.38888888888889</v>
      </c>
      <c r="I109" s="49" t="n">
        <f aca="false">0.5*c_rho*'P3 Energie'!F8*'P3 Energie'!F7*(H109-c_Vv)^2+'P3 Energie'!F13+'P3 Energie'!F15+'P3 Energie'!F6*$H$7</f>
        <v>19038.9707430556</v>
      </c>
      <c r="J109" s="50" t="n">
        <f aca="false">I109*H109</f>
        <v>26443.0149209105</v>
      </c>
    </row>
    <row r="110" customFormat="false" ht="15" hidden="false" customHeight="false" outlineLevel="0" collapsed="false">
      <c r="A110" s="46" t="n">
        <v>101</v>
      </c>
      <c r="B110" s="47" t="n">
        <f aca="false">A110*$C$6</f>
        <v>0.184827968803721</v>
      </c>
      <c r="C110" s="48" t="n">
        <f aca="false">$C$7*B110</f>
        <v>1.40277777777778</v>
      </c>
      <c r="D110" s="49" t="n">
        <f aca="false">0.5*c_rho*'P3 Energie'!E8*'P3 Energie'!E7*(C110-c_Vv)^2+'P3 Energie'!E13+'P3 Energie'!E15+'P3 Energie'!E6*$C$7</f>
        <v>18180.8955115944</v>
      </c>
      <c r="E110" s="50" t="n">
        <f aca="false">D110*C110</f>
        <v>25503.7562037643</v>
      </c>
      <c r="F110" s="46" t="n">
        <v>101</v>
      </c>
      <c r="G110" s="47" t="n">
        <f aca="false">F110*$H$6</f>
        <v>0.184294323010274</v>
      </c>
      <c r="H110" s="48" t="n">
        <f aca="false">$H$7*G110</f>
        <v>1.40277777777778</v>
      </c>
      <c r="I110" s="49" t="n">
        <f aca="false">0.5*c_rho*'P3 Energie'!F8*'P3 Energie'!F7*(H110-c_Vv)^2+'P3 Energie'!F13+'P3 Energie'!F15+'P3 Energie'!F6*$H$7</f>
        <v>19038.9841989354</v>
      </c>
      <c r="J110" s="50" t="n">
        <f aca="false">I110*H110</f>
        <v>26707.4639457289</v>
      </c>
    </row>
    <row r="111" customFormat="false" ht="15" hidden="false" customHeight="false" outlineLevel="0" collapsed="false">
      <c r="A111" s="46" t="n">
        <v>102</v>
      </c>
      <c r="B111" s="47" t="n">
        <f aca="false">A111*$C$6</f>
        <v>0.186657948692866</v>
      </c>
      <c r="C111" s="48" t="n">
        <f aca="false">$C$7*B111</f>
        <v>1.41666666666667</v>
      </c>
      <c r="D111" s="49" t="n">
        <f aca="false">0.5*c_rho*'P3 Energie'!E8*'P3 Energie'!E7*(C111-c_Vv)^2+'P3 Energie'!E13+'P3 Energie'!E15+'P3 Energie'!E6*$C$7</f>
        <v>18180.9111531959</v>
      </c>
      <c r="E111" s="50" t="n">
        <f aca="false">D111*C111</f>
        <v>25756.2908003609</v>
      </c>
      <c r="F111" s="46" t="n">
        <v>102</v>
      </c>
      <c r="G111" s="47" t="n">
        <f aca="false">F111*$H$6</f>
        <v>0.186119019277702</v>
      </c>
      <c r="H111" s="48" t="n">
        <f aca="false">$H$7*G111</f>
        <v>1.41666666666667</v>
      </c>
      <c r="I111" s="49" t="n">
        <f aca="false">0.5*c_rho*'P3 Energie'!F8*'P3 Energie'!F7*(H111-c_Vv)^2+'P3 Energie'!F13+'P3 Energie'!F15+'P3 Energie'!F6*$H$7</f>
        <v>19038.9977887046</v>
      </c>
      <c r="J111" s="50" t="n">
        <f aca="false">I111*H111</f>
        <v>26971.9135339982</v>
      </c>
    </row>
    <row r="112" customFormat="false" ht="15" hidden="false" customHeight="false" outlineLevel="0" collapsed="false">
      <c r="A112" s="46" t="n">
        <v>103</v>
      </c>
      <c r="B112" s="47" t="n">
        <f aca="false">A112*$C$6</f>
        <v>0.188487928582012</v>
      </c>
      <c r="C112" s="48" t="n">
        <f aca="false">$C$7*B112</f>
        <v>1.43055555555556</v>
      </c>
      <c r="D112" s="49" t="n">
        <f aca="false">0.5*c_rho*'P3 Energie'!E8*'P3 Energie'!E7*(C112-c_Vv)^2+'P3 Energie'!E13+'P3 Energie'!E15+'P3 Energie'!E6*$C$7</f>
        <v>18180.926948902</v>
      </c>
      <c r="E112" s="50" t="n">
        <f aca="false">D112*C112</f>
        <v>26008.8260519014</v>
      </c>
      <c r="F112" s="46" t="n">
        <v>103</v>
      </c>
      <c r="G112" s="47" t="n">
        <f aca="false">F112*$H$6</f>
        <v>0.187943715545131</v>
      </c>
      <c r="H112" s="48" t="n">
        <f aca="false">$H$7*G112</f>
        <v>1.43055555555556</v>
      </c>
      <c r="I112" s="49" t="n">
        <f aca="false">0.5*c_rho*'P3 Energie'!F8*'P3 Energie'!F7*(H112-c_Vv)^2+'P3 Energie'!F13+'P3 Energie'!F15+'P3 Energie'!F6*$H$7</f>
        <v>19039.0115123632</v>
      </c>
      <c r="J112" s="50" t="n">
        <f aca="false">I112*H112</f>
        <v>27236.3636912974</v>
      </c>
    </row>
    <row r="113" customFormat="false" ht="15" hidden="false" customHeight="false" outlineLevel="0" collapsed="false">
      <c r="A113" s="46" t="n">
        <v>104</v>
      </c>
      <c r="B113" s="47" t="n">
        <f aca="false">A113*$C$6</f>
        <v>0.190317908471158</v>
      </c>
      <c r="C113" s="48" t="n">
        <f aca="false">$C$7*B113</f>
        <v>1.44444444444444</v>
      </c>
      <c r="D113" s="49" t="n">
        <f aca="false">0.5*c_rho*'P3 Energie'!E8*'P3 Energie'!E7*(C113-c_Vv)^2+'P3 Energie'!E13+'P3 Energie'!E15+'P3 Energie'!E6*$C$7</f>
        <v>18180.9428987125</v>
      </c>
      <c r="E113" s="50" t="n">
        <f aca="false">D113*C113</f>
        <v>26261.3619648069</v>
      </c>
      <c r="F113" s="46" t="n">
        <v>104</v>
      </c>
      <c r="G113" s="47" t="n">
        <f aca="false">F113*$H$6</f>
        <v>0.189768411812559</v>
      </c>
      <c r="H113" s="48" t="n">
        <f aca="false">$H$7*G113</f>
        <v>1.44444444444444</v>
      </c>
      <c r="I113" s="49" t="n">
        <f aca="false">0.5*c_rho*'P3 Energie'!F8*'P3 Energie'!F7*(H113-c_Vv)^2+'P3 Energie'!F13+'P3 Energie'!F15+'P3 Energie'!F6*$H$7</f>
        <v>19039.0253699111</v>
      </c>
      <c r="J113" s="50" t="n">
        <f aca="false">I113*H113</f>
        <v>27500.8144232049</v>
      </c>
    </row>
    <row r="114" customFormat="false" ht="15" hidden="false" customHeight="false" outlineLevel="0" collapsed="false">
      <c r="A114" s="46" t="n">
        <v>105</v>
      </c>
      <c r="B114" s="47" t="n">
        <f aca="false">A114*$C$6</f>
        <v>0.192147888360304</v>
      </c>
      <c r="C114" s="48" t="n">
        <f aca="false">$C$7*B114</f>
        <v>1.45833333333333</v>
      </c>
      <c r="D114" s="49" t="n">
        <f aca="false">0.5*c_rho*'P3 Energie'!E8*'P3 Energie'!E7*(C114-c_Vv)^2+'P3 Energie'!E13+'P3 Energie'!E15+'P3 Energie'!E6*$C$7</f>
        <v>18180.9590026274</v>
      </c>
      <c r="E114" s="50" t="n">
        <f aca="false">D114*C114</f>
        <v>26513.8985454983</v>
      </c>
      <c r="F114" s="46" t="n">
        <v>105</v>
      </c>
      <c r="G114" s="47" t="n">
        <f aca="false">F114*$H$6</f>
        <v>0.191593108079988</v>
      </c>
      <c r="H114" s="48" t="n">
        <f aca="false">$H$7*G114</f>
        <v>1.45833333333333</v>
      </c>
      <c r="I114" s="49" t="n">
        <f aca="false">0.5*c_rho*'P3 Energie'!F8*'P3 Energie'!F7*(H114-c_Vv)^2+'P3 Energie'!F13+'P3 Energie'!F15+'P3 Energie'!F6*$H$7</f>
        <v>19039.0393613484</v>
      </c>
      <c r="J114" s="50" t="n">
        <f aca="false">I114*H114</f>
        <v>27765.2657352997</v>
      </c>
    </row>
    <row r="115" customFormat="false" ht="15" hidden="false" customHeight="false" outlineLevel="0" collapsed="false">
      <c r="A115" s="46" t="n">
        <v>106</v>
      </c>
      <c r="B115" s="47" t="n">
        <f aca="false">A115*$C$6</f>
        <v>0.193977868249449</v>
      </c>
      <c r="C115" s="48" t="n">
        <f aca="false">$C$7*B115</f>
        <v>1.47222222222222</v>
      </c>
      <c r="D115" s="49" t="n">
        <f aca="false">0.5*c_rho*'P3 Energie'!E8*'P3 Energie'!E7*(C115-c_Vv)^2+'P3 Energie'!E13+'P3 Energie'!E15+'P3 Energie'!E6*$C$7</f>
        <v>18180.9752606468</v>
      </c>
      <c r="E115" s="50" t="n">
        <f aca="false">D115*C115</f>
        <v>26766.4358003966</v>
      </c>
      <c r="F115" s="46" t="n">
        <v>106</v>
      </c>
      <c r="G115" s="47" t="n">
        <f aca="false">F115*$H$6</f>
        <v>0.193417804347416</v>
      </c>
      <c r="H115" s="48" t="n">
        <f aca="false">$H$7*G115</f>
        <v>1.47222222222222</v>
      </c>
      <c r="I115" s="49" t="n">
        <f aca="false">0.5*c_rho*'P3 Energie'!F8*'P3 Energie'!F7*(H115-c_Vv)^2+'P3 Energie'!F13+'P3 Energie'!F15+'P3 Energie'!F6*$H$7</f>
        <v>19039.053486675</v>
      </c>
      <c r="J115" s="50" t="n">
        <f aca="false">I115*H115</f>
        <v>28029.7176331604</v>
      </c>
    </row>
    <row r="116" customFormat="false" ht="15" hidden="false" customHeight="false" outlineLevel="0" collapsed="false">
      <c r="A116" s="46" t="n">
        <v>107</v>
      </c>
      <c r="B116" s="47" t="n">
        <f aca="false">A116*$C$6</f>
        <v>0.195807848138595</v>
      </c>
      <c r="C116" s="48" t="n">
        <f aca="false">$C$7*B116</f>
        <v>1.48611111111111</v>
      </c>
      <c r="D116" s="49" t="n">
        <f aca="false">0.5*c_rho*'P3 Energie'!E8*'P3 Energie'!E7*(C116-c_Vv)^2+'P3 Energie'!E13+'P3 Energie'!E15+'P3 Energie'!E6*$C$7</f>
        <v>18180.9916727706</v>
      </c>
      <c r="E116" s="50" t="n">
        <f aca="false">D116*C116</f>
        <v>27018.973735923</v>
      </c>
      <c r="F116" s="46" t="n">
        <v>107</v>
      </c>
      <c r="G116" s="47" t="n">
        <f aca="false">F116*$H$6</f>
        <v>0.195242500614845</v>
      </c>
      <c r="H116" s="48" t="n">
        <f aca="false">$H$7*G116</f>
        <v>1.48611111111111</v>
      </c>
      <c r="I116" s="49" t="n">
        <f aca="false">0.5*c_rho*'P3 Energie'!F8*'P3 Energie'!F7*(H116-c_Vv)^2+'P3 Energie'!F13+'P3 Energie'!F15+'P3 Energie'!F6*$H$7</f>
        <v>19039.067745891</v>
      </c>
      <c r="J116" s="50" t="n">
        <f aca="false">I116*H116</f>
        <v>28294.1701223658</v>
      </c>
    </row>
    <row r="117" customFormat="false" ht="15" hidden="false" customHeight="false" outlineLevel="0" collapsed="false">
      <c r="A117" s="46" t="n">
        <v>108</v>
      </c>
      <c r="B117" s="47" t="n">
        <f aca="false">A117*$C$6</f>
        <v>0.197637828027741</v>
      </c>
      <c r="C117" s="48" t="n">
        <f aca="false">$C$7*B117</f>
        <v>1.5</v>
      </c>
      <c r="D117" s="49" t="n">
        <f aca="false">0.5*c_rho*'P3 Energie'!E8*'P3 Energie'!E7*(C117-c_Vv)^2+'P3 Energie'!E13+'P3 Energie'!E15+'P3 Energie'!E6*$C$7</f>
        <v>18181.0082389989</v>
      </c>
      <c r="E117" s="50" t="n">
        <f aca="false">D117*C117</f>
        <v>27271.5123584983</v>
      </c>
      <c r="F117" s="46" t="n">
        <v>108</v>
      </c>
      <c r="G117" s="47" t="n">
        <f aca="false">F117*$H$6</f>
        <v>0.197067196882273</v>
      </c>
      <c r="H117" s="48" t="n">
        <f aca="false">$H$7*G117</f>
        <v>1.5</v>
      </c>
      <c r="I117" s="49" t="n">
        <f aca="false">0.5*c_rho*'P3 Energie'!F8*'P3 Energie'!F7*(H117-c_Vv)^2+'P3 Energie'!F13+'P3 Energie'!F15+'P3 Energie'!F6*$H$7</f>
        <v>19039.0821389963</v>
      </c>
      <c r="J117" s="50" t="n">
        <f aca="false">I117*H117</f>
        <v>28558.6232084945</v>
      </c>
    </row>
    <row r="118" customFormat="false" ht="15" hidden="false" customHeight="false" outlineLevel="0" collapsed="false">
      <c r="A118" s="46" t="n">
        <v>109</v>
      </c>
      <c r="B118" s="47" t="n">
        <f aca="false">A118*$C$6</f>
        <v>0.199467807916887</v>
      </c>
      <c r="C118" s="48" t="n">
        <f aca="false">$C$7*B118</f>
        <v>1.51388888888889</v>
      </c>
      <c r="D118" s="49" t="n">
        <f aca="false">0.5*c_rho*'P3 Energie'!E8*'P3 Energie'!E7*(C118-c_Vv)^2+'P3 Energie'!E13+'P3 Energie'!E15+'P3 Energie'!E6*$C$7</f>
        <v>18181.0249593316</v>
      </c>
      <c r="E118" s="50" t="n">
        <f aca="false">D118*C118</f>
        <v>27524.0516745436</v>
      </c>
      <c r="F118" s="46" t="n">
        <v>109</v>
      </c>
      <c r="G118" s="47" t="n">
        <f aca="false">F118*$H$6</f>
        <v>0.198891893149701</v>
      </c>
      <c r="H118" s="48" t="n">
        <f aca="false">$H$7*G118</f>
        <v>1.51388888888889</v>
      </c>
      <c r="I118" s="49" t="n">
        <f aca="false">0.5*c_rho*'P3 Energie'!F8*'P3 Energie'!F7*(H118-c_Vv)^2+'P3 Energie'!F13+'P3 Energie'!F15+'P3 Energie'!F6*$H$7</f>
        <v>19039.096665991</v>
      </c>
      <c r="J118" s="50" t="n">
        <f aca="false">I118*H118</f>
        <v>28823.0768971252</v>
      </c>
    </row>
    <row r="119" customFormat="false" ht="15" hidden="false" customHeight="false" outlineLevel="0" collapsed="false">
      <c r="A119" s="46" t="n">
        <v>110</v>
      </c>
      <c r="B119" s="47" t="n">
        <f aca="false">A119*$C$6</f>
        <v>0.201297787806032</v>
      </c>
      <c r="C119" s="48" t="n">
        <f aca="false">$C$7*B119</f>
        <v>1.52777777777778</v>
      </c>
      <c r="D119" s="49" t="n">
        <f aca="false">0.5*c_rho*'P3 Energie'!E8*'P3 Energie'!E7*(C119-c_Vv)^2+'P3 Energie'!E13+'P3 Energie'!E15+'P3 Energie'!E6*$C$7</f>
        <v>18181.0418337688</v>
      </c>
      <c r="E119" s="50" t="n">
        <f aca="false">D119*C119</f>
        <v>27776.5916904801</v>
      </c>
      <c r="F119" s="46" t="n">
        <v>110</v>
      </c>
      <c r="G119" s="47" t="n">
        <f aca="false">F119*$H$6</f>
        <v>0.20071658941713</v>
      </c>
      <c r="H119" s="48" t="n">
        <f aca="false">$H$7*G119</f>
        <v>1.52777777777778</v>
      </c>
      <c r="I119" s="49" t="n">
        <f aca="false">0.5*c_rho*'P3 Energie'!F8*'P3 Energie'!F7*(H119-c_Vv)^2+'P3 Energie'!F13+'P3 Energie'!F15+'P3 Energie'!F6*$H$7</f>
        <v>19039.111326875</v>
      </c>
      <c r="J119" s="50" t="n">
        <f aca="false">I119*H119</f>
        <v>29087.5311938368</v>
      </c>
    </row>
    <row r="120" customFormat="false" ht="15" hidden="false" customHeight="false" outlineLevel="0" collapsed="false">
      <c r="A120" s="46" t="n">
        <v>111</v>
      </c>
      <c r="B120" s="47" t="n">
        <f aca="false">A120*$C$6</f>
        <v>0.203127767695178</v>
      </c>
      <c r="C120" s="48" t="n">
        <f aca="false">$C$7*B120</f>
        <v>1.54166666666667</v>
      </c>
      <c r="D120" s="49" t="n">
        <f aca="false">0.5*c_rho*'P3 Energie'!E8*'P3 Energie'!E7*(C120-c_Vv)^2+'P3 Energie'!E13+'P3 Energie'!E15+'P3 Energie'!E6*$C$7</f>
        <v>18181.0588623104</v>
      </c>
      <c r="E120" s="50" t="n">
        <f aca="false">D120*C120</f>
        <v>28029.1324127285</v>
      </c>
      <c r="F120" s="46" t="n">
        <v>111</v>
      </c>
      <c r="G120" s="47" t="n">
        <f aca="false">F120*$H$6</f>
        <v>0.202541285684558</v>
      </c>
      <c r="H120" s="48" t="n">
        <f aca="false">$H$7*G120</f>
        <v>1.54166666666667</v>
      </c>
      <c r="I120" s="49" t="n">
        <f aca="false">0.5*c_rho*'P3 Energie'!F8*'P3 Energie'!F7*(H120-c_Vv)^2+'P3 Energie'!F13+'P3 Energie'!F15+'P3 Energie'!F6*$H$7</f>
        <v>19039.1261216484</v>
      </c>
      <c r="J120" s="50" t="n">
        <f aca="false">I120*H120</f>
        <v>29351.9861042079</v>
      </c>
    </row>
    <row r="121" customFormat="false" ht="15" hidden="false" customHeight="false" outlineLevel="0" collapsed="false">
      <c r="A121" s="46" t="n">
        <v>112</v>
      </c>
      <c r="B121" s="47" t="n">
        <f aca="false">A121*$C$6</f>
        <v>0.204957747584324</v>
      </c>
      <c r="C121" s="48" t="n">
        <f aca="false">$C$7*B121</f>
        <v>1.55555555555556</v>
      </c>
      <c r="D121" s="49" t="n">
        <f aca="false">0.5*c_rho*'P3 Energie'!E8*'P3 Energie'!E7*(C121-c_Vv)^2+'P3 Energie'!E13+'P3 Energie'!E15+'P3 Energie'!E6*$C$7</f>
        <v>18181.0760449565</v>
      </c>
      <c r="E121" s="50" t="n">
        <f aca="false">D121*C121</f>
        <v>28281.67384771</v>
      </c>
      <c r="F121" s="46" t="n">
        <v>112</v>
      </c>
      <c r="G121" s="47" t="n">
        <f aca="false">F121*$H$6</f>
        <v>0.204365981951987</v>
      </c>
      <c r="H121" s="48" t="n">
        <f aca="false">$H$7*G121</f>
        <v>1.55555555555556</v>
      </c>
      <c r="I121" s="49" t="n">
        <f aca="false">0.5*c_rho*'P3 Energie'!F8*'P3 Energie'!F7*(H121-c_Vv)^2+'P3 Energie'!F13+'P3 Energie'!F15+'P3 Energie'!F6*$H$7</f>
        <v>19039.1410503111</v>
      </c>
      <c r="J121" s="50" t="n">
        <f aca="false">I121*H121</f>
        <v>29616.4416338173</v>
      </c>
    </row>
    <row r="122" customFormat="false" ht="15" hidden="false" customHeight="false" outlineLevel="0" collapsed="false">
      <c r="A122" s="46" t="n">
        <v>113</v>
      </c>
      <c r="B122" s="47" t="n">
        <f aca="false">A122*$C$6</f>
        <v>0.20678772747347</v>
      </c>
      <c r="C122" s="48" t="n">
        <f aca="false">$C$7*B122</f>
        <v>1.56944444444444</v>
      </c>
      <c r="D122" s="49" t="n">
        <f aca="false">0.5*c_rho*'P3 Energie'!E8*'P3 Energie'!E7*(C122-c_Vv)^2+'P3 Energie'!E13+'P3 Energie'!E15+'P3 Energie'!E6*$C$7</f>
        <v>18181.093381707</v>
      </c>
      <c r="E122" s="50" t="n">
        <f aca="false">D122*C122</f>
        <v>28534.2160018457</v>
      </c>
      <c r="F122" s="46" t="n">
        <v>113</v>
      </c>
      <c r="G122" s="47" t="n">
        <f aca="false">F122*$H$6</f>
        <v>0.206190678219415</v>
      </c>
      <c r="H122" s="48" t="n">
        <f aca="false">$H$7*G122</f>
        <v>1.56944444444444</v>
      </c>
      <c r="I122" s="49" t="n">
        <f aca="false">0.5*c_rho*'P3 Energie'!F8*'P3 Energie'!F7*(H122-c_Vv)^2+'P3 Energie'!F13+'P3 Energie'!F15+'P3 Energie'!F6*$H$7</f>
        <v>19039.1561128632</v>
      </c>
      <c r="J122" s="50" t="n">
        <f aca="false">I122*H122</f>
        <v>29880.8977882436</v>
      </c>
    </row>
    <row r="123" customFormat="false" ht="15" hidden="false" customHeight="false" outlineLevel="0" collapsed="false">
      <c r="A123" s="46" t="n">
        <v>114</v>
      </c>
      <c r="B123" s="47" t="n">
        <f aca="false">A123*$C$6</f>
        <v>0.208617707362615</v>
      </c>
      <c r="C123" s="48" t="n">
        <f aca="false">$C$7*B123</f>
        <v>1.58333333333333</v>
      </c>
      <c r="D123" s="49" t="n">
        <f aca="false">0.5*c_rho*'P3 Energie'!E8*'P3 Energie'!E7*(C123-c_Vv)^2+'P3 Energie'!E13+'P3 Energie'!E15+'P3 Energie'!E6*$C$7</f>
        <v>18181.1108725619</v>
      </c>
      <c r="E123" s="50" t="n">
        <f aca="false">D123*C123</f>
        <v>28786.7588815564</v>
      </c>
      <c r="F123" s="46" t="n">
        <v>114</v>
      </c>
      <c r="G123" s="47" t="n">
        <f aca="false">F123*$H$6</f>
        <v>0.208015374486844</v>
      </c>
      <c r="H123" s="48" t="n">
        <f aca="false">$H$7*G123</f>
        <v>1.58333333333333</v>
      </c>
      <c r="I123" s="49" t="n">
        <f aca="false">0.5*c_rho*'P3 Energie'!F8*'P3 Energie'!F7*(H123-c_Vv)^2+'P3 Energie'!F13+'P3 Energie'!F15+'P3 Energie'!F6*$H$7</f>
        <v>19039.1713093046</v>
      </c>
      <c r="J123" s="50" t="n">
        <f aca="false">I123*H123</f>
        <v>30145.3545730657</v>
      </c>
    </row>
    <row r="124" customFormat="false" ht="15" hidden="false" customHeight="false" outlineLevel="0" collapsed="false">
      <c r="A124" s="46" t="n">
        <v>115</v>
      </c>
      <c r="B124" s="47" t="n">
        <f aca="false">A124*$C$6</f>
        <v>0.210447687251761</v>
      </c>
      <c r="C124" s="48" t="n">
        <f aca="false">$C$7*B124</f>
        <v>1.59722222222222</v>
      </c>
      <c r="D124" s="49" t="n">
        <f aca="false">0.5*c_rho*'P3 Energie'!E8*'P3 Energie'!E7*(C124-c_Vv)^2+'P3 Energie'!E13+'P3 Energie'!E15+'P3 Energie'!E6*$C$7</f>
        <v>18181.1285175214</v>
      </c>
      <c r="E124" s="50" t="n">
        <f aca="false">D124*C124</f>
        <v>29039.3024932633</v>
      </c>
      <c r="F124" s="46" t="n">
        <v>115</v>
      </c>
      <c r="G124" s="47" t="n">
        <f aca="false">F124*$H$6</f>
        <v>0.209840070754272</v>
      </c>
      <c r="H124" s="48" t="n">
        <f aca="false">$H$7*G124</f>
        <v>1.59722222222222</v>
      </c>
      <c r="I124" s="49" t="n">
        <f aca="false">0.5*c_rho*'P3 Energie'!F8*'P3 Energie'!F7*(H124-c_Vv)^2+'P3 Energie'!F13+'P3 Energie'!F15+'P3 Energie'!F6*$H$7</f>
        <v>19039.1866396354</v>
      </c>
      <c r="J124" s="50" t="n">
        <f aca="false">I124*H124</f>
        <v>30409.8119938621</v>
      </c>
    </row>
    <row r="125" customFormat="false" ht="15" hidden="false" customHeight="false" outlineLevel="0" collapsed="false">
      <c r="A125" s="46" t="n">
        <v>116</v>
      </c>
      <c r="B125" s="47" t="n">
        <f aca="false">A125*$C$6</f>
        <v>0.212277667140907</v>
      </c>
      <c r="C125" s="48" t="n">
        <f aca="false">$C$7*B125</f>
        <v>1.61111111111111</v>
      </c>
      <c r="D125" s="49" t="n">
        <f aca="false">0.5*c_rho*'P3 Energie'!E8*'P3 Energie'!E7*(C125-c_Vv)^2+'P3 Energie'!E13+'P3 Energie'!E15+'P3 Energie'!E6*$C$7</f>
        <v>18181.1463165852</v>
      </c>
      <c r="E125" s="50" t="n">
        <f aca="false">D125*C125</f>
        <v>29291.8468433873</v>
      </c>
      <c r="F125" s="46" t="n">
        <v>116</v>
      </c>
      <c r="G125" s="47" t="n">
        <f aca="false">F125*$H$6</f>
        <v>0.211664767021701</v>
      </c>
      <c r="H125" s="48" t="n">
        <f aca="false">$H$7*G125</f>
        <v>1.61111111111111</v>
      </c>
      <c r="I125" s="49" t="n">
        <f aca="false">0.5*c_rho*'P3 Energie'!F8*'P3 Energie'!F7*(H125-c_Vv)^2+'P3 Energie'!F13+'P3 Energie'!F15+'P3 Energie'!F6*$H$7</f>
        <v>19039.2021038556</v>
      </c>
      <c r="J125" s="50" t="n">
        <f aca="false">I125*H125</f>
        <v>30674.2700562117</v>
      </c>
    </row>
    <row r="126" customFormat="false" ht="15" hidden="false" customHeight="false" outlineLevel="0" collapsed="false">
      <c r="A126" s="46" t="n">
        <v>117</v>
      </c>
      <c r="B126" s="47" t="n">
        <f aca="false">A126*$C$6</f>
        <v>0.214107647030053</v>
      </c>
      <c r="C126" s="48" t="n">
        <f aca="false">$C$7*B126</f>
        <v>1.625</v>
      </c>
      <c r="D126" s="49" t="n">
        <f aca="false">0.5*c_rho*'P3 Energie'!E8*'P3 Energie'!E7*(C126-c_Vv)^2+'P3 Energie'!E13+'P3 Energie'!E15+'P3 Energie'!E6*$C$7</f>
        <v>18181.1642697535</v>
      </c>
      <c r="E126" s="50" t="n">
        <f aca="false">D126*C126</f>
        <v>29544.3919383495</v>
      </c>
      <c r="F126" s="46" t="n">
        <v>117</v>
      </c>
      <c r="G126" s="47" t="n">
        <f aca="false">F126*$H$6</f>
        <v>0.213489463289129</v>
      </c>
      <c r="H126" s="48" t="n">
        <f aca="false">$H$7*G126</f>
        <v>1.625</v>
      </c>
      <c r="I126" s="49" t="n">
        <f aca="false">0.5*c_rho*'P3 Energie'!F8*'P3 Energie'!F7*(H126-c_Vv)^2+'P3 Energie'!F13+'P3 Energie'!F15+'P3 Energie'!F6*$H$7</f>
        <v>19039.217701965</v>
      </c>
      <c r="J126" s="50" t="n">
        <f aca="false">I126*H126</f>
        <v>30938.7287656932</v>
      </c>
    </row>
    <row r="127" customFormat="false" ht="15" hidden="false" customHeight="false" outlineLevel="0" collapsed="false">
      <c r="A127" s="46" t="n">
        <v>118</v>
      </c>
      <c r="B127" s="47" t="n">
        <f aca="false">A127*$C$6</f>
        <v>0.215937626919198</v>
      </c>
      <c r="C127" s="48" t="n">
        <f aca="false">$C$7*B127</f>
        <v>1.63888888888889</v>
      </c>
      <c r="D127" s="49" t="n">
        <f aca="false">0.5*c_rho*'P3 Energie'!E8*'P3 Energie'!E7*(C127-c_Vv)^2+'P3 Energie'!E13+'P3 Energie'!E15+'P3 Energie'!E6*$C$7</f>
        <v>18181.1823770263</v>
      </c>
      <c r="E127" s="50" t="n">
        <f aca="false">D127*C127</f>
        <v>29796.9377845709</v>
      </c>
      <c r="F127" s="46" t="n">
        <v>118</v>
      </c>
      <c r="G127" s="47" t="n">
        <f aca="false">F127*$H$6</f>
        <v>0.215314159556558</v>
      </c>
      <c r="H127" s="48" t="n">
        <f aca="false">$H$7*G127</f>
        <v>1.63888888888889</v>
      </c>
      <c r="I127" s="49" t="n">
        <f aca="false">0.5*c_rho*'P3 Energie'!F8*'P3 Energie'!F7*(H127-c_Vv)^2+'P3 Energie'!F13+'P3 Energie'!F15+'P3 Energie'!F6*$H$7</f>
        <v>19039.2334339639</v>
      </c>
      <c r="J127" s="50" t="n">
        <f aca="false">I127*H127</f>
        <v>31203.1881278853</v>
      </c>
    </row>
    <row r="128" customFormat="false" ht="15" hidden="false" customHeight="false" outlineLevel="0" collapsed="false">
      <c r="A128" s="46" t="n">
        <v>119</v>
      </c>
      <c r="B128" s="47" t="n">
        <f aca="false">A128*$C$6</f>
        <v>0.217767606808344</v>
      </c>
      <c r="C128" s="48" t="n">
        <f aca="false">$C$7*B128</f>
        <v>1.65277777777778</v>
      </c>
      <c r="D128" s="49" t="n">
        <f aca="false">0.5*c_rho*'P3 Energie'!E8*'P3 Energie'!E7*(C128-c_Vv)^2+'P3 Energie'!E13+'P3 Energie'!E15+'P3 Energie'!E6*$C$7</f>
        <v>18181.2006384035</v>
      </c>
      <c r="E128" s="50" t="n">
        <f aca="false">D128*C128</f>
        <v>30049.4843884725</v>
      </c>
      <c r="F128" s="46" t="n">
        <v>119</v>
      </c>
      <c r="G128" s="47" t="n">
        <f aca="false">F128*$H$6</f>
        <v>0.217138855823986</v>
      </c>
      <c r="H128" s="48" t="n">
        <f aca="false">$H$7*G128</f>
        <v>1.65277777777778</v>
      </c>
      <c r="I128" s="49" t="n">
        <f aca="false">0.5*c_rho*'P3 Energie'!F8*'P3 Energie'!F7*(H128-c_Vv)^2+'P3 Energie'!F13+'P3 Energie'!F15+'P3 Energie'!F6*$H$7</f>
        <v>19039.2492998521</v>
      </c>
      <c r="J128" s="50" t="n">
        <f aca="false">I128*H128</f>
        <v>31467.6481483666</v>
      </c>
    </row>
    <row r="129" customFormat="false" ht="15" hidden="false" customHeight="false" outlineLevel="0" collapsed="false">
      <c r="A129" s="46" t="n">
        <v>120</v>
      </c>
      <c r="B129" s="47" t="n">
        <f aca="false">A129*$C$6</f>
        <v>0.21959758669749</v>
      </c>
      <c r="C129" s="48" t="n">
        <f aca="false">$C$7*B129</f>
        <v>1.66666666666667</v>
      </c>
      <c r="D129" s="49" t="n">
        <f aca="false">0.5*c_rho*'P3 Energie'!E8*'P3 Energie'!E7*(C129-c_Vv)^2+'P3 Energie'!E13+'P3 Energie'!E15+'P3 Energie'!E6*$C$7</f>
        <v>18181.2190538852</v>
      </c>
      <c r="E129" s="50" t="n">
        <f aca="false">D129*C129</f>
        <v>30302.0317564753</v>
      </c>
      <c r="F129" s="46" t="n">
        <v>120</v>
      </c>
      <c r="G129" s="47" t="n">
        <f aca="false">F129*$H$6</f>
        <v>0.218963552091414</v>
      </c>
      <c r="H129" s="48" t="n">
        <f aca="false">$H$7*G129</f>
        <v>1.66666666666667</v>
      </c>
      <c r="I129" s="49" t="n">
        <f aca="false">0.5*c_rho*'P3 Energie'!F8*'P3 Energie'!F7*(H129-c_Vv)^2+'P3 Energie'!F13+'P3 Energie'!F15+'P3 Energie'!F6*$H$7</f>
        <v>19039.2652996296</v>
      </c>
      <c r="J129" s="50" t="n">
        <f aca="false">I129*H129</f>
        <v>31732.1088327161</v>
      </c>
    </row>
    <row r="130" customFormat="false" ht="15" hidden="false" customHeight="false" outlineLevel="0" collapsed="false">
      <c r="A130" s="46" t="n">
        <v>121</v>
      </c>
      <c r="B130" s="47" t="n">
        <f aca="false">A130*$C$6</f>
        <v>0.221427566586636</v>
      </c>
      <c r="C130" s="48" t="n">
        <f aca="false">$C$7*B130</f>
        <v>1.68055555555556</v>
      </c>
      <c r="D130" s="49" t="n">
        <f aca="false">0.5*c_rho*'P3 Energie'!E8*'P3 Energie'!E7*(C130-c_Vv)^2+'P3 Energie'!E13+'P3 Energie'!E15+'P3 Energie'!E6*$C$7</f>
        <v>18181.2376234713</v>
      </c>
      <c r="E130" s="50" t="n">
        <f aca="false">D130*C130</f>
        <v>30554.5798950004</v>
      </c>
      <c r="F130" s="46" t="n">
        <v>121</v>
      </c>
      <c r="G130" s="47" t="n">
        <f aca="false">F130*$H$6</f>
        <v>0.220788248358843</v>
      </c>
      <c r="H130" s="48" t="n">
        <f aca="false">$H$7*G130</f>
        <v>1.68055555555556</v>
      </c>
      <c r="I130" s="49" t="n">
        <f aca="false">0.5*c_rho*'P3 Energie'!F8*'P3 Energie'!F7*(H130-c_Vv)^2+'P3 Energie'!F13+'P3 Energie'!F15+'P3 Energie'!F6*$H$7</f>
        <v>19039.2814332965</v>
      </c>
      <c r="J130" s="50" t="n">
        <f aca="false">I130*H130</f>
        <v>31996.5701865122</v>
      </c>
    </row>
    <row r="131" customFormat="false" ht="15" hidden="false" customHeight="false" outlineLevel="0" collapsed="false">
      <c r="A131" s="46" t="n">
        <v>122</v>
      </c>
      <c r="B131" s="47" t="n">
        <f aca="false">A131*$C$6</f>
        <v>0.223257546475781</v>
      </c>
      <c r="C131" s="48" t="n">
        <f aca="false">$C$7*B131</f>
        <v>1.69444444444444</v>
      </c>
      <c r="D131" s="49" t="n">
        <f aca="false">0.5*c_rho*'P3 Energie'!E8*'P3 Energie'!E7*(C131-c_Vv)^2+'P3 Energie'!E13+'P3 Energie'!E15+'P3 Energie'!E6*$C$7</f>
        <v>18181.2563471619</v>
      </c>
      <c r="E131" s="50" t="n">
        <f aca="false">D131*C131</f>
        <v>30807.1288104687</v>
      </c>
      <c r="F131" s="46" t="n">
        <v>122</v>
      </c>
      <c r="G131" s="47" t="n">
        <f aca="false">F131*$H$6</f>
        <v>0.222612944626271</v>
      </c>
      <c r="H131" s="48" t="n">
        <f aca="false">$H$7*G131</f>
        <v>1.69444444444444</v>
      </c>
      <c r="I131" s="49" t="n">
        <f aca="false">0.5*c_rho*'P3 Energie'!F8*'P3 Energie'!F7*(H131-c_Vv)^2+'P3 Energie'!F13+'P3 Energie'!F15+'P3 Energie'!F6*$H$7</f>
        <v>19039.2977008528</v>
      </c>
      <c r="J131" s="50" t="n">
        <f aca="false">I131*H131</f>
        <v>32261.0322153339</v>
      </c>
    </row>
    <row r="132" customFormat="false" ht="15" hidden="false" customHeight="false" outlineLevel="0" collapsed="false">
      <c r="A132" s="46" t="n">
        <v>123</v>
      </c>
      <c r="B132" s="47" t="n">
        <f aca="false">A132*$C$6</f>
        <v>0.225087526364927</v>
      </c>
      <c r="C132" s="48" t="n">
        <f aca="false">$C$7*B132</f>
        <v>1.70833333333333</v>
      </c>
      <c r="D132" s="49" t="n">
        <f aca="false">0.5*c_rho*'P3 Energie'!E8*'P3 Energie'!E7*(C132-c_Vv)^2+'P3 Energie'!E13+'P3 Energie'!E15+'P3 Energie'!E6*$C$7</f>
        <v>18181.2752249569</v>
      </c>
      <c r="E132" s="50" t="n">
        <f aca="false">D132*C132</f>
        <v>31059.6785093013</v>
      </c>
      <c r="F132" s="46" t="n">
        <v>123</v>
      </c>
      <c r="G132" s="47" t="n">
        <f aca="false">F132*$H$6</f>
        <v>0.2244376408937</v>
      </c>
      <c r="H132" s="48" t="n">
        <f aca="false">$H$7*G132</f>
        <v>1.70833333333333</v>
      </c>
      <c r="I132" s="49" t="n">
        <f aca="false">0.5*c_rho*'P3 Energie'!F8*'P3 Energie'!F7*(H132-c_Vv)^2+'P3 Energie'!F13+'P3 Energie'!F15+'P3 Energie'!F6*$H$7</f>
        <v>19039.3141022984</v>
      </c>
      <c r="J132" s="50" t="n">
        <f aca="false">I132*H132</f>
        <v>32525.4949247597</v>
      </c>
    </row>
    <row r="133" customFormat="false" ht="15" hidden="false" customHeight="false" outlineLevel="0" collapsed="false">
      <c r="A133" s="46" t="n">
        <v>124</v>
      </c>
      <c r="B133" s="47" t="n">
        <f aca="false">A133*$C$6</f>
        <v>0.226917506254073</v>
      </c>
      <c r="C133" s="48" t="n">
        <f aca="false">$C$7*B133</f>
        <v>1.72222222222222</v>
      </c>
      <c r="D133" s="49" t="n">
        <f aca="false">0.5*c_rho*'P3 Energie'!E8*'P3 Energie'!E7*(C133-c_Vv)^2+'P3 Energie'!E13+'P3 Energie'!E15+'P3 Energie'!E6*$C$7</f>
        <v>18181.2942568563</v>
      </c>
      <c r="E133" s="50" t="n">
        <f aca="false">D133*C133</f>
        <v>31312.2289979193</v>
      </c>
      <c r="F133" s="46" t="n">
        <v>124</v>
      </c>
      <c r="G133" s="47" t="n">
        <f aca="false">F133*$H$6</f>
        <v>0.226262337161128</v>
      </c>
      <c r="H133" s="48" t="n">
        <f aca="false">$H$7*G133</f>
        <v>1.72222222222222</v>
      </c>
      <c r="I133" s="49" t="n">
        <f aca="false">0.5*c_rho*'P3 Energie'!F8*'P3 Energie'!F7*(H133-c_Vv)^2+'P3 Energie'!F13+'P3 Energie'!F15+'P3 Energie'!F6*$H$7</f>
        <v>19039.3306376333</v>
      </c>
      <c r="J133" s="50" t="n">
        <f aca="false">I133*H133</f>
        <v>32789.9583203685</v>
      </c>
    </row>
    <row r="134" customFormat="false" ht="15" hidden="false" customHeight="false" outlineLevel="0" collapsed="false">
      <c r="A134" s="46" t="n">
        <v>125</v>
      </c>
      <c r="B134" s="47" t="n">
        <f aca="false">A134*$C$6</f>
        <v>0.228747486143219</v>
      </c>
      <c r="C134" s="48" t="n">
        <f aca="false">$C$7*B134</f>
        <v>1.73611111111111</v>
      </c>
      <c r="D134" s="49" t="n">
        <f aca="false">0.5*c_rho*'P3 Energie'!E8*'P3 Energie'!E7*(C134-c_Vv)^2+'P3 Energie'!E13+'P3 Energie'!E15+'P3 Energie'!E6*$C$7</f>
        <v>18181.3134428603</v>
      </c>
      <c r="E134" s="50" t="n">
        <f aca="false">D134*C134</f>
        <v>31564.7802827435</v>
      </c>
      <c r="F134" s="46" t="n">
        <v>125</v>
      </c>
      <c r="G134" s="47" t="n">
        <f aca="false">F134*$H$6</f>
        <v>0.228087033428557</v>
      </c>
      <c r="H134" s="48" t="n">
        <f aca="false">$H$7*G134</f>
        <v>1.73611111111111</v>
      </c>
      <c r="I134" s="49" t="n">
        <f aca="false">0.5*c_rho*'P3 Energie'!F8*'P3 Energie'!F7*(H134-c_Vv)^2+'P3 Energie'!F13+'P3 Energie'!F15+'P3 Energie'!F6*$H$7</f>
        <v>19039.3473068576</v>
      </c>
      <c r="J134" s="50" t="n">
        <f aca="false">I134*H134</f>
        <v>33054.422407739</v>
      </c>
    </row>
    <row r="135" customFormat="false" ht="15" hidden="false" customHeight="false" outlineLevel="0" collapsed="false">
      <c r="A135" s="46" t="n">
        <v>126</v>
      </c>
      <c r="B135" s="47" t="n">
        <f aca="false">A135*$C$6</f>
        <v>0.230577466032364</v>
      </c>
      <c r="C135" s="48" t="n">
        <f aca="false">$C$7*B135</f>
        <v>1.75</v>
      </c>
      <c r="D135" s="49" t="n">
        <f aca="false">0.5*c_rho*'P3 Energie'!E8*'P3 Energie'!E7*(C135-c_Vv)^2+'P3 Energie'!E13+'P3 Energie'!E15+'P3 Energie'!E6*$C$7</f>
        <v>18181.3327829686</v>
      </c>
      <c r="E135" s="50" t="n">
        <f aca="false">D135*C135</f>
        <v>31817.3323701951</v>
      </c>
      <c r="F135" s="46" t="n">
        <v>126</v>
      </c>
      <c r="G135" s="47" t="n">
        <f aca="false">F135*$H$6</f>
        <v>0.229911729695985</v>
      </c>
      <c r="H135" s="48" t="n">
        <f aca="false">$H$7*G135</f>
        <v>1.75</v>
      </c>
      <c r="I135" s="49" t="n">
        <f aca="false">0.5*c_rho*'P3 Energie'!F8*'P3 Energie'!F7*(H135-c_Vv)^2+'P3 Energie'!F13+'P3 Energie'!F15+'P3 Energie'!F6*$H$7</f>
        <v>19039.3641099713</v>
      </c>
      <c r="J135" s="50" t="n">
        <f aca="false">I135*H135</f>
        <v>33318.8871924498</v>
      </c>
    </row>
    <row r="136" customFormat="false" ht="15" hidden="false" customHeight="false" outlineLevel="0" collapsed="false">
      <c r="A136" s="46" t="n">
        <v>127</v>
      </c>
      <c r="B136" s="47" t="n">
        <f aca="false">A136*$C$6</f>
        <v>0.23240744592151</v>
      </c>
      <c r="C136" s="48" t="n">
        <f aca="false">$C$7*B136</f>
        <v>1.76388888888889</v>
      </c>
      <c r="D136" s="49" t="n">
        <f aca="false">0.5*c_rho*'P3 Energie'!E8*'P3 Energie'!E7*(C136-c_Vv)^2+'P3 Energie'!E13+'P3 Energie'!E15+'P3 Energie'!E6*$C$7</f>
        <v>18181.3522771814</v>
      </c>
      <c r="E136" s="50" t="n">
        <f aca="false">D136*C136</f>
        <v>32069.885266695</v>
      </c>
      <c r="F136" s="46" t="n">
        <v>127</v>
      </c>
      <c r="G136" s="47" t="n">
        <f aca="false">F136*$H$6</f>
        <v>0.231736425963414</v>
      </c>
      <c r="H136" s="48" t="n">
        <f aca="false">$H$7*G136</f>
        <v>1.76388888888889</v>
      </c>
      <c r="I136" s="49" t="n">
        <f aca="false">0.5*c_rho*'P3 Energie'!F8*'P3 Energie'!F7*(H136-c_Vv)^2+'P3 Energie'!F13+'P3 Energie'!F15+'P3 Energie'!F6*$H$7</f>
        <v>19039.3810469743</v>
      </c>
      <c r="J136" s="50" t="n">
        <f aca="false">I136*H136</f>
        <v>33583.3526800797</v>
      </c>
    </row>
    <row r="137" customFormat="false" ht="15" hidden="false" customHeight="false" outlineLevel="0" collapsed="false">
      <c r="A137" s="46" t="n">
        <v>128</v>
      </c>
      <c r="B137" s="47" t="n">
        <f aca="false">A137*$C$6</f>
        <v>0.234237425810656</v>
      </c>
      <c r="C137" s="48" t="n">
        <f aca="false">$C$7*B137</f>
        <v>1.77777777777778</v>
      </c>
      <c r="D137" s="49" t="n">
        <f aca="false">0.5*c_rho*'P3 Energie'!E8*'P3 Energie'!E7*(C137-c_Vv)^2+'P3 Energie'!E13+'P3 Energie'!E15+'P3 Energie'!E6*$C$7</f>
        <v>18181.3719254987</v>
      </c>
      <c r="E137" s="50" t="n">
        <f aca="false">D137*C137</f>
        <v>32322.4389786643</v>
      </c>
      <c r="F137" s="46" t="n">
        <v>128</v>
      </c>
      <c r="G137" s="47" t="n">
        <f aca="false">F137*$H$6</f>
        <v>0.233561122230842</v>
      </c>
      <c r="H137" s="48" t="n">
        <f aca="false">$H$7*G137</f>
        <v>1.77777777777778</v>
      </c>
      <c r="I137" s="49" t="n">
        <f aca="false">0.5*c_rho*'P3 Energie'!F8*'P3 Energie'!F7*(H137-c_Vv)^2+'P3 Energie'!F13+'P3 Energie'!F15+'P3 Energie'!F6*$H$7</f>
        <v>19039.3981178667</v>
      </c>
      <c r="J137" s="50" t="n">
        <f aca="false">I137*H137</f>
        <v>33847.8188762074</v>
      </c>
    </row>
    <row r="138" customFormat="false" ht="15" hidden="false" customHeight="false" outlineLevel="0" collapsed="false">
      <c r="A138" s="46" t="n">
        <v>129</v>
      </c>
      <c r="B138" s="47" t="n">
        <f aca="false">A138*$C$6</f>
        <v>0.236067405699802</v>
      </c>
      <c r="C138" s="48" t="n">
        <f aca="false">$C$7*B138</f>
        <v>1.79166666666667</v>
      </c>
      <c r="D138" s="49" t="n">
        <f aca="false">0.5*c_rho*'P3 Energie'!E8*'P3 Energie'!E7*(C138-c_Vv)^2+'P3 Energie'!E13+'P3 Energie'!E15+'P3 Energie'!E6*$C$7</f>
        <v>18181.3917279204</v>
      </c>
      <c r="E138" s="50" t="n">
        <f aca="false">D138*C138</f>
        <v>32574.993512524</v>
      </c>
      <c r="F138" s="46" t="n">
        <v>129</v>
      </c>
      <c r="G138" s="47" t="n">
        <f aca="false">F138*$H$6</f>
        <v>0.235385818498271</v>
      </c>
      <c r="H138" s="48" t="n">
        <f aca="false">$H$7*G138</f>
        <v>1.79166666666667</v>
      </c>
      <c r="I138" s="49" t="n">
        <f aca="false">0.5*c_rho*'P3 Energie'!F8*'P3 Energie'!F7*(H138-c_Vv)^2+'P3 Energie'!F13+'P3 Energie'!F15+'P3 Energie'!F6*$H$7</f>
        <v>19039.4153226484</v>
      </c>
      <c r="J138" s="50" t="n">
        <f aca="false">I138*H138</f>
        <v>34112.2857864117</v>
      </c>
    </row>
    <row r="139" customFormat="false" ht="15" hidden="false" customHeight="false" outlineLevel="0" collapsed="false">
      <c r="A139" s="46" t="n">
        <v>130</v>
      </c>
      <c r="B139" s="47" t="n">
        <f aca="false">A139*$C$6</f>
        <v>0.237897385588947</v>
      </c>
      <c r="C139" s="48" t="n">
        <f aca="false">$C$7*B139</f>
        <v>1.80555555555556</v>
      </c>
      <c r="D139" s="49" t="n">
        <f aca="false">0.5*c_rho*'P3 Energie'!E8*'P3 Energie'!E7*(C139-c_Vv)^2+'P3 Energie'!E13+'P3 Energie'!E15+'P3 Energie'!E6*$C$7</f>
        <v>18181.4116844465</v>
      </c>
      <c r="E139" s="50" t="n">
        <f aca="false">D139*C139</f>
        <v>32827.5488746951</v>
      </c>
      <c r="F139" s="46" t="n">
        <v>130</v>
      </c>
      <c r="G139" s="47" t="n">
        <f aca="false">F139*$H$6</f>
        <v>0.237210514765699</v>
      </c>
      <c r="H139" s="48" t="n">
        <f aca="false">$H$7*G139</f>
        <v>1.80555555555556</v>
      </c>
      <c r="I139" s="49" t="n">
        <f aca="false">0.5*c_rho*'P3 Energie'!F8*'P3 Energie'!F7*(H139-c_Vv)^2+'P3 Energie'!F13+'P3 Energie'!F15+'P3 Energie'!F6*$H$7</f>
        <v>19039.4326613194</v>
      </c>
      <c r="J139" s="50" t="n">
        <f aca="false">I139*H139</f>
        <v>34376.7534162712</v>
      </c>
    </row>
    <row r="140" customFormat="false" ht="15" hidden="false" customHeight="false" outlineLevel="0" collapsed="false">
      <c r="A140" s="46" t="n">
        <v>131</v>
      </c>
      <c r="B140" s="47" t="n">
        <f aca="false">A140*$C$6</f>
        <v>0.239727365478093</v>
      </c>
      <c r="C140" s="48" t="n">
        <f aca="false">$C$7*B140</f>
        <v>1.81944444444444</v>
      </c>
      <c r="D140" s="49" t="n">
        <f aca="false">0.5*c_rho*'P3 Energie'!E8*'P3 Energie'!E7*(C140-c_Vv)^2+'P3 Energie'!E13+'P3 Energie'!E15+'P3 Energie'!E6*$C$7</f>
        <v>18181.4317950771</v>
      </c>
      <c r="E140" s="50" t="n">
        <f aca="false">D140*C140</f>
        <v>33080.1050715987</v>
      </c>
      <c r="F140" s="46" t="n">
        <v>131</v>
      </c>
      <c r="G140" s="47" t="n">
        <f aca="false">F140*$H$6</f>
        <v>0.239035211033127</v>
      </c>
      <c r="H140" s="48" t="n">
        <f aca="false">$H$7*G140</f>
        <v>1.81944444444444</v>
      </c>
      <c r="I140" s="49" t="n">
        <f aca="false">0.5*c_rho*'P3 Energie'!F8*'P3 Energie'!F7*(H140-c_Vv)^2+'P3 Energie'!F13+'P3 Energie'!F15+'P3 Energie'!F6*$H$7</f>
        <v>19039.4501338799</v>
      </c>
      <c r="J140" s="50" t="n">
        <f aca="false">I140*H140</f>
        <v>34641.2217713648</v>
      </c>
    </row>
    <row r="141" customFormat="false" ht="15" hidden="false" customHeight="false" outlineLevel="0" collapsed="false">
      <c r="A141" s="46" t="n">
        <v>132</v>
      </c>
      <c r="B141" s="47" t="n">
        <f aca="false">A141*$C$6</f>
        <v>0.241557345367239</v>
      </c>
      <c r="C141" s="48" t="n">
        <f aca="false">$C$7*B141</f>
        <v>1.83333333333333</v>
      </c>
      <c r="D141" s="49" t="n">
        <f aca="false">0.5*c_rho*'P3 Energie'!E8*'P3 Energie'!E7*(C141-c_Vv)^2+'P3 Energie'!E13+'P3 Energie'!E15+'P3 Energie'!E6*$C$7</f>
        <v>18181.4520598122</v>
      </c>
      <c r="E141" s="50" t="n">
        <f aca="false">D141*C141</f>
        <v>33332.6621096557</v>
      </c>
      <c r="F141" s="46" t="n">
        <v>132</v>
      </c>
      <c r="G141" s="47" t="n">
        <f aca="false">F141*$H$6</f>
        <v>0.240859907300556</v>
      </c>
      <c r="H141" s="48" t="n">
        <f aca="false">$H$7*G141</f>
        <v>1.83333333333333</v>
      </c>
      <c r="I141" s="49" t="n">
        <f aca="false">0.5*c_rho*'P3 Energie'!F8*'P3 Energie'!F7*(H141-c_Vv)^2+'P3 Energie'!F13+'P3 Energie'!F15+'P3 Energie'!F6*$H$7</f>
        <v>19039.4677403296</v>
      </c>
      <c r="J141" s="50" t="n">
        <f aca="false">I141*H141</f>
        <v>34905.690857271</v>
      </c>
    </row>
    <row r="142" customFormat="false" ht="15" hidden="false" customHeight="false" outlineLevel="0" collapsed="false">
      <c r="A142" s="46" t="n">
        <v>133</v>
      </c>
      <c r="B142" s="47" t="n">
        <f aca="false">A142*$C$6</f>
        <v>0.243387325256385</v>
      </c>
      <c r="C142" s="48" t="n">
        <f aca="false">$C$7*B142</f>
        <v>1.84722222222222</v>
      </c>
      <c r="D142" s="49" t="n">
        <f aca="false">0.5*c_rho*'P3 Energie'!E8*'P3 Energie'!E7*(C142-c_Vv)^2+'P3 Energie'!E13+'P3 Energie'!E15+'P3 Energie'!E6*$C$7</f>
        <v>18181.4724786517</v>
      </c>
      <c r="E142" s="50" t="n">
        <f aca="false">D142*C142</f>
        <v>33585.2199952872</v>
      </c>
      <c r="F142" s="46" t="n">
        <v>133</v>
      </c>
      <c r="G142" s="47" t="n">
        <f aca="false">F142*$H$6</f>
        <v>0.242684603567984</v>
      </c>
      <c r="H142" s="48" t="n">
        <f aca="false">$H$7*G142</f>
        <v>1.84722222222222</v>
      </c>
      <c r="I142" s="49" t="n">
        <f aca="false">0.5*c_rho*'P3 Energie'!F8*'P3 Energie'!F7*(H142-c_Vv)^2+'P3 Energie'!F13+'P3 Energie'!F15+'P3 Energie'!F6*$H$7</f>
        <v>19039.4854806688</v>
      </c>
      <c r="J142" s="50" t="n">
        <f aca="false">I142*H142</f>
        <v>35170.1606795687</v>
      </c>
    </row>
    <row r="143" customFormat="false" ht="15" hidden="false" customHeight="false" outlineLevel="0" collapsed="false">
      <c r="A143" s="46" t="n">
        <v>134</v>
      </c>
      <c r="B143" s="47" t="n">
        <f aca="false">A143*$C$6</f>
        <v>0.24521730514553</v>
      </c>
      <c r="C143" s="48" t="n">
        <f aca="false">$C$7*B143</f>
        <v>1.86111111111111</v>
      </c>
      <c r="D143" s="49" t="n">
        <f aca="false">0.5*c_rho*'P3 Energie'!E8*'P3 Energie'!E7*(C143-c_Vv)^2+'P3 Energie'!E13+'P3 Energie'!E15+'P3 Energie'!E6*$C$7</f>
        <v>18181.4930515956</v>
      </c>
      <c r="E143" s="50" t="n">
        <f aca="false">D143*C143</f>
        <v>33837.7787349141</v>
      </c>
      <c r="F143" s="46" t="n">
        <v>134</v>
      </c>
      <c r="G143" s="47" t="n">
        <f aca="false">F143*$H$6</f>
        <v>0.244509299835413</v>
      </c>
      <c r="H143" s="48" t="n">
        <f aca="false">$H$7*G143</f>
        <v>1.86111111111111</v>
      </c>
      <c r="I143" s="49" t="n">
        <f aca="false">0.5*c_rho*'P3 Energie'!F8*'P3 Energie'!F7*(H143-c_Vv)^2+'P3 Energie'!F13+'P3 Energie'!F15+'P3 Energie'!F6*$H$7</f>
        <v>19039.5033548972</v>
      </c>
      <c r="J143" s="50" t="n">
        <f aca="false">I143*H143</f>
        <v>35434.6312438365</v>
      </c>
    </row>
    <row r="144" customFormat="false" ht="15" hidden="false" customHeight="false" outlineLevel="0" collapsed="false">
      <c r="A144" s="46" t="n">
        <v>135</v>
      </c>
      <c r="B144" s="47" t="n">
        <f aca="false">A144*$C$6</f>
        <v>0.247047285034676</v>
      </c>
      <c r="C144" s="48" t="n">
        <f aca="false">$C$7*B144</f>
        <v>1.875</v>
      </c>
      <c r="D144" s="49" t="n">
        <f aca="false">0.5*c_rho*'P3 Energie'!E8*'P3 Energie'!E7*(C144-c_Vv)^2+'P3 Energie'!E13+'P3 Energie'!E15+'P3 Energie'!E6*$C$7</f>
        <v>18181.513778644</v>
      </c>
      <c r="E144" s="50" t="n">
        <f aca="false">D144*C144</f>
        <v>34090.3383349576</v>
      </c>
      <c r="F144" s="46" t="n">
        <v>135</v>
      </c>
      <c r="G144" s="47" t="n">
        <f aca="false">F144*$H$6</f>
        <v>0.246333996102841</v>
      </c>
      <c r="H144" s="48" t="n">
        <f aca="false">$H$7*G144</f>
        <v>1.875</v>
      </c>
      <c r="I144" s="49" t="n">
        <f aca="false">0.5*c_rho*'P3 Energie'!F8*'P3 Energie'!F7*(H144-c_Vv)^2+'P3 Energie'!F13+'P3 Energie'!F15+'P3 Energie'!F6*$H$7</f>
        <v>19039.521363015</v>
      </c>
      <c r="J144" s="50" t="n">
        <f aca="false">I144*H144</f>
        <v>35699.1025556532</v>
      </c>
    </row>
    <row r="145" customFormat="false" ht="15" hidden="false" customHeight="false" outlineLevel="0" collapsed="false">
      <c r="A145" s="46" t="n">
        <v>136</v>
      </c>
      <c r="B145" s="47" t="n">
        <f aca="false">A145*$C$6</f>
        <v>0.248877264923822</v>
      </c>
      <c r="C145" s="48" t="n">
        <f aca="false">$C$7*B145</f>
        <v>1.88888888888889</v>
      </c>
      <c r="D145" s="49" t="n">
        <f aca="false">0.5*c_rho*'P3 Energie'!E8*'P3 Energie'!E7*(C145-c_Vv)^2+'P3 Energie'!E13+'P3 Energie'!E15+'P3 Energie'!E6*$C$7</f>
        <v>18181.5346597969</v>
      </c>
      <c r="E145" s="50" t="n">
        <f aca="false">D145*C145</f>
        <v>34342.8988018386</v>
      </c>
      <c r="F145" s="46" t="n">
        <v>136</v>
      </c>
      <c r="G145" s="47" t="n">
        <f aca="false">F145*$H$6</f>
        <v>0.24815869237027</v>
      </c>
      <c r="H145" s="48" t="n">
        <f aca="false">$H$7*G145</f>
        <v>1.88888888888889</v>
      </c>
      <c r="I145" s="49" t="n">
        <f aca="false">0.5*c_rho*'P3 Energie'!F8*'P3 Energie'!F7*(H145-c_Vv)^2+'P3 Energie'!F13+'P3 Energie'!F15+'P3 Energie'!F6*$H$7</f>
        <v>19039.5395050222</v>
      </c>
      <c r="J145" s="50" t="n">
        <f aca="false">I145*H145</f>
        <v>35963.5746205975</v>
      </c>
    </row>
    <row r="146" customFormat="false" ht="15" hidden="false" customHeight="false" outlineLevel="0" collapsed="false">
      <c r="A146" s="46" t="n">
        <v>137</v>
      </c>
      <c r="B146" s="47" t="n">
        <f aca="false">A146*$C$6</f>
        <v>0.250707244812968</v>
      </c>
      <c r="C146" s="48" t="n">
        <f aca="false">$C$7*B146</f>
        <v>1.90277777777778</v>
      </c>
      <c r="D146" s="49" t="n">
        <f aca="false">0.5*c_rho*'P3 Energie'!E8*'P3 Energie'!E7*(C146-c_Vv)^2+'P3 Energie'!E13+'P3 Energie'!E15+'P3 Energie'!E6*$C$7</f>
        <v>18181.5556950542</v>
      </c>
      <c r="E146" s="50" t="n">
        <f aca="false">D146*C146</f>
        <v>34595.4601419781</v>
      </c>
      <c r="F146" s="46" t="n">
        <v>137</v>
      </c>
      <c r="G146" s="47" t="n">
        <f aca="false">F146*$H$6</f>
        <v>0.249983388637698</v>
      </c>
      <c r="H146" s="48" t="n">
        <f aca="false">$H$7*G146</f>
        <v>1.90277777777778</v>
      </c>
      <c r="I146" s="49" t="n">
        <f aca="false">0.5*c_rho*'P3 Energie'!F8*'P3 Energie'!F7*(H146-c_Vv)^2+'P3 Energie'!F13+'P3 Energie'!F15+'P3 Energie'!F6*$H$7</f>
        <v>19039.5577809188</v>
      </c>
      <c r="J146" s="50" t="n">
        <f aca="false">I146*H146</f>
        <v>36228.0474442482</v>
      </c>
    </row>
    <row r="147" customFormat="false" ht="15" hidden="false" customHeight="false" outlineLevel="0" collapsed="false">
      <c r="A147" s="46" t="n">
        <v>138</v>
      </c>
      <c r="B147" s="47" t="n">
        <f aca="false">A147*$C$6</f>
        <v>0.252537224702113</v>
      </c>
      <c r="C147" s="48" t="n">
        <f aca="false">$C$7*B147</f>
        <v>1.91666666666667</v>
      </c>
      <c r="D147" s="49" t="n">
        <f aca="false">0.5*c_rho*'P3 Energie'!E8*'P3 Energie'!E7*(C147-c_Vv)^2+'P3 Energie'!E13+'P3 Energie'!E15+'P3 Energie'!E6*$C$7</f>
        <v>18181.5768844159</v>
      </c>
      <c r="E147" s="50" t="n">
        <f aca="false">D147*C147</f>
        <v>34848.0223617972</v>
      </c>
      <c r="F147" s="46" t="n">
        <v>138</v>
      </c>
      <c r="G147" s="47" t="n">
        <f aca="false">F147*$H$6</f>
        <v>0.251808084905127</v>
      </c>
      <c r="H147" s="48" t="n">
        <f aca="false">$H$7*G147</f>
        <v>1.91666666666667</v>
      </c>
      <c r="I147" s="49" t="n">
        <f aca="false">0.5*c_rho*'P3 Energie'!F8*'P3 Energie'!F7*(H147-c_Vv)^2+'P3 Energie'!F13+'P3 Energie'!F15+'P3 Energie'!F6*$H$7</f>
        <v>19039.5761907046</v>
      </c>
      <c r="J147" s="50" t="n">
        <f aca="false">I147*H147</f>
        <v>36492.5210321839</v>
      </c>
    </row>
    <row r="148" customFormat="false" ht="15" hidden="false" customHeight="false" outlineLevel="0" collapsed="false">
      <c r="A148" s="46" t="n">
        <v>139</v>
      </c>
      <c r="B148" s="47" t="n">
        <f aca="false">A148*$C$6</f>
        <v>0.254367204591259</v>
      </c>
      <c r="C148" s="48" t="n">
        <f aca="false">$C$7*B148</f>
        <v>1.93055555555556</v>
      </c>
      <c r="D148" s="49" t="n">
        <f aca="false">0.5*c_rho*'P3 Energie'!E8*'P3 Energie'!E7*(C148-c_Vv)^2+'P3 Energie'!E13+'P3 Energie'!E15+'P3 Energie'!E6*$C$7</f>
        <v>18181.5982278821</v>
      </c>
      <c r="E148" s="50" t="n">
        <f aca="false">D148*C148</f>
        <v>35100.5854677169</v>
      </c>
      <c r="F148" s="46" t="n">
        <v>139</v>
      </c>
      <c r="G148" s="47" t="n">
        <f aca="false">F148*$H$6</f>
        <v>0.253632781172555</v>
      </c>
      <c r="H148" s="48" t="n">
        <f aca="false">$H$7*G148</f>
        <v>1.93055555555556</v>
      </c>
      <c r="I148" s="49" t="n">
        <f aca="false">0.5*c_rho*'P3 Energie'!F8*'P3 Energie'!F7*(H148-c_Vv)^2+'P3 Energie'!F13+'P3 Energie'!F15+'P3 Energie'!F6*$H$7</f>
        <v>19039.5947343799</v>
      </c>
      <c r="J148" s="50" t="n">
        <f aca="false">I148*H148</f>
        <v>36756.9953899834</v>
      </c>
    </row>
    <row r="149" customFormat="false" ht="15" hidden="false" customHeight="false" outlineLevel="0" collapsed="false">
      <c r="A149" s="46" t="n">
        <v>140</v>
      </c>
      <c r="B149" s="47" t="n">
        <f aca="false">A149*$C$6</f>
        <v>0.256197184480405</v>
      </c>
      <c r="C149" s="48" t="n">
        <f aca="false">$C$7*B149</f>
        <v>1.94444444444444</v>
      </c>
      <c r="D149" s="49" t="n">
        <f aca="false">0.5*c_rho*'P3 Energie'!E8*'P3 Energie'!E7*(C149-c_Vv)^2+'P3 Energie'!E13+'P3 Energie'!E15+'P3 Energie'!E6*$C$7</f>
        <v>18181.6197254528</v>
      </c>
      <c r="E149" s="50" t="n">
        <f aca="false">D149*C149</f>
        <v>35353.1494661582</v>
      </c>
      <c r="F149" s="46" t="n">
        <v>140</v>
      </c>
      <c r="G149" s="47" t="n">
        <f aca="false">F149*$H$6</f>
        <v>0.255457477439984</v>
      </c>
      <c r="H149" s="48" t="n">
        <f aca="false">$H$7*G149</f>
        <v>1.94444444444444</v>
      </c>
      <c r="I149" s="49" t="n">
        <f aca="false">0.5*c_rho*'P3 Energie'!F8*'P3 Energie'!F7*(H149-c_Vv)^2+'P3 Energie'!F13+'P3 Energie'!F15+'P3 Energie'!F6*$H$7</f>
        <v>19039.6134119444</v>
      </c>
      <c r="J149" s="50" t="n">
        <f aca="false">I149*H149</f>
        <v>37021.4705232253</v>
      </c>
    </row>
    <row r="150" customFormat="false" ht="15" hidden="false" customHeight="false" outlineLevel="0" collapsed="false">
      <c r="A150" s="46" t="n">
        <v>141</v>
      </c>
      <c r="B150" s="47" t="n">
        <f aca="false">A150*$C$6</f>
        <v>0.258027164369551</v>
      </c>
      <c r="C150" s="48" t="n">
        <f aca="false">$C$7*B150</f>
        <v>1.95833333333333</v>
      </c>
      <c r="D150" s="49" t="n">
        <f aca="false">0.5*c_rho*'P3 Energie'!E8*'P3 Energie'!E7*(C150-c_Vv)^2+'P3 Energie'!E13+'P3 Energie'!E15+'P3 Energie'!E6*$C$7</f>
        <v>18181.6413771279</v>
      </c>
      <c r="E150" s="50" t="n">
        <f aca="false">D150*C150</f>
        <v>35605.7143635421</v>
      </c>
      <c r="F150" s="46" t="n">
        <v>141</v>
      </c>
      <c r="G150" s="47" t="n">
        <f aca="false">F150*$H$6</f>
        <v>0.257282173707412</v>
      </c>
      <c r="H150" s="48" t="n">
        <f aca="false">$H$7*G150</f>
        <v>1.95833333333333</v>
      </c>
      <c r="I150" s="49" t="n">
        <f aca="false">0.5*c_rho*'P3 Energie'!F8*'P3 Energie'!F7*(H150-c_Vv)^2+'P3 Energie'!F13+'P3 Energie'!F15+'P3 Energie'!F6*$H$7</f>
        <v>19039.6322233984</v>
      </c>
      <c r="J150" s="50" t="n">
        <f aca="false">I150*H150</f>
        <v>37285.9464374885</v>
      </c>
    </row>
    <row r="151" customFormat="false" ht="15" hidden="false" customHeight="false" outlineLevel="0" collapsed="false">
      <c r="A151" s="46" t="n">
        <v>142</v>
      </c>
      <c r="B151" s="47" t="n">
        <f aca="false">A151*$C$6</f>
        <v>0.259857144258696</v>
      </c>
      <c r="C151" s="48" t="n">
        <f aca="false">$C$7*B151</f>
        <v>1.97222222222222</v>
      </c>
      <c r="D151" s="49" t="n">
        <f aca="false">0.5*c_rho*'P3 Energie'!E8*'P3 Energie'!E7*(C151-c_Vv)^2+'P3 Energie'!E13+'P3 Energie'!E15+'P3 Energie'!E6*$C$7</f>
        <v>18181.6631829074</v>
      </c>
      <c r="E151" s="50" t="n">
        <f aca="false">D151*C151</f>
        <v>35858.2801662896</v>
      </c>
      <c r="F151" s="46" t="n">
        <v>142</v>
      </c>
      <c r="G151" s="47" t="n">
        <f aca="false">F151*$H$6</f>
        <v>0.25910686997484</v>
      </c>
      <c r="H151" s="48" t="n">
        <f aca="false">$H$7*G151</f>
        <v>1.97222222222222</v>
      </c>
      <c r="I151" s="49" t="n">
        <f aca="false">0.5*c_rho*'P3 Energie'!F8*'P3 Energie'!F7*(H151-c_Vv)^2+'P3 Energie'!F13+'P3 Energie'!F15+'P3 Energie'!F6*$H$7</f>
        <v>19039.6511687417</v>
      </c>
      <c r="J151" s="50" t="n">
        <f aca="false">I151*H151</f>
        <v>37550.4231383516</v>
      </c>
    </row>
    <row r="152" customFormat="false" ht="15" hidden="false" customHeight="false" outlineLevel="0" collapsed="false">
      <c r="A152" s="46" t="n">
        <v>143</v>
      </c>
      <c r="B152" s="47" t="n">
        <f aca="false">A152*$C$6</f>
        <v>0.261687124147842</v>
      </c>
      <c r="C152" s="48" t="n">
        <f aca="false">$C$7*B152</f>
        <v>1.98611111111111</v>
      </c>
      <c r="D152" s="49" t="n">
        <f aca="false">0.5*c_rho*'P3 Energie'!E8*'P3 Energie'!E7*(C152-c_Vv)^2+'P3 Energie'!E13+'P3 Energie'!E15+'P3 Energie'!E6*$C$7</f>
        <v>18181.6851427914</v>
      </c>
      <c r="E152" s="50" t="n">
        <f aca="false">D152*C152</f>
        <v>36110.8468808218</v>
      </c>
      <c r="F152" s="46" t="n">
        <v>143</v>
      </c>
      <c r="G152" s="47" t="n">
        <f aca="false">F152*$H$6</f>
        <v>0.260931566242269</v>
      </c>
      <c r="H152" s="48" t="n">
        <f aca="false">$H$7*G152</f>
        <v>1.98611111111111</v>
      </c>
      <c r="I152" s="49" t="n">
        <f aca="false">0.5*c_rho*'P3 Energie'!F8*'P3 Energie'!F7*(H152-c_Vv)^2+'P3 Energie'!F13+'P3 Energie'!F15+'P3 Energie'!F6*$H$7</f>
        <v>19039.6702479743</v>
      </c>
      <c r="J152" s="50" t="n">
        <f aca="false">I152*H152</f>
        <v>37814.9006313934</v>
      </c>
    </row>
    <row r="153" customFormat="false" ht="15" hidden="false" customHeight="false" outlineLevel="0" collapsed="false">
      <c r="A153" s="46" t="n">
        <v>144</v>
      </c>
      <c r="B153" s="47" t="n">
        <f aca="false">A153*$C$6</f>
        <v>0.263517104036988</v>
      </c>
      <c r="C153" s="48" t="n">
        <f aca="false">$C$7*B153</f>
        <v>2</v>
      </c>
      <c r="D153" s="49" t="n">
        <f aca="false">0.5*c_rho*'P3 Energie'!E8*'P3 Energie'!E7*(C153-c_Vv)^2+'P3 Energie'!E13+'P3 Energie'!E15+'P3 Energie'!E6*$C$7</f>
        <v>18181.7072567799</v>
      </c>
      <c r="E153" s="50" t="n">
        <f aca="false">D153*C153</f>
        <v>36363.4145135597</v>
      </c>
      <c r="F153" s="46" t="n">
        <v>144</v>
      </c>
      <c r="G153" s="47" t="n">
        <f aca="false">F153*$H$6</f>
        <v>0.262756262509697</v>
      </c>
      <c r="H153" s="48" t="n">
        <f aca="false">$H$7*G153</f>
        <v>2</v>
      </c>
      <c r="I153" s="49" t="n">
        <f aca="false">0.5*c_rho*'P3 Energie'!F8*'P3 Energie'!F7*(H153-c_Vv)^2+'P3 Energie'!F13+'P3 Energie'!F15+'P3 Energie'!F6*$H$7</f>
        <v>19039.6894610963</v>
      </c>
      <c r="J153" s="50" t="n">
        <f aca="false">I153*H153</f>
        <v>38079.3789221926</v>
      </c>
    </row>
    <row r="154" customFormat="false" ht="15" hidden="false" customHeight="false" outlineLevel="0" collapsed="false">
      <c r="A154" s="46" t="n">
        <v>145</v>
      </c>
      <c r="B154" s="47" t="n">
        <f aca="false">A154*$C$6</f>
        <v>0.265347083926134</v>
      </c>
      <c r="C154" s="48" t="n">
        <f aca="false">$C$7*B154</f>
        <v>2.01388888888889</v>
      </c>
      <c r="D154" s="49" t="n">
        <f aca="false">0.5*c_rho*'P3 Energie'!E8*'P3 Energie'!E7*(C154-c_Vv)^2+'P3 Energie'!E13+'P3 Energie'!E15+'P3 Energie'!E6*$C$7</f>
        <v>18181.7295248728</v>
      </c>
      <c r="E154" s="50" t="n">
        <f aca="false">D154*C154</f>
        <v>36615.9830709243</v>
      </c>
      <c r="F154" s="46" t="n">
        <v>145</v>
      </c>
      <c r="G154" s="47" t="n">
        <f aca="false">F154*$H$6</f>
        <v>0.264580958777126</v>
      </c>
      <c r="H154" s="48" t="n">
        <f aca="false">$H$7*G154</f>
        <v>2.01388888888889</v>
      </c>
      <c r="I154" s="49" t="n">
        <f aca="false">0.5*c_rho*'P3 Energie'!F8*'P3 Energie'!F7*(H154-c_Vv)^2+'P3 Energie'!F13+'P3 Energie'!F15+'P3 Energie'!F6*$H$7</f>
        <v>19039.7088081076</v>
      </c>
      <c r="J154" s="50" t="n">
        <f aca="false">I154*H154</f>
        <v>38343.8580163279</v>
      </c>
    </row>
    <row r="155" customFormat="false" ht="15" hidden="false" customHeight="false" outlineLevel="0" collapsed="false">
      <c r="A155" s="46" t="n">
        <v>146</v>
      </c>
      <c r="B155" s="47" t="n">
        <f aca="false">A155*$C$6</f>
        <v>0.267177063815279</v>
      </c>
      <c r="C155" s="48" t="n">
        <f aca="false">$C$7*B155</f>
        <v>2.02777777777778</v>
      </c>
      <c r="D155" s="49" t="n">
        <f aca="false">0.5*c_rho*'P3 Energie'!E8*'P3 Energie'!E7*(C155-c_Vv)^2+'P3 Energie'!E13+'P3 Energie'!E15+'P3 Energie'!E6*$C$7</f>
        <v>18181.7519470701</v>
      </c>
      <c r="E155" s="50" t="n">
        <f aca="false">D155*C155</f>
        <v>36868.5525593366</v>
      </c>
      <c r="F155" s="46" t="n">
        <v>146</v>
      </c>
      <c r="G155" s="47" t="n">
        <f aca="false">F155*$H$6</f>
        <v>0.266405655044554</v>
      </c>
      <c r="H155" s="48" t="n">
        <f aca="false">$H$7*G155</f>
        <v>2.02777777777778</v>
      </c>
      <c r="I155" s="49" t="n">
        <f aca="false">0.5*c_rho*'P3 Energie'!F8*'P3 Energie'!F7*(H155-c_Vv)^2+'P3 Energie'!F13+'P3 Energie'!F15+'P3 Energie'!F6*$H$7</f>
        <v>19039.7282890083</v>
      </c>
      <c r="J155" s="50" t="n">
        <f aca="false">I155*H155</f>
        <v>38608.337919378</v>
      </c>
    </row>
    <row r="156" customFormat="false" ht="15" hidden="false" customHeight="false" outlineLevel="0" collapsed="false">
      <c r="A156" s="46" t="n">
        <v>147</v>
      </c>
      <c r="B156" s="47" t="n">
        <f aca="false">A156*$C$6</f>
        <v>0.269007043704425</v>
      </c>
      <c r="C156" s="48" t="n">
        <f aca="false">$C$7*B156</f>
        <v>2.04166666666667</v>
      </c>
      <c r="D156" s="49" t="n">
        <f aca="false">0.5*c_rho*'P3 Energie'!E8*'P3 Energie'!E7*(C156-c_Vv)^2+'P3 Energie'!E13+'P3 Energie'!E15+'P3 Energie'!E6*$C$7</f>
        <v>18181.7745233719</v>
      </c>
      <c r="E156" s="50" t="n">
        <f aca="false">D156*C156</f>
        <v>37121.1229852176</v>
      </c>
      <c r="F156" s="46" t="n">
        <v>147</v>
      </c>
      <c r="G156" s="47" t="n">
        <f aca="false">F156*$H$6</f>
        <v>0.268230351311983</v>
      </c>
      <c r="H156" s="48" t="n">
        <f aca="false">$H$7*G156</f>
        <v>2.04166666666667</v>
      </c>
      <c r="I156" s="49" t="n">
        <f aca="false">0.5*c_rho*'P3 Energie'!F8*'P3 Energie'!F7*(H156-c_Vv)^2+'P3 Energie'!F13+'P3 Energie'!F15+'P3 Energie'!F6*$H$7</f>
        <v>19039.7479037984</v>
      </c>
      <c r="J156" s="50" t="n">
        <f aca="false">I156*H156</f>
        <v>38872.8186369217</v>
      </c>
    </row>
    <row r="157" customFormat="false" ht="15" hidden="false" customHeight="false" outlineLevel="0" collapsed="false">
      <c r="A157" s="46" t="n">
        <v>148</v>
      </c>
      <c r="B157" s="47" t="n">
        <f aca="false">A157*$C$6</f>
        <v>0.270837023593571</v>
      </c>
      <c r="C157" s="48" t="n">
        <f aca="false">$C$7*B157</f>
        <v>2.05555555555556</v>
      </c>
      <c r="D157" s="49" t="n">
        <f aca="false">0.5*c_rho*'P3 Energie'!E8*'P3 Energie'!E7*(C157-c_Vv)^2+'P3 Energie'!E13+'P3 Energie'!E15+'P3 Energie'!E6*$C$7</f>
        <v>18181.7972537781</v>
      </c>
      <c r="E157" s="50" t="n">
        <f aca="false">D157*C157</f>
        <v>37373.6943549884</v>
      </c>
      <c r="F157" s="46" t="n">
        <v>148</v>
      </c>
      <c r="G157" s="47" t="n">
        <f aca="false">F157*$H$6</f>
        <v>0.270055047579411</v>
      </c>
      <c r="H157" s="48" t="n">
        <f aca="false">$H$7*G157</f>
        <v>2.05555555555556</v>
      </c>
      <c r="I157" s="49" t="n">
        <f aca="false">0.5*c_rho*'P3 Energie'!F8*'P3 Energie'!F7*(H157-c_Vv)^2+'P3 Energie'!F13+'P3 Energie'!F15+'P3 Energie'!F6*$H$7</f>
        <v>19039.7676524778</v>
      </c>
      <c r="J157" s="50" t="n">
        <f aca="false">I157*H157</f>
        <v>39137.3001745377</v>
      </c>
    </row>
    <row r="158" customFormat="false" ht="15" hidden="false" customHeight="false" outlineLevel="0" collapsed="false">
      <c r="A158" s="46" t="n">
        <v>149</v>
      </c>
      <c r="B158" s="47" t="n">
        <f aca="false">A158*$C$6</f>
        <v>0.272667003482717</v>
      </c>
      <c r="C158" s="48" t="n">
        <f aca="false">$C$7*B158</f>
        <v>2.06944444444444</v>
      </c>
      <c r="D158" s="49" t="n">
        <f aca="false">0.5*c_rho*'P3 Energie'!E8*'P3 Energie'!E7*(C158-c_Vv)^2+'P3 Energie'!E13+'P3 Energie'!E15+'P3 Energie'!E6*$C$7</f>
        <v>18181.8201382888</v>
      </c>
      <c r="E158" s="50" t="n">
        <f aca="false">D158*C158</f>
        <v>37626.2666750699</v>
      </c>
      <c r="F158" s="46" t="n">
        <v>149</v>
      </c>
      <c r="G158" s="47" t="n">
        <f aca="false">F158*$H$6</f>
        <v>0.27187974384684</v>
      </c>
      <c r="H158" s="48" t="n">
        <f aca="false">$H$7*G158</f>
        <v>2.06944444444444</v>
      </c>
      <c r="I158" s="49" t="n">
        <f aca="false">0.5*c_rho*'P3 Energie'!F8*'P3 Energie'!F7*(H158-c_Vv)^2+'P3 Energie'!F13+'P3 Energie'!F15+'P3 Energie'!F6*$H$7</f>
        <v>19039.7875350465</v>
      </c>
      <c r="J158" s="50" t="n">
        <f aca="false">I158*H158</f>
        <v>39401.7825378046</v>
      </c>
    </row>
    <row r="159" customFormat="false" ht="15" hidden="false" customHeight="false" outlineLevel="0" collapsed="false">
      <c r="A159" s="46" t="n">
        <v>150</v>
      </c>
      <c r="B159" s="47" t="n">
        <f aca="false">A159*$C$6</f>
        <v>0.274496983371862</v>
      </c>
      <c r="C159" s="48" t="n">
        <f aca="false">$C$7*B159</f>
        <v>2.08333333333333</v>
      </c>
      <c r="D159" s="49" t="n">
        <f aca="false">0.5*c_rho*'P3 Energie'!E8*'P3 Energie'!E7*(C159-c_Vv)^2+'P3 Energie'!E13+'P3 Energie'!E15+'P3 Energie'!E6*$C$7</f>
        <v>18181.8431769039</v>
      </c>
      <c r="E159" s="50" t="n">
        <f aca="false">D159*C159</f>
        <v>37878.8399518832</v>
      </c>
      <c r="F159" s="46" t="n">
        <v>150</v>
      </c>
      <c r="G159" s="47" t="n">
        <f aca="false">F159*$H$6</f>
        <v>0.273704440114268</v>
      </c>
      <c r="H159" s="48" t="n">
        <f aca="false">$H$7*G159</f>
        <v>2.08333333333333</v>
      </c>
      <c r="I159" s="49" t="n">
        <f aca="false">0.5*c_rho*'P3 Energie'!F8*'P3 Energie'!F7*(H159-c_Vv)^2+'P3 Energie'!F13+'P3 Energie'!F15+'P3 Energie'!F6*$H$7</f>
        <v>19039.8075515046</v>
      </c>
      <c r="J159" s="50" t="n">
        <f aca="false">I159*H159</f>
        <v>39666.2657323013</v>
      </c>
    </row>
    <row r="160" customFormat="false" ht="15" hidden="false" customHeight="false" outlineLevel="0" collapsed="false">
      <c r="A160" s="46" t="n">
        <v>151</v>
      </c>
      <c r="B160" s="47" t="n">
        <f aca="false">A160*$C$6</f>
        <v>0.276326963261008</v>
      </c>
      <c r="C160" s="48" t="n">
        <f aca="false">$C$7*B160</f>
        <v>2.09722222222222</v>
      </c>
      <c r="D160" s="49" t="n">
        <f aca="false">0.5*c_rho*'P3 Energie'!E8*'P3 Energie'!E7*(C160-c_Vv)^2+'P3 Energie'!E13+'P3 Energie'!E15+'P3 Energie'!E6*$C$7</f>
        <v>18181.8663696235</v>
      </c>
      <c r="E160" s="50" t="n">
        <f aca="false">D160*C160</f>
        <v>38131.4141918493</v>
      </c>
      <c r="F160" s="46" t="n">
        <v>151</v>
      </c>
      <c r="G160" s="47" t="n">
        <f aca="false">F160*$H$6</f>
        <v>0.275529136381696</v>
      </c>
      <c r="H160" s="48" t="n">
        <f aca="false">$H$7*G160</f>
        <v>2.09722222222222</v>
      </c>
      <c r="I160" s="49" t="n">
        <f aca="false">0.5*c_rho*'P3 Energie'!F8*'P3 Energie'!F7*(H160-c_Vv)^2+'P3 Energie'!F13+'P3 Energie'!F15+'P3 Energie'!F6*$H$7</f>
        <v>19039.8277018521</v>
      </c>
      <c r="J160" s="50" t="n">
        <f aca="false">I160*H160</f>
        <v>39930.7497636065</v>
      </c>
    </row>
    <row r="161" customFormat="false" ht="15" hidden="false" customHeight="false" outlineLevel="0" collapsed="false">
      <c r="A161" s="46" t="n">
        <v>152</v>
      </c>
      <c r="B161" s="47" t="n">
        <f aca="false">A161*$C$6</f>
        <v>0.278156943150154</v>
      </c>
      <c r="C161" s="48" t="n">
        <f aca="false">$C$7*B161</f>
        <v>2.11111111111111</v>
      </c>
      <c r="D161" s="49" t="n">
        <f aca="false">0.5*c_rho*'P3 Energie'!E8*'P3 Energie'!E7*(C161-c_Vv)^2+'P3 Energie'!E13+'P3 Energie'!E15+'P3 Energie'!E6*$C$7</f>
        <v>18181.8897164476</v>
      </c>
      <c r="E161" s="50" t="n">
        <f aca="false">D161*C161</f>
        <v>38383.9894013893</v>
      </c>
      <c r="F161" s="46" t="n">
        <v>152</v>
      </c>
      <c r="G161" s="47" t="n">
        <f aca="false">F161*$H$6</f>
        <v>0.277353832649125</v>
      </c>
      <c r="H161" s="48" t="n">
        <f aca="false">$H$7*G161</f>
        <v>2.11111111111111</v>
      </c>
      <c r="I161" s="49" t="n">
        <f aca="false">0.5*c_rho*'P3 Energie'!F8*'P3 Energie'!F7*(H161-c_Vv)^2+'P3 Energie'!F13+'P3 Energie'!F15+'P3 Energie'!F6*$H$7</f>
        <v>19039.8479860889</v>
      </c>
      <c r="J161" s="50" t="n">
        <f aca="false">I161*H161</f>
        <v>40195.2346372988</v>
      </c>
    </row>
    <row r="162" customFormat="false" ht="15" hidden="false" customHeight="false" outlineLevel="0" collapsed="false">
      <c r="A162" s="46" t="n">
        <v>153</v>
      </c>
      <c r="B162" s="47" t="n">
        <f aca="false">A162*$C$6</f>
        <v>0.2799869230393</v>
      </c>
      <c r="C162" s="48" t="n">
        <f aca="false">$C$7*B162</f>
        <v>2.125</v>
      </c>
      <c r="D162" s="49" t="n">
        <f aca="false">0.5*c_rho*'P3 Energie'!E8*'P3 Energie'!E7*(C162-c_Vv)^2+'P3 Energie'!E13+'P3 Energie'!E15+'P3 Energie'!E6*$C$7</f>
        <v>18181.913217376</v>
      </c>
      <c r="E162" s="50" t="n">
        <f aca="false">D162*C162</f>
        <v>38636.5655869241</v>
      </c>
      <c r="F162" s="46" t="n">
        <v>153</v>
      </c>
      <c r="G162" s="47" t="n">
        <f aca="false">F162*$H$6</f>
        <v>0.279178528916553</v>
      </c>
      <c r="H162" s="48" t="n">
        <f aca="false">$H$7*G162</f>
        <v>2.125</v>
      </c>
      <c r="I162" s="49" t="n">
        <f aca="false">0.5*c_rho*'P3 Energie'!F8*'P3 Energie'!F7*(H162-c_Vv)^2+'P3 Energie'!F13+'P3 Energie'!F15+'P3 Energie'!F6*$H$7</f>
        <v>19039.868404215</v>
      </c>
      <c r="J162" s="50" t="n">
        <f aca="false">I162*H162</f>
        <v>40459.720358957</v>
      </c>
    </row>
    <row r="163" customFormat="false" ht="15" hidden="false" customHeight="false" outlineLevel="0" collapsed="false">
      <c r="A163" s="46" t="n">
        <v>154</v>
      </c>
      <c r="B163" s="47" t="n">
        <f aca="false">A163*$C$6</f>
        <v>0.281816902928445</v>
      </c>
      <c r="C163" s="48" t="n">
        <f aca="false">$C$7*B163</f>
        <v>2.13888888888889</v>
      </c>
      <c r="D163" s="49" t="n">
        <f aca="false">0.5*c_rho*'P3 Energie'!E8*'P3 Energie'!E7*(C163-c_Vv)^2+'P3 Energie'!E13+'P3 Energie'!E15+'P3 Energie'!E6*$C$7</f>
        <v>18181.936872409</v>
      </c>
      <c r="E163" s="50" t="n">
        <f aca="false">D163*C163</f>
        <v>38889.1427548748</v>
      </c>
      <c r="F163" s="46" t="n">
        <v>154</v>
      </c>
      <c r="G163" s="47" t="n">
        <f aca="false">F163*$H$6</f>
        <v>0.281003225183982</v>
      </c>
      <c r="H163" s="48" t="n">
        <f aca="false">$H$7*G163</f>
        <v>2.13888888888889</v>
      </c>
      <c r="I163" s="49" t="n">
        <f aca="false">0.5*c_rho*'P3 Energie'!F8*'P3 Energie'!F7*(H163-c_Vv)^2+'P3 Energie'!F13+'P3 Energie'!F15+'P3 Energie'!F6*$H$7</f>
        <v>19039.8889562306</v>
      </c>
      <c r="J163" s="50" t="n">
        <f aca="false">I163*H163</f>
        <v>40724.2069341598</v>
      </c>
    </row>
    <row r="164" customFormat="false" ht="15" hidden="false" customHeight="false" outlineLevel="0" collapsed="false">
      <c r="A164" s="46" t="n">
        <v>155</v>
      </c>
      <c r="B164" s="47" t="n">
        <f aca="false">A164*$C$6</f>
        <v>0.283646882817591</v>
      </c>
      <c r="C164" s="48" t="n">
        <f aca="false">$C$7*B164</f>
        <v>2.15277777777778</v>
      </c>
      <c r="D164" s="49" t="n">
        <f aca="false">0.5*c_rho*'P3 Energie'!E8*'P3 Energie'!E7*(C164-c_Vv)^2+'P3 Energie'!E13+'P3 Energie'!E15+'P3 Energie'!E6*$C$7</f>
        <v>18181.9606815464</v>
      </c>
      <c r="E164" s="50" t="n">
        <f aca="false">D164*C164</f>
        <v>39141.7209116623</v>
      </c>
      <c r="F164" s="46" t="n">
        <v>155</v>
      </c>
      <c r="G164" s="47" t="n">
        <f aca="false">F164*$H$6</f>
        <v>0.28282792145141</v>
      </c>
      <c r="H164" s="48" t="n">
        <f aca="false">$H$7*G164</f>
        <v>2.15277777777778</v>
      </c>
      <c r="I164" s="49" t="n">
        <f aca="false">0.5*c_rho*'P3 Energie'!F8*'P3 Energie'!F7*(H164-c_Vv)^2+'P3 Energie'!F13+'P3 Energie'!F15+'P3 Energie'!F6*$H$7</f>
        <v>19039.9096421354</v>
      </c>
      <c r="J164" s="50" t="n">
        <f aca="false">I164*H164</f>
        <v>40988.694368486</v>
      </c>
    </row>
    <row r="165" customFormat="false" ht="15" hidden="false" customHeight="false" outlineLevel="0" collapsed="false">
      <c r="A165" s="46" t="n">
        <v>156</v>
      </c>
      <c r="B165" s="47" t="n">
        <f aca="false">A165*$C$6</f>
        <v>0.285476862706737</v>
      </c>
      <c r="C165" s="48" t="n">
        <f aca="false">$C$7*B165</f>
        <v>2.16666666666667</v>
      </c>
      <c r="D165" s="49" t="n">
        <f aca="false">0.5*c_rho*'P3 Energie'!E8*'P3 Energie'!E7*(C165-c_Vv)^2+'P3 Energie'!E13+'P3 Energie'!E15+'P3 Energie'!E6*$C$7</f>
        <v>18181.9846447882</v>
      </c>
      <c r="E165" s="50" t="n">
        <f aca="false">D165*C165</f>
        <v>39394.3000637078</v>
      </c>
      <c r="F165" s="46" t="n">
        <v>156</v>
      </c>
      <c r="G165" s="47" t="n">
        <f aca="false">F165*$H$6</f>
        <v>0.284652617718839</v>
      </c>
      <c r="H165" s="48" t="n">
        <f aca="false">$H$7*G165</f>
        <v>2.16666666666667</v>
      </c>
      <c r="I165" s="49" t="n">
        <f aca="false">0.5*c_rho*'P3 Energie'!F8*'P3 Energie'!F7*(H165-c_Vv)^2+'P3 Energie'!F13+'P3 Energie'!F15+'P3 Energie'!F6*$H$7</f>
        <v>19039.9304619296</v>
      </c>
      <c r="J165" s="50" t="n">
        <f aca="false">I165*H165</f>
        <v>41253.1826675142</v>
      </c>
    </row>
    <row r="166" customFormat="false" ht="15" hidden="false" customHeight="false" outlineLevel="0" collapsed="false">
      <c r="A166" s="46" t="n">
        <v>157</v>
      </c>
      <c r="B166" s="47" t="n">
        <f aca="false">A166*$C$6</f>
        <v>0.287306842595883</v>
      </c>
      <c r="C166" s="48" t="n">
        <f aca="false">$C$7*B166</f>
        <v>2.18055555555556</v>
      </c>
      <c r="D166" s="49" t="n">
        <f aca="false">0.5*c_rho*'P3 Energie'!E8*'P3 Energie'!E7*(C166-c_Vv)^2+'P3 Energie'!E13+'P3 Energie'!E15+'P3 Energie'!E6*$C$7</f>
        <v>18182.0087621345</v>
      </c>
      <c r="E166" s="50" t="n">
        <f aca="false">D166*C166</f>
        <v>39646.8802174321</v>
      </c>
      <c r="F166" s="46" t="n">
        <v>157</v>
      </c>
      <c r="G166" s="47" t="n">
        <f aca="false">F166*$H$6</f>
        <v>0.286477313986267</v>
      </c>
      <c r="H166" s="48" t="n">
        <f aca="false">$H$7*G166</f>
        <v>2.18055555555556</v>
      </c>
      <c r="I166" s="49" t="n">
        <f aca="false">0.5*c_rho*'P3 Energie'!F8*'P3 Energie'!F7*(H166-c_Vv)^2+'P3 Energie'!F13+'P3 Energie'!F15+'P3 Energie'!F6*$H$7</f>
        <v>19039.9514156132</v>
      </c>
      <c r="J166" s="50" t="n">
        <f aca="false">I166*H166</f>
        <v>41517.6718368232</v>
      </c>
    </row>
    <row r="167" customFormat="false" ht="15" hidden="false" customHeight="false" outlineLevel="0" collapsed="false">
      <c r="A167" s="46" t="n">
        <v>158</v>
      </c>
      <c r="B167" s="47" t="n">
        <f aca="false">A167*$C$6</f>
        <v>0.289136822485028</v>
      </c>
      <c r="C167" s="48" t="n">
        <f aca="false">$C$7*B167</f>
        <v>2.19444444444444</v>
      </c>
      <c r="D167" s="49" t="n">
        <f aca="false">0.5*c_rho*'P3 Energie'!E8*'P3 Energie'!E7*(C167-c_Vv)^2+'P3 Energie'!E13+'P3 Energie'!E15+'P3 Energie'!E6*$C$7</f>
        <v>18182.0330335852</v>
      </c>
      <c r="E167" s="50" t="n">
        <f aca="false">D167*C167</f>
        <v>39899.4613792564</v>
      </c>
      <c r="F167" s="46" t="n">
        <v>158</v>
      </c>
      <c r="G167" s="47" t="n">
        <f aca="false">F167*$H$6</f>
        <v>0.288302010253696</v>
      </c>
      <c r="H167" s="48" t="n">
        <f aca="false">$H$7*G167</f>
        <v>2.19444444444444</v>
      </c>
      <c r="I167" s="49" t="n">
        <f aca="false">0.5*c_rho*'P3 Energie'!F8*'P3 Energie'!F7*(H167-c_Vv)^2+'P3 Energie'!F13+'P3 Energie'!F15+'P3 Energie'!F6*$H$7</f>
        <v>19039.9725031861</v>
      </c>
      <c r="J167" s="50" t="n">
        <f aca="false">I167*H167</f>
        <v>41782.1618819918</v>
      </c>
    </row>
    <row r="168" customFormat="false" ht="15" hidden="false" customHeight="false" outlineLevel="0" collapsed="false">
      <c r="A168" s="46" t="n">
        <v>159</v>
      </c>
      <c r="B168" s="47" t="n">
        <f aca="false">A168*$C$6</f>
        <v>0.290966802374174</v>
      </c>
      <c r="C168" s="48" t="n">
        <f aca="false">$C$7*B168</f>
        <v>2.20833333333333</v>
      </c>
      <c r="D168" s="49" t="n">
        <f aca="false">0.5*c_rho*'P3 Energie'!E8*'P3 Energie'!E7*(C168-c_Vv)^2+'P3 Energie'!E13+'P3 Energie'!E15+'P3 Energie'!E6*$C$7</f>
        <v>18182.0574591404</v>
      </c>
      <c r="E168" s="50" t="n">
        <f aca="false">D168*C168</f>
        <v>40152.0435556017</v>
      </c>
      <c r="F168" s="46" t="n">
        <v>159</v>
      </c>
      <c r="G168" s="47" t="n">
        <f aca="false">F168*$H$6</f>
        <v>0.290126706521124</v>
      </c>
      <c r="H168" s="48" t="n">
        <f aca="false">$H$7*G168</f>
        <v>2.20833333333333</v>
      </c>
      <c r="I168" s="49" t="n">
        <f aca="false">0.5*c_rho*'P3 Energie'!F8*'P3 Energie'!F7*(H168-c_Vv)^2+'P3 Energie'!F13+'P3 Energie'!F15+'P3 Energie'!F6*$H$7</f>
        <v>19039.9937246484</v>
      </c>
      <c r="J168" s="50" t="n">
        <f aca="false">I168*H168</f>
        <v>42046.6528085985</v>
      </c>
    </row>
    <row r="169" customFormat="false" ht="15" hidden="false" customHeight="false" outlineLevel="0" collapsed="false">
      <c r="A169" s="46" t="n">
        <v>160</v>
      </c>
      <c r="B169" s="47" t="n">
        <f aca="false">A169*$C$6</f>
        <v>0.29279678226332</v>
      </c>
      <c r="C169" s="48" t="n">
        <f aca="false">$C$7*B169</f>
        <v>2.22222222222222</v>
      </c>
      <c r="D169" s="49" t="n">
        <f aca="false">0.5*c_rho*'P3 Energie'!E8*'P3 Energie'!E7*(C169-c_Vv)^2+'P3 Energie'!E13+'P3 Energie'!E15+'P3 Energie'!E6*$C$7</f>
        <v>18182.0820388</v>
      </c>
      <c r="E169" s="50" t="n">
        <f aca="false">D169*C169</f>
        <v>40404.6267528889</v>
      </c>
      <c r="F169" s="46" t="n">
        <v>160</v>
      </c>
      <c r="G169" s="47" t="n">
        <f aca="false">F169*$H$6</f>
        <v>0.291951402788553</v>
      </c>
      <c r="H169" s="48" t="n">
        <f aca="false">$H$7*G169</f>
        <v>2.22222222222222</v>
      </c>
      <c r="I169" s="49" t="n">
        <f aca="false">0.5*c_rho*'P3 Energie'!F8*'P3 Energie'!F7*(H169-c_Vv)^2+'P3 Energie'!F13+'P3 Energie'!F15+'P3 Energie'!F6*$H$7</f>
        <v>19040.01508</v>
      </c>
      <c r="J169" s="50" t="n">
        <f aca="false">I169*H169</f>
        <v>42311.1446222222</v>
      </c>
    </row>
    <row r="170" customFormat="false" ht="15" hidden="false" customHeight="false" outlineLevel="0" collapsed="false">
      <c r="A170" s="46" t="n">
        <v>161</v>
      </c>
      <c r="B170" s="47" t="n">
        <f aca="false">A170*$C$6</f>
        <v>0.294626762152466</v>
      </c>
      <c r="C170" s="48" t="n">
        <f aca="false">$C$7*B170</f>
        <v>2.23611111111111</v>
      </c>
      <c r="D170" s="49" t="n">
        <f aca="false">0.5*c_rho*'P3 Energie'!E8*'P3 Energie'!E7*(C170-c_Vv)^2+'P3 Energie'!E13+'P3 Energie'!E15+'P3 Energie'!E6*$C$7</f>
        <v>18182.1067725641</v>
      </c>
      <c r="E170" s="50" t="n">
        <f aca="false">D170*C170</f>
        <v>40657.2109775391</v>
      </c>
      <c r="F170" s="46" t="n">
        <v>161</v>
      </c>
      <c r="G170" s="47" t="n">
        <f aca="false">F170*$H$6</f>
        <v>0.293776099055981</v>
      </c>
      <c r="H170" s="48" t="n">
        <f aca="false">$H$7*G170</f>
        <v>2.23611111111111</v>
      </c>
      <c r="I170" s="49" t="n">
        <f aca="false">0.5*c_rho*'P3 Energie'!F8*'P3 Energie'!F7*(H170-c_Vv)^2+'P3 Energie'!F13+'P3 Energie'!F15+'P3 Energie'!F6*$H$7</f>
        <v>19040.036569241</v>
      </c>
      <c r="J170" s="50" t="n">
        <f aca="false">I170*H170</f>
        <v>42575.6373284416</v>
      </c>
    </row>
    <row r="171" customFormat="false" ht="15" hidden="false" customHeight="false" outlineLevel="0" collapsed="false">
      <c r="A171" s="46" t="n">
        <v>162</v>
      </c>
      <c r="B171" s="47" t="n">
        <f aca="false">A171*$C$6</f>
        <v>0.296456742041611</v>
      </c>
      <c r="C171" s="48" t="n">
        <f aca="false">$C$7*B171</f>
        <v>2.25</v>
      </c>
      <c r="D171" s="49" t="n">
        <f aca="false">0.5*c_rho*'P3 Energie'!E8*'P3 Energie'!E7*(C171-c_Vv)^2+'P3 Energie'!E13+'P3 Energie'!E15+'P3 Energie'!E6*$C$7</f>
        <v>18182.1316604326</v>
      </c>
      <c r="E171" s="50" t="n">
        <f aca="false">D171*C171</f>
        <v>40909.7962359734</v>
      </c>
      <c r="F171" s="46" t="n">
        <v>162</v>
      </c>
      <c r="G171" s="47" t="n">
        <f aca="false">F171*$H$6</f>
        <v>0.29560079532341</v>
      </c>
      <c r="H171" s="48" t="n">
        <f aca="false">$H$7*G171</f>
        <v>2.25</v>
      </c>
      <c r="I171" s="49" t="n">
        <f aca="false">0.5*c_rho*'P3 Energie'!F8*'P3 Energie'!F7*(H171-c_Vv)^2+'P3 Energie'!F13+'P3 Energie'!F15+'P3 Energie'!F6*$H$7</f>
        <v>19040.0581923713</v>
      </c>
      <c r="J171" s="50" t="n">
        <f aca="false">I171*H171</f>
        <v>42840.1309328354</v>
      </c>
    </row>
    <row r="172" customFormat="false" ht="15" hidden="false" customHeight="false" outlineLevel="0" collapsed="false">
      <c r="A172" s="46" t="n">
        <v>163</v>
      </c>
      <c r="B172" s="47" t="n">
        <f aca="false">A172*$C$6</f>
        <v>0.298286721930757</v>
      </c>
      <c r="C172" s="48" t="n">
        <f aca="false">$C$7*B172</f>
        <v>2.26388888888889</v>
      </c>
      <c r="D172" s="49" t="n">
        <f aca="false">0.5*c_rho*'P3 Energie'!E8*'P3 Energie'!E7*(C172-c_Vv)^2+'P3 Energie'!E13+'P3 Energie'!E15+'P3 Energie'!E6*$C$7</f>
        <v>18182.1567024056</v>
      </c>
      <c r="E172" s="50" t="n">
        <f aca="false">D172*C172</f>
        <v>41162.3825346126</v>
      </c>
      <c r="F172" s="46" t="n">
        <v>163</v>
      </c>
      <c r="G172" s="47" t="n">
        <f aca="false">F172*$H$6</f>
        <v>0.297425491590838</v>
      </c>
      <c r="H172" s="48" t="n">
        <f aca="false">$H$7*G172</f>
        <v>2.26388888888889</v>
      </c>
      <c r="I172" s="49" t="n">
        <f aca="false">0.5*c_rho*'P3 Energie'!F8*'P3 Energie'!F7*(H172-c_Vv)^2+'P3 Energie'!F13+'P3 Energie'!F15+'P3 Energie'!F6*$H$7</f>
        <v>19040.079949391</v>
      </c>
      <c r="J172" s="50" t="n">
        <f aca="false">I172*H172</f>
        <v>43104.6254409823</v>
      </c>
    </row>
    <row r="173" customFormat="false" ht="15" hidden="false" customHeight="false" outlineLevel="0" collapsed="false">
      <c r="A173" s="46" t="n">
        <v>164</v>
      </c>
      <c r="B173" s="47" t="n">
        <f aca="false">A173*$C$6</f>
        <v>0.300116701819903</v>
      </c>
      <c r="C173" s="48" t="n">
        <f aca="false">$C$7*B173</f>
        <v>2.27777777777778</v>
      </c>
      <c r="D173" s="49" t="n">
        <f aca="false">0.5*c_rho*'P3 Energie'!E8*'P3 Energie'!E7*(C173-c_Vv)^2+'P3 Energie'!E13+'P3 Energie'!E15+'P3 Energie'!E6*$C$7</f>
        <v>18182.181898483</v>
      </c>
      <c r="E173" s="50" t="n">
        <f aca="false">D173*C173</f>
        <v>41414.969879878</v>
      </c>
      <c r="F173" s="46" t="n">
        <v>164</v>
      </c>
      <c r="G173" s="47" t="n">
        <f aca="false">F173*$H$6</f>
        <v>0.299250187858266</v>
      </c>
      <c r="H173" s="48" t="n">
        <f aca="false">$H$7*G173</f>
        <v>2.27777777777778</v>
      </c>
      <c r="I173" s="49" t="n">
        <f aca="false">0.5*c_rho*'P3 Energie'!F8*'P3 Energie'!F7*(H173-c_Vv)^2+'P3 Energie'!F13+'P3 Energie'!F15+'P3 Energie'!F6*$H$7</f>
        <v>19040.1018403</v>
      </c>
      <c r="J173" s="50" t="n">
        <f aca="false">I173*H173</f>
        <v>43369.1208584611</v>
      </c>
    </row>
    <row r="174" customFormat="false" ht="15" hidden="false" customHeight="false" outlineLevel="0" collapsed="false">
      <c r="A174" s="46" t="n">
        <v>165</v>
      </c>
      <c r="B174" s="47" t="n">
        <f aca="false">A174*$C$6</f>
        <v>0.301946681709049</v>
      </c>
      <c r="C174" s="48" t="n">
        <f aca="false">$C$7*B174</f>
        <v>2.29166666666667</v>
      </c>
      <c r="D174" s="49" t="n">
        <f aca="false">0.5*c_rho*'P3 Energie'!E8*'P3 Energie'!E7*(C174-c_Vv)^2+'P3 Energie'!E13+'P3 Energie'!E15+'P3 Energie'!E6*$C$7</f>
        <v>18182.2072486649</v>
      </c>
      <c r="E174" s="50" t="n">
        <f aca="false">D174*C174</f>
        <v>41667.5582781903</v>
      </c>
      <c r="F174" s="46" t="n">
        <v>165</v>
      </c>
      <c r="G174" s="47" t="n">
        <f aca="false">F174*$H$6</f>
        <v>0.301074884125695</v>
      </c>
      <c r="H174" s="48" t="n">
        <f aca="false">$H$7*G174</f>
        <v>2.29166666666667</v>
      </c>
      <c r="I174" s="49" t="n">
        <f aca="false">0.5*c_rho*'P3 Energie'!F8*'P3 Energie'!F7*(H174-c_Vv)^2+'P3 Energie'!F13+'P3 Energie'!F15+'P3 Energie'!F6*$H$7</f>
        <v>19040.1238650984</v>
      </c>
      <c r="J174" s="50" t="n">
        <f aca="false">I174*H174</f>
        <v>43633.6171908505</v>
      </c>
    </row>
    <row r="175" customFormat="false" ht="15" hidden="false" customHeight="false" outlineLevel="0" collapsed="false">
      <c r="A175" s="46" t="n">
        <v>166</v>
      </c>
      <c r="B175" s="47" t="n">
        <f aca="false">A175*$C$6</f>
        <v>0.303776661598194</v>
      </c>
      <c r="C175" s="48" t="n">
        <f aca="false">$C$7*B175</f>
        <v>2.30555555555556</v>
      </c>
      <c r="D175" s="49" t="n">
        <f aca="false">0.5*c_rho*'P3 Energie'!E8*'P3 Energie'!E7*(C175-c_Vv)^2+'P3 Energie'!E13+'P3 Energie'!E15+'P3 Energie'!E6*$C$7</f>
        <v>18182.2327529512</v>
      </c>
      <c r="E175" s="50" t="n">
        <f aca="false">D175*C175</f>
        <v>41920.1477359708</v>
      </c>
      <c r="F175" s="46" t="n">
        <v>166</v>
      </c>
      <c r="G175" s="47" t="n">
        <f aca="false">F175*$H$6</f>
        <v>0.302899580393123</v>
      </c>
      <c r="H175" s="48" t="n">
        <f aca="false">$H$7*G175</f>
        <v>2.30555555555556</v>
      </c>
      <c r="I175" s="49" t="n">
        <f aca="false">0.5*c_rho*'P3 Energie'!F8*'P3 Energie'!F7*(H175-c_Vv)^2+'P3 Energie'!F13+'P3 Energie'!F15+'P3 Energie'!F6*$H$7</f>
        <v>19040.1460237861</v>
      </c>
      <c r="J175" s="50" t="n">
        <f aca="false">I175*H175</f>
        <v>43898.1144437291</v>
      </c>
    </row>
    <row r="176" customFormat="false" ht="15" hidden="false" customHeight="false" outlineLevel="0" collapsed="false">
      <c r="A176" s="46" t="n">
        <v>167</v>
      </c>
      <c r="B176" s="47" t="n">
        <f aca="false">A176*$C$6</f>
        <v>0.30560664148734</v>
      </c>
      <c r="C176" s="48" t="n">
        <f aca="false">$C$7*B176</f>
        <v>2.31944444444444</v>
      </c>
      <c r="D176" s="49" t="n">
        <f aca="false">0.5*c_rho*'P3 Energie'!E8*'P3 Energie'!E7*(C176-c_Vv)^2+'P3 Energie'!E13+'P3 Energie'!E15+'P3 Energie'!E6*$C$7</f>
        <v>18182.258411342</v>
      </c>
      <c r="E176" s="50" t="n">
        <f aca="false">D176*C176</f>
        <v>42172.7382596404</v>
      </c>
      <c r="F176" s="46" t="n">
        <v>167</v>
      </c>
      <c r="G176" s="47" t="n">
        <f aca="false">F176*$H$6</f>
        <v>0.304724276660552</v>
      </c>
      <c r="H176" s="48" t="n">
        <f aca="false">$H$7*G176</f>
        <v>2.31944444444444</v>
      </c>
      <c r="I176" s="49" t="n">
        <f aca="false">0.5*c_rho*'P3 Energie'!F8*'P3 Energie'!F7*(H176-c_Vv)^2+'P3 Energie'!F13+'P3 Energie'!F15+'P3 Energie'!F6*$H$7</f>
        <v>19040.1683163632</v>
      </c>
      <c r="J176" s="50" t="n">
        <f aca="false">I176*H176</f>
        <v>44162.6126226757</v>
      </c>
    </row>
    <row r="177" customFormat="false" ht="15" hidden="false" customHeight="false" outlineLevel="0" collapsed="false">
      <c r="A177" s="46" t="n">
        <v>168</v>
      </c>
      <c r="B177" s="47" t="n">
        <f aca="false">A177*$C$6</f>
        <v>0.307436621376486</v>
      </c>
      <c r="C177" s="48" t="n">
        <f aca="false">$C$7*B177</f>
        <v>2.33333333333333</v>
      </c>
      <c r="D177" s="49" t="n">
        <f aca="false">0.5*c_rho*'P3 Energie'!E8*'P3 Energie'!E7*(C177-c_Vv)^2+'P3 Energie'!E13+'P3 Energie'!E15+'P3 Energie'!E6*$C$7</f>
        <v>18182.2842238372</v>
      </c>
      <c r="E177" s="50" t="n">
        <f aca="false">D177*C177</f>
        <v>42425.3298556201</v>
      </c>
      <c r="F177" s="46" t="n">
        <v>168</v>
      </c>
      <c r="G177" s="47" t="n">
        <f aca="false">F177*$H$6</f>
        <v>0.30654897292798</v>
      </c>
      <c r="H177" s="48" t="n">
        <f aca="false">$H$7*G177</f>
        <v>2.33333333333333</v>
      </c>
      <c r="I177" s="49" t="n">
        <f aca="false">0.5*c_rho*'P3 Energie'!F8*'P3 Energie'!F7*(H177-c_Vv)^2+'P3 Energie'!F13+'P3 Energie'!F15+'P3 Energie'!F6*$H$7</f>
        <v>19040.1907428296</v>
      </c>
      <c r="J177" s="50" t="n">
        <f aca="false">I177*H177</f>
        <v>44427.1117332691</v>
      </c>
    </row>
    <row r="178" customFormat="false" ht="15" hidden="false" customHeight="false" outlineLevel="0" collapsed="false">
      <c r="A178" s="46" t="n">
        <v>169</v>
      </c>
      <c r="B178" s="47" t="n">
        <f aca="false">A178*$C$6</f>
        <v>0.309266601265632</v>
      </c>
      <c r="C178" s="48" t="n">
        <f aca="false">$C$7*B178</f>
        <v>2.34722222222222</v>
      </c>
      <c r="D178" s="49" t="n">
        <f aca="false">0.5*c_rho*'P3 Energie'!E8*'P3 Energie'!E7*(C178-c_Vv)^2+'P3 Energie'!E13+'P3 Energie'!E15+'P3 Energie'!E6*$C$7</f>
        <v>18182.3101904369</v>
      </c>
      <c r="E178" s="50" t="n">
        <f aca="false">D178*C178</f>
        <v>42677.922530331</v>
      </c>
      <c r="F178" s="46" t="n">
        <v>169</v>
      </c>
      <c r="G178" s="47" t="n">
        <f aca="false">F178*$H$6</f>
        <v>0.308373669195409</v>
      </c>
      <c r="H178" s="48" t="n">
        <f aca="false">$H$7*G178</f>
        <v>2.34722222222222</v>
      </c>
      <c r="I178" s="49" t="n">
        <f aca="false">0.5*c_rho*'P3 Energie'!F8*'P3 Energie'!F7*(H178-c_Vv)^2+'P3 Energie'!F13+'P3 Energie'!F15+'P3 Energie'!F6*$H$7</f>
        <v>19040.2133031854</v>
      </c>
      <c r="J178" s="50" t="n">
        <f aca="false">I178*H178</f>
        <v>44691.611781088</v>
      </c>
    </row>
    <row r="179" customFormat="false" ht="15" hidden="false" customHeight="false" outlineLevel="0" collapsed="false">
      <c r="A179" s="46" t="n">
        <v>170</v>
      </c>
      <c r="B179" s="47" t="n">
        <f aca="false">A179*$C$6</f>
        <v>0.311096581154777</v>
      </c>
      <c r="C179" s="48" t="n">
        <f aca="false">$C$7*B179</f>
        <v>2.36111111111111</v>
      </c>
      <c r="D179" s="49" t="n">
        <f aca="false">0.5*c_rho*'P3 Energie'!E8*'P3 Energie'!E7*(C179-c_Vv)^2+'P3 Energie'!E13+'P3 Energie'!E15+'P3 Energie'!E6*$C$7</f>
        <v>18182.336311141</v>
      </c>
      <c r="E179" s="50" t="n">
        <f aca="false">D179*C179</f>
        <v>42930.516290194</v>
      </c>
      <c r="F179" s="46" t="n">
        <v>170</v>
      </c>
      <c r="G179" s="47" t="n">
        <f aca="false">F179*$H$6</f>
        <v>0.310198365462837</v>
      </c>
      <c r="H179" s="48" t="n">
        <f aca="false">$H$7*G179</f>
        <v>2.36111111111111</v>
      </c>
      <c r="I179" s="49" t="n">
        <f aca="false">0.5*c_rho*'P3 Energie'!F8*'P3 Energie'!F7*(H179-c_Vv)^2+'P3 Energie'!F13+'P3 Energie'!F15+'P3 Energie'!F6*$H$7</f>
        <v>19040.2359974306</v>
      </c>
      <c r="J179" s="50" t="n">
        <f aca="false">I179*H179</f>
        <v>44956.112771711</v>
      </c>
    </row>
    <row r="180" customFormat="false" ht="15" hidden="false" customHeight="false" outlineLevel="0" collapsed="false">
      <c r="A180" s="46" t="n">
        <v>171</v>
      </c>
      <c r="B180" s="47" t="n">
        <f aca="false">A180*$C$6</f>
        <v>0.312926561043923</v>
      </c>
      <c r="C180" s="48" t="n">
        <f aca="false">$C$7*B180</f>
        <v>2.375</v>
      </c>
      <c r="D180" s="49" t="n">
        <f aca="false">0.5*c_rho*'P3 Energie'!E8*'P3 Energie'!E7*(C180-c_Vv)^2+'P3 Energie'!E13+'P3 Energie'!E15+'P3 Energie'!E6*$C$7</f>
        <v>18182.3625859495</v>
      </c>
      <c r="E180" s="50" t="n">
        <f aca="false">D180*C180</f>
        <v>43183.1111416302</v>
      </c>
      <c r="F180" s="46" t="n">
        <v>171</v>
      </c>
      <c r="G180" s="47" t="n">
        <f aca="false">F180*$H$6</f>
        <v>0.312023061730266</v>
      </c>
      <c r="H180" s="48" t="n">
        <f aca="false">$H$7*G180</f>
        <v>2.375</v>
      </c>
      <c r="I180" s="49" t="n">
        <f aca="false">0.5*c_rho*'P3 Energie'!F8*'P3 Energie'!F7*(H180-c_Vv)^2+'P3 Energie'!F13+'P3 Energie'!F15+'P3 Energie'!F6*$H$7</f>
        <v>19040.258825565</v>
      </c>
      <c r="J180" s="50" t="n">
        <f aca="false">I180*H180</f>
        <v>45220.614710717</v>
      </c>
    </row>
    <row r="181" customFormat="false" ht="15" hidden="false" customHeight="false" outlineLevel="0" collapsed="false">
      <c r="A181" s="46" t="n">
        <v>172</v>
      </c>
      <c r="B181" s="47" t="n">
        <f aca="false">A181*$C$6</f>
        <v>0.314756540933069</v>
      </c>
      <c r="C181" s="48" t="n">
        <f aca="false">$C$7*B181</f>
        <v>2.38888888888889</v>
      </c>
      <c r="D181" s="49" t="n">
        <f aca="false">0.5*c_rho*'P3 Energie'!E8*'P3 Energie'!E7*(C181-c_Vv)^2+'P3 Energie'!E13+'P3 Energie'!E15+'P3 Energie'!E6*$C$7</f>
        <v>18182.3890148626</v>
      </c>
      <c r="E181" s="50" t="n">
        <f aca="false">D181*C181</f>
        <v>43435.7070910606</v>
      </c>
      <c r="F181" s="46" t="n">
        <v>172</v>
      </c>
      <c r="G181" s="47" t="n">
        <f aca="false">F181*$H$6</f>
        <v>0.313847757997694</v>
      </c>
      <c r="H181" s="48" t="n">
        <f aca="false">$H$7*G181</f>
        <v>2.38888888888889</v>
      </c>
      <c r="I181" s="49" t="n">
        <f aca="false">0.5*c_rho*'P3 Energie'!F8*'P3 Energie'!F7*(H181-c_Vv)^2+'P3 Energie'!F13+'P3 Energie'!F15+'P3 Energie'!F6*$H$7</f>
        <v>19040.2817875889</v>
      </c>
      <c r="J181" s="50" t="n">
        <f aca="false">I181*H181</f>
        <v>45485.1176036846</v>
      </c>
    </row>
    <row r="182" customFormat="false" ht="15" hidden="false" customHeight="false" outlineLevel="0" collapsed="false">
      <c r="A182" s="46" t="n">
        <v>173</v>
      </c>
      <c r="B182" s="47" t="n">
        <f aca="false">A182*$C$6</f>
        <v>0.316586520822215</v>
      </c>
      <c r="C182" s="48" t="n">
        <f aca="false">$C$7*B182</f>
        <v>2.40277777777778</v>
      </c>
      <c r="D182" s="49" t="n">
        <f aca="false">0.5*c_rho*'P3 Energie'!E8*'P3 Energie'!E7*(C182-c_Vv)^2+'P3 Energie'!E13+'P3 Energie'!E15+'P3 Energie'!E6*$C$7</f>
        <v>18182.41559788</v>
      </c>
      <c r="E182" s="50" t="n">
        <f aca="false">D182*C182</f>
        <v>43688.3041449062</v>
      </c>
      <c r="F182" s="46" t="n">
        <v>173</v>
      </c>
      <c r="G182" s="47" t="n">
        <f aca="false">F182*$H$6</f>
        <v>0.315672454265122</v>
      </c>
      <c r="H182" s="48" t="n">
        <f aca="false">$H$7*G182</f>
        <v>2.40277777777778</v>
      </c>
      <c r="I182" s="49" t="n">
        <f aca="false">0.5*c_rho*'P3 Energie'!F8*'P3 Energie'!F7*(H182-c_Vv)^2+'P3 Energie'!F13+'P3 Energie'!F15+'P3 Energie'!F6*$H$7</f>
        <v>19040.3048835021</v>
      </c>
      <c r="J182" s="50" t="n">
        <f aca="false">I182*H182</f>
        <v>45749.6214561925</v>
      </c>
    </row>
    <row r="183" customFormat="false" ht="15" hidden="false" customHeight="false" outlineLevel="0" collapsed="false">
      <c r="A183" s="46" t="n">
        <v>174</v>
      </c>
      <c r="B183" s="47" t="n">
        <f aca="false">A183*$C$6</f>
        <v>0.31841650071136</v>
      </c>
      <c r="C183" s="48" t="n">
        <f aca="false">$C$7*B183</f>
        <v>2.41666666666667</v>
      </c>
      <c r="D183" s="49" t="n">
        <f aca="false">0.5*c_rho*'P3 Energie'!E8*'P3 Energie'!E7*(C183-c_Vv)^2+'P3 Energie'!E13+'P3 Energie'!E15+'P3 Energie'!E6*$C$7</f>
        <v>18182.4423350019</v>
      </c>
      <c r="E183" s="50" t="n">
        <f aca="false">D183*C183</f>
        <v>43940.902309588</v>
      </c>
      <c r="F183" s="46" t="n">
        <v>174</v>
      </c>
      <c r="G183" s="47" t="n">
        <f aca="false">F183*$H$6</f>
        <v>0.317497150532551</v>
      </c>
      <c r="H183" s="48" t="n">
        <f aca="false">$H$7*G183</f>
        <v>2.41666666666667</v>
      </c>
      <c r="I183" s="49" t="n">
        <f aca="false">0.5*c_rho*'P3 Energie'!F8*'P3 Energie'!F7*(H183-c_Vv)^2+'P3 Energie'!F13+'P3 Energie'!F15+'P3 Energie'!F6*$H$7</f>
        <v>19040.3281133046</v>
      </c>
      <c r="J183" s="50" t="n">
        <f aca="false">I183*H183</f>
        <v>46014.1262738195</v>
      </c>
    </row>
    <row r="184" customFormat="false" ht="15" hidden="false" customHeight="false" outlineLevel="0" collapsed="false">
      <c r="A184" s="46" t="n">
        <v>175</v>
      </c>
      <c r="B184" s="47" t="n">
        <f aca="false">A184*$C$6</f>
        <v>0.320246480600506</v>
      </c>
      <c r="C184" s="48" t="n">
        <f aca="false">$C$7*B184</f>
        <v>2.43055555555556</v>
      </c>
      <c r="D184" s="49" t="n">
        <f aca="false">0.5*c_rho*'P3 Energie'!E8*'P3 Energie'!E7*(C184-c_Vv)^2+'P3 Energie'!E13+'P3 Energie'!E15+'P3 Energie'!E6*$C$7</f>
        <v>18182.4692262283</v>
      </c>
      <c r="E184" s="50" t="n">
        <f aca="false">D184*C184</f>
        <v>44193.5015915271</v>
      </c>
      <c r="F184" s="46" t="n">
        <v>175</v>
      </c>
      <c r="G184" s="47" t="n">
        <f aca="false">F184*$H$6</f>
        <v>0.319321846799979</v>
      </c>
      <c r="H184" s="48" t="n">
        <f aca="false">$H$7*G184</f>
        <v>2.43055555555556</v>
      </c>
      <c r="I184" s="49" t="n">
        <f aca="false">0.5*c_rho*'P3 Energie'!F8*'P3 Energie'!F7*(H184-c_Vv)^2+'P3 Energie'!F13+'P3 Energie'!F15+'P3 Energie'!F6*$H$7</f>
        <v>19040.3514769965</v>
      </c>
      <c r="J184" s="50" t="n">
        <f aca="false">I184*H184</f>
        <v>46278.6320621443</v>
      </c>
    </row>
    <row r="185" customFormat="false" ht="15" hidden="false" customHeight="false" outlineLevel="0" collapsed="false">
      <c r="A185" s="46" t="n">
        <v>176</v>
      </c>
      <c r="B185" s="47" t="n">
        <f aca="false">A185*$C$6</f>
        <v>0.322076460489652</v>
      </c>
      <c r="C185" s="48" t="n">
        <f aca="false">$C$7*B185</f>
        <v>2.44444444444444</v>
      </c>
      <c r="D185" s="49" t="n">
        <f aca="false">0.5*c_rho*'P3 Energie'!E8*'P3 Energie'!E7*(C185-c_Vv)^2+'P3 Energie'!E13+'P3 Energie'!E15+'P3 Energie'!E6*$C$7</f>
        <v>18182.4962715591</v>
      </c>
      <c r="E185" s="50" t="n">
        <f aca="false">D185*C185</f>
        <v>44446.1019971445</v>
      </c>
      <c r="F185" s="46" t="n">
        <v>176</v>
      </c>
      <c r="G185" s="47" t="n">
        <f aca="false">F185*$H$6</f>
        <v>0.321146543067408</v>
      </c>
      <c r="H185" s="48" t="n">
        <f aca="false">$H$7*G185</f>
        <v>2.44444444444444</v>
      </c>
      <c r="I185" s="49" t="n">
        <f aca="false">0.5*c_rho*'P3 Energie'!F8*'P3 Energie'!F7*(H185-c_Vv)^2+'P3 Energie'!F13+'P3 Energie'!F15+'P3 Energie'!F6*$H$7</f>
        <v>19040.3749745778</v>
      </c>
      <c r="J185" s="50" t="n">
        <f aca="false">I185*H185</f>
        <v>46543.1388267457</v>
      </c>
    </row>
    <row r="186" customFormat="false" ht="15" hidden="false" customHeight="false" outlineLevel="0" collapsed="false">
      <c r="A186" s="46" t="n">
        <v>177</v>
      </c>
      <c r="B186" s="47" t="n">
        <f aca="false">A186*$C$6</f>
        <v>0.323906440378798</v>
      </c>
      <c r="C186" s="48" t="n">
        <f aca="false">$C$7*B186</f>
        <v>2.45833333333333</v>
      </c>
      <c r="D186" s="49" t="n">
        <f aca="false">0.5*c_rho*'P3 Energie'!E8*'P3 Energie'!E7*(C186-c_Vv)^2+'P3 Energie'!E13+'P3 Energie'!E15+'P3 Energie'!E6*$C$7</f>
        <v>18182.5234709944</v>
      </c>
      <c r="E186" s="50" t="n">
        <f aca="false">D186*C186</f>
        <v>44698.7035328612</v>
      </c>
      <c r="F186" s="46" t="n">
        <v>177</v>
      </c>
      <c r="G186" s="47" t="n">
        <f aca="false">F186*$H$6</f>
        <v>0.322971239334836</v>
      </c>
      <c r="H186" s="48" t="n">
        <f aca="false">$H$7*G186</f>
        <v>2.45833333333333</v>
      </c>
      <c r="I186" s="49" t="n">
        <f aca="false">0.5*c_rho*'P3 Energie'!F8*'P3 Energie'!F7*(H186-c_Vv)^2+'P3 Energie'!F13+'P3 Energie'!F15+'P3 Energie'!F6*$H$7</f>
        <v>19040.3986060484</v>
      </c>
      <c r="J186" s="50" t="n">
        <f aca="false">I186*H186</f>
        <v>46807.6465732023</v>
      </c>
    </row>
    <row r="187" customFormat="false" ht="15" hidden="false" customHeight="false" outlineLevel="0" collapsed="false">
      <c r="A187" s="46" t="n">
        <v>178</v>
      </c>
      <c r="B187" s="47" t="n">
        <f aca="false">A187*$C$6</f>
        <v>0.325736420267943</v>
      </c>
      <c r="C187" s="48" t="n">
        <f aca="false">$C$7*B187</f>
        <v>2.47222222222222</v>
      </c>
      <c r="D187" s="49" t="n">
        <f aca="false">0.5*c_rho*'P3 Energie'!E8*'P3 Energie'!E7*(C187-c_Vv)^2+'P3 Energie'!E13+'P3 Energie'!E15+'P3 Energie'!E6*$C$7</f>
        <v>18182.5508245341</v>
      </c>
      <c r="E187" s="50" t="n">
        <f aca="false">D187*C187</f>
        <v>44951.3062050982</v>
      </c>
      <c r="F187" s="46" t="n">
        <v>178</v>
      </c>
      <c r="G187" s="47" t="n">
        <f aca="false">F187*$H$6</f>
        <v>0.324795935602265</v>
      </c>
      <c r="H187" s="48" t="n">
        <f aca="false">$H$7*G187</f>
        <v>2.47222222222222</v>
      </c>
      <c r="I187" s="49" t="n">
        <f aca="false">0.5*c_rho*'P3 Energie'!F8*'P3 Energie'!F7*(H187-c_Vv)^2+'P3 Energie'!F13+'P3 Energie'!F15+'P3 Energie'!F6*$H$7</f>
        <v>19040.4223714083</v>
      </c>
      <c r="J187" s="50" t="n">
        <f aca="false">I187*H187</f>
        <v>47072.1553070928</v>
      </c>
    </row>
    <row r="188" customFormat="false" ht="15" hidden="false" customHeight="false" outlineLevel="0" collapsed="false">
      <c r="A188" s="46" t="n">
        <v>179</v>
      </c>
      <c r="B188" s="47" t="n">
        <f aca="false">A188*$C$6</f>
        <v>0.327566400157089</v>
      </c>
      <c r="C188" s="48" t="n">
        <f aca="false">$C$7*B188</f>
        <v>2.48611111111111</v>
      </c>
      <c r="D188" s="49" t="n">
        <f aca="false">0.5*c_rho*'P3 Energie'!E8*'P3 Energie'!E7*(C188-c_Vv)^2+'P3 Energie'!E13+'P3 Energie'!E15+'P3 Energie'!E6*$C$7</f>
        <v>18182.5783321783</v>
      </c>
      <c r="E188" s="50" t="n">
        <f aca="false">D188*C188</f>
        <v>45203.9100202765</v>
      </c>
      <c r="F188" s="46" t="n">
        <v>179</v>
      </c>
      <c r="G188" s="47" t="n">
        <f aca="false">F188*$H$6</f>
        <v>0.326620631869693</v>
      </c>
      <c r="H188" s="48" t="n">
        <f aca="false">$H$7*G188</f>
        <v>2.48611111111111</v>
      </c>
      <c r="I188" s="49" t="n">
        <f aca="false">0.5*c_rho*'P3 Energie'!F8*'P3 Energie'!F7*(H188-c_Vv)^2+'P3 Energie'!F13+'P3 Energie'!F15+'P3 Energie'!F6*$H$7</f>
        <v>19040.4462706576</v>
      </c>
      <c r="J188" s="50" t="n">
        <f aca="false">I188*H188</f>
        <v>47336.6650339961</v>
      </c>
    </row>
    <row r="189" customFormat="false" ht="15" hidden="false" customHeight="false" outlineLevel="0" collapsed="false">
      <c r="A189" s="46" t="n">
        <v>180</v>
      </c>
      <c r="B189" s="47" t="n">
        <f aca="false">A189*$C$6</f>
        <v>0.329396380046235</v>
      </c>
      <c r="C189" s="48" t="n">
        <f aca="false">$C$7*B189</f>
        <v>2.5</v>
      </c>
      <c r="D189" s="49" t="n">
        <f aca="false">0.5*c_rho*'P3 Energie'!E8*'P3 Energie'!E7*(C189-c_Vv)^2+'P3 Energie'!E13+'P3 Energie'!E15+'P3 Energie'!E6*$C$7</f>
        <v>18182.6059939269</v>
      </c>
      <c r="E189" s="50" t="n">
        <f aca="false">D189*C189</f>
        <v>45456.5149848172</v>
      </c>
      <c r="F189" s="46" t="n">
        <v>180</v>
      </c>
      <c r="G189" s="47" t="n">
        <f aca="false">F189*$H$6</f>
        <v>0.328445328137122</v>
      </c>
      <c r="H189" s="48" t="n">
        <f aca="false">$H$7*G189</f>
        <v>2.5</v>
      </c>
      <c r="I189" s="49" t="n">
        <f aca="false">0.5*c_rho*'P3 Energie'!F8*'P3 Energie'!F7*(H189-c_Vv)^2+'P3 Energie'!F13+'P3 Energie'!F15+'P3 Energie'!F6*$H$7</f>
        <v>19040.4703037963</v>
      </c>
      <c r="J189" s="50" t="n">
        <f aca="false">I189*H189</f>
        <v>47601.1757594907</v>
      </c>
    </row>
    <row r="190" customFormat="false" ht="15" hidden="false" customHeight="false" outlineLevel="0" collapsed="false">
      <c r="A190" s="46" t="n">
        <v>181</v>
      </c>
      <c r="B190" s="47" t="n">
        <f aca="false">A190*$C$6</f>
        <v>0.331226359935381</v>
      </c>
      <c r="C190" s="48" t="n">
        <f aca="false">$C$7*B190</f>
        <v>2.51388888888889</v>
      </c>
      <c r="D190" s="49" t="n">
        <f aca="false">0.5*c_rho*'P3 Energie'!E8*'P3 Energie'!E7*(C190-c_Vv)^2+'P3 Energie'!E13+'P3 Energie'!E15+'P3 Energie'!E6*$C$7</f>
        <v>18182.6338097799</v>
      </c>
      <c r="E190" s="50" t="n">
        <f aca="false">D190*C190</f>
        <v>45709.1211051412</v>
      </c>
      <c r="F190" s="46" t="n">
        <v>181</v>
      </c>
      <c r="G190" s="47" t="n">
        <f aca="false">F190*$H$6</f>
        <v>0.33027002440455</v>
      </c>
      <c r="H190" s="48" t="n">
        <f aca="false">$H$7*G190</f>
        <v>2.51388888888889</v>
      </c>
      <c r="I190" s="49" t="n">
        <f aca="false">0.5*c_rho*'P3 Energie'!F8*'P3 Energie'!F7*(H190-c_Vv)^2+'P3 Energie'!F13+'P3 Energie'!F15+'P3 Energie'!F6*$H$7</f>
        <v>19040.4944708243</v>
      </c>
      <c r="J190" s="50" t="n">
        <f aca="false">I190*H190</f>
        <v>47865.6874891556</v>
      </c>
    </row>
    <row r="191" customFormat="false" ht="15" hidden="false" customHeight="false" outlineLevel="0" collapsed="false">
      <c r="A191" s="46" t="n">
        <v>182</v>
      </c>
      <c r="B191" s="47" t="n">
        <f aca="false">A191*$C$6</f>
        <v>0.333056339824526</v>
      </c>
      <c r="C191" s="48" t="n">
        <f aca="false">$C$7*B191</f>
        <v>2.52777777777778</v>
      </c>
      <c r="D191" s="49" t="n">
        <f aca="false">0.5*c_rho*'P3 Energie'!E8*'P3 Energie'!E7*(C191-c_Vv)^2+'P3 Energie'!E13+'P3 Energie'!E15+'P3 Energie'!E6*$C$7</f>
        <v>18182.6617797374</v>
      </c>
      <c r="E191" s="50" t="n">
        <f aca="false">D191*C191</f>
        <v>45961.7283876696</v>
      </c>
      <c r="F191" s="46" t="n">
        <v>182</v>
      </c>
      <c r="G191" s="47" t="n">
        <f aca="false">F191*$H$6</f>
        <v>0.332094720671979</v>
      </c>
      <c r="H191" s="48" t="n">
        <f aca="false">$H$7*G191</f>
        <v>2.52777777777778</v>
      </c>
      <c r="I191" s="49" t="n">
        <f aca="false">0.5*c_rho*'P3 Energie'!F8*'P3 Energie'!F7*(H191-c_Vv)^2+'P3 Energie'!F13+'P3 Energie'!F15+'P3 Energie'!F6*$H$7</f>
        <v>19040.5187717417</v>
      </c>
      <c r="J191" s="50" t="n">
        <f aca="false">I191*H191</f>
        <v>48130.2002285692</v>
      </c>
    </row>
    <row r="192" customFormat="false" ht="15" hidden="false" customHeight="false" outlineLevel="0" collapsed="false">
      <c r="A192" s="46" t="n">
        <v>183</v>
      </c>
      <c r="B192" s="47" t="n">
        <f aca="false">A192*$C$6</f>
        <v>0.334886319713672</v>
      </c>
      <c r="C192" s="48" t="n">
        <f aca="false">$C$7*B192</f>
        <v>2.54166666666667</v>
      </c>
      <c r="D192" s="49" t="n">
        <f aca="false">0.5*c_rho*'P3 Energie'!E8*'P3 Energie'!E7*(C192-c_Vv)^2+'P3 Energie'!E13+'P3 Energie'!E15+'P3 Energie'!E6*$C$7</f>
        <v>18182.6899037994</v>
      </c>
      <c r="E192" s="50" t="n">
        <f aca="false">D192*C192</f>
        <v>46214.3368388234</v>
      </c>
      <c r="F192" s="46" t="n">
        <v>183</v>
      </c>
      <c r="G192" s="47" t="n">
        <f aca="false">F192*$H$6</f>
        <v>0.333919416939407</v>
      </c>
      <c r="H192" s="48" t="n">
        <f aca="false">$H$7*G192</f>
        <v>2.54166666666667</v>
      </c>
      <c r="I192" s="49" t="n">
        <f aca="false">0.5*c_rho*'P3 Energie'!F8*'P3 Energie'!F7*(H192-c_Vv)^2+'P3 Energie'!F13+'P3 Energie'!F15+'P3 Energie'!F6*$H$7</f>
        <v>19040.5432065484</v>
      </c>
      <c r="J192" s="50" t="n">
        <f aca="false">I192*H192</f>
        <v>48394.7139833105</v>
      </c>
    </row>
    <row r="193" customFormat="false" ht="15" hidden="false" customHeight="false" outlineLevel="0" collapsed="false">
      <c r="A193" s="46" t="n">
        <v>184</v>
      </c>
      <c r="B193" s="47" t="n">
        <f aca="false">A193*$C$6</f>
        <v>0.336716299602818</v>
      </c>
      <c r="C193" s="48" t="n">
        <f aca="false">$C$7*B193</f>
        <v>2.55555555555556</v>
      </c>
      <c r="D193" s="49" t="n">
        <f aca="false">0.5*c_rho*'P3 Energie'!E8*'P3 Energie'!E7*(C193-c_Vv)^2+'P3 Energie'!E13+'P3 Energie'!E15+'P3 Energie'!E6*$C$7</f>
        <v>18182.7181819658</v>
      </c>
      <c r="E193" s="50" t="n">
        <f aca="false">D193*C193</f>
        <v>46466.9464650237</v>
      </c>
      <c r="F193" s="46" t="n">
        <v>184</v>
      </c>
      <c r="G193" s="47" t="n">
        <f aca="false">F193*$H$6</f>
        <v>0.335744113206835</v>
      </c>
      <c r="H193" s="48" t="n">
        <f aca="false">$H$7*G193</f>
        <v>2.55555555555556</v>
      </c>
      <c r="I193" s="49" t="n">
        <f aca="false">0.5*c_rho*'P3 Energie'!F8*'P3 Energie'!F7*(H193-c_Vv)^2+'P3 Energie'!F13+'P3 Energie'!F15+'P3 Energie'!F6*$H$7</f>
        <v>19040.5677752444</v>
      </c>
      <c r="J193" s="50" t="n">
        <f aca="false">I193*H193</f>
        <v>48659.228758958</v>
      </c>
    </row>
    <row r="194" customFormat="false" ht="15" hidden="false" customHeight="false" outlineLevel="0" collapsed="false">
      <c r="A194" s="46" t="n">
        <v>185</v>
      </c>
      <c r="B194" s="47" t="n">
        <f aca="false">A194*$C$6</f>
        <v>0.338546279491964</v>
      </c>
      <c r="C194" s="48" t="n">
        <f aca="false">$C$7*B194</f>
        <v>2.56944444444444</v>
      </c>
      <c r="D194" s="49" t="n">
        <f aca="false">0.5*c_rho*'P3 Energie'!E8*'P3 Energie'!E7*(C194-c_Vv)^2+'P3 Energie'!E13+'P3 Energie'!E15+'P3 Energie'!E6*$C$7</f>
        <v>18182.7466142366</v>
      </c>
      <c r="E194" s="50" t="n">
        <f aca="false">D194*C194</f>
        <v>46719.5572726914</v>
      </c>
      <c r="F194" s="46" t="n">
        <v>185</v>
      </c>
      <c r="G194" s="47" t="n">
        <f aca="false">F194*$H$6</f>
        <v>0.337568809474264</v>
      </c>
      <c r="H194" s="48" t="n">
        <f aca="false">$H$7*G194</f>
        <v>2.56944444444444</v>
      </c>
      <c r="I194" s="49" t="n">
        <f aca="false">0.5*c_rho*'P3 Energie'!F8*'P3 Energie'!F7*(H194-c_Vv)^2+'P3 Energie'!F13+'P3 Energie'!F15+'P3 Energie'!F6*$H$7</f>
        <v>19040.5924778299</v>
      </c>
      <c r="J194" s="50" t="n">
        <f aca="false">I194*H194</f>
        <v>48923.7445610906</v>
      </c>
    </row>
    <row r="195" customFormat="false" ht="15" hidden="false" customHeight="false" outlineLevel="0" collapsed="false">
      <c r="A195" s="46" t="n">
        <v>186</v>
      </c>
      <c r="B195" s="47" t="n">
        <f aca="false">A195*$C$6</f>
        <v>0.340376259381109</v>
      </c>
      <c r="C195" s="48" t="n">
        <f aca="false">$C$7*B195</f>
        <v>2.58333333333333</v>
      </c>
      <c r="D195" s="49" t="n">
        <f aca="false">0.5*c_rho*'P3 Energie'!E8*'P3 Energie'!E7*(C195-c_Vv)^2+'P3 Energie'!E13+'P3 Energie'!E15+'P3 Energie'!E6*$C$7</f>
        <v>18182.7752006119</v>
      </c>
      <c r="E195" s="50" t="n">
        <f aca="false">D195*C195</f>
        <v>46972.1692682475</v>
      </c>
      <c r="F195" s="46" t="n">
        <v>186</v>
      </c>
      <c r="G195" s="47" t="n">
        <f aca="false">F195*$H$6</f>
        <v>0.339393505741692</v>
      </c>
      <c r="H195" s="48" t="n">
        <f aca="false">$H$7*G195</f>
        <v>2.58333333333333</v>
      </c>
      <c r="I195" s="49" t="n">
        <f aca="false">0.5*c_rho*'P3 Energie'!F8*'P3 Energie'!F7*(H195-c_Vv)^2+'P3 Energie'!F13+'P3 Energie'!F15+'P3 Energie'!F6*$H$7</f>
        <v>19040.6173143046</v>
      </c>
      <c r="J195" s="50" t="n">
        <f aca="false">I195*H195</f>
        <v>49188.261395287</v>
      </c>
    </row>
    <row r="196" customFormat="false" ht="15" hidden="false" customHeight="false" outlineLevel="0" collapsed="false">
      <c r="A196" s="46" t="n">
        <v>187</v>
      </c>
      <c r="B196" s="47" t="n">
        <f aca="false">A196*$C$6</f>
        <v>0.342206239270255</v>
      </c>
      <c r="C196" s="48" t="n">
        <f aca="false">$C$7*B196</f>
        <v>2.59722222222222</v>
      </c>
      <c r="D196" s="49" t="n">
        <f aca="false">0.5*c_rho*'P3 Energie'!E8*'P3 Energie'!E7*(C196-c_Vv)^2+'P3 Energie'!E13+'P3 Energie'!E15+'P3 Energie'!E6*$C$7</f>
        <v>18182.8039410917</v>
      </c>
      <c r="E196" s="50" t="n">
        <f aca="false">D196*C196</f>
        <v>47224.7824581132</v>
      </c>
      <c r="F196" s="46" t="n">
        <v>187</v>
      </c>
      <c r="G196" s="47" t="n">
        <f aca="false">F196*$H$6</f>
        <v>0.341218202009121</v>
      </c>
      <c r="H196" s="48" t="n">
        <f aca="false">$H$7*G196</f>
        <v>2.59722222222222</v>
      </c>
      <c r="I196" s="49" t="n">
        <f aca="false">0.5*c_rho*'P3 Energie'!F8*'P3 Energie'!F7*(H196-c_Vv)^2+'P3 Energie'!F13+'P3 Energie'!F15+'P3 Energie'!F6*$H$7</f>
        <v>19040.6422846688</v>
      </c>
      <c r="J196" s="50" t="n">
        <f aca="false">I196*H196</f>
        <v>49452.7792671258</v>
      </c>
    </row>
    <row r="197" customFormat="false" ht="15" hidden="false" customHeight="false" outlineLevel="0" collapsed="false">
      <c r="A197" s="46" t="n">
        <v>188</v>
      </c>
      <c r="B197" s="47" t="n">
        <f aca="false">A197*$C$6</f>
        <v>0.344036219159401</v>
      </c>
      <c r="C197" s="48" t="n">
        <f aca="false">$C$7*B197</f>
        <v>2.61111111111111</v>
      </c>
      <c r="D197" s="49" t="n">
        <f aca="false">0.5*c_rho*'P3 Energie'!E8*'P3 Energie'!E7*(C197-c_Vv)^2+'P3 Energie'!E13+'P3 Energie'!E15+'P3 Energie'!E6*$C$7</f>
        <v>18182.8328356759</v>
      </c>
      <c r="E197" s="50" t="n">
        <f aca="false">D197*C197</f>
        <v>47477.3968487093</v>
      </c>
      <c r="F197" s="46" t="n">
        <v>188</v>
      </c>
      <c r="G197" s="47" t="n">
        <f aca="false">F197*$H$6</f>
        <v>0.343042898276549</v>
      </c>
      <c r="H197" s="48" t="n">
        <f aca="false">$H$7*G197</f>
        <v>2.61111111111111</v>
      </c>
      <c r="I197" s="49" t="n">
        <f aca="false">0.5*c_rho*'P3 Energie'!F8*'P3 Energie'!F7*(H197-c_Vv)^2+'P3 Energie'!F13+'P3 Energie'!F15+'P3 Energie'!F6*$H$7</f>
        <v>19040.6673889222</v>
      </c>
      <c r="J197" s="50" t="n">
        <f aca="false">I197*H197</f>
        <v>49717.2981821858</v>
      </c>
    </row>
    <row r="198" customFormat="false" ht="15" hidden="false" customHeight="false" outlineLevel="0" collapsed="false">
      <c r="A198" s="46" t="n">
        <v>189</v>
      </c>
      <c r="B198" s="47" t="n">
        <f aca="false">A198*$C$6</f>
        <v>0.345866199048547</v>
      </c>
      <c r="C198" s="48" t="n">
        <f aca="false">$C$7*B198</f>
        <v>2.625</v>
      </c>
      <c r="D198" s="49" t="n">
        <f aca="false">0.5*c_rho*'P3 Energie'!E8*'P3 Energie'!E7*(C198-c_Vv)^2+'P3 Energie'!E13+'P3 Energie'!E15+'P3 Energie'!E6*$C$7</f>
        <v>18182.8618843645</v>
      </c>
      <c r="E198" s="50" t="n">
        <f aca="false">D198*C198</f>
        <v>47730.0124464569</v>
      </c>
      <c r="F198" s="46" t="n">
        <v>189</v>
      </c>
      <c r="G198" s="47" t="n">
        <f aca="false">F198*$H$6</f>
        <v>0.344867594543978</v>
      </c>
      <c r="H198" s="48" t="n">
        <f aca="false">$H$7*G198</f>
        <v>2.625</v>
      </c>
      <c r="I198" s="49" t="n">
        <f aca="false">0.5*c_rho*'P3 Energie'!F8*'P3 Energie'!F7*(H198-c_Vv)^2+'P3 Energie'!F13+'P3 Energie'!F15+'P3 Energie'!F6*$H$7</f>
        <v>19040.692627065</v>
      </c>
      <c r="J198" s="50" t="n">
        <f aca="false">I198*H198</f>
        <v>49981.8181460458</v>
      </c>
    </row>
    <row r="199" customFormat="false" ht="15" hidden="false" customHeight="false" outlineLevel="0" collapsed="false">
      <c r="A199" s="46" t="n">
        <v>190</v>
      </c>
      <c r="B199" s="47" t="n">
        <f aca="false">A199*$C$6</f>
        <v>0.347696178937692</v>
      </c>
      <c r="C199" s="48" t="n">
        <f aca="false">$C$7*B199</f>
        <v>2.63888888888889</v>
      </c>
      <c r="D199" s="49" t="n">
        <f aca="false">0.5*c_rho*'P3 Energie'!E8*'P3 Energie'!E7*(C199-c_Vv)^2+'P3 Energie'!E13+'P3 Energie'!E15+'P3 Energie'!E6*$C$7</f>
        <v>18182.8910871576</v>
      </c>
      <c r="E199" s="50" t="n">
        <f aca="false">D199*C199</f>
        <v>47982.6292577771</v>
      </c>
      <c r="F199" s="46" t="n">
        <v>190</v>
      </c>
      <c r="G199" s="47" t="n">
        <f aca="false">F199*$H$6</f>
        <v>0.346692290811406</v>
      </c>
      <c r="H199" s="48" t="n">
        <f aca="false">$H$7*G199</f>
        <v>2.63888888888889</v>
      </c>
      <c r="I199" s="49" t="n">
        <f aca="false">0.5*c_rho*'P3 Energie'!F8*'P3 Energie'!F7*(H199-c_Vv)^2+'P3 Energie'!F13+'P3 Energie'!F15+'P3 Energie'!F6*$H$7</f>
        <v>19040.7179990972</v>
      </c>
      <c r="J199" s="50" t="n">
        <f aca="false">I199*H199</f>
        <v>50246.3391642843</v>
      </c>
    </row>
    <row r="200" customFormat="false" ht="15" hidden="false" customHeight="false" outlineLevel="0" collapsed="false">
      <c r="A200" s="46" t="n">
        <v>191</v>
      </c>
      <c r="B200" s="47" t="n">
        <f aca="false">A200*$C$6</f>
        <v>0.349526158826838</v>
      </c>
      <c r="C200" s="48" t="n">
        <f aca="false">$C$7*B200</f>
        <v>2.65277777777778</v>
      </c>
      <c r="D200" s="49" t="n">
        <f aca="false">0.5*c_rho*'P3 Energie'!E8*'P3 Energie'!E7*(C200-c_Vv)^2+'P3 Energie'!E13+'P3 Energie'!E15+'P3 Energie'!E6*$C$7</f>
        <v>18182.9204440552</v>
      </c>
      <c r="E200" s="50" t="n">
        <f aca="false">D200*C200</f>
        <v>48235.2472890909</v>
      </c>
      <c r="F200" s="46" t="n">
        <v>191</v>
      </c>
      <c r="G200" s="47" t="n">
        <f aca="false">F200*$H$6</f>
        <v>0.348516987078835</v>
      </c>
      <c r="H200" s="48" t="n">
        <f aca="false">$H$7*G200</f>
        <v>2.65277777777778</v>
      </c>
      <c r="I200" s="49" t="n">
        <f aca="false">0.5*c_rho*'P3 Energie'!F8*'P3 Energie'!F7*(H200-c_Vv)^2+'P3 Energie'!F13+'P3 Energie'!F15+'P3 Energie'!F6*$H$7</f>
        <v>19040.7435050188</v>
      </c>
      <c r="J200" s="50" t="n">
        <f aca="false">I200*H200</f>
        <v>50510.8612424803</v>
      </c>
    </row>
    <row r="201" customFormat="false" ht="15" hidden="false" customHeight="false" outlineLevel="0" collapsed="false">
      <c r="A201" s="46" t="n">
        <v>192</v>
      </c>
      <c r="B201" s="47" t="n">
        <f aca="false">A201*$C$6</f>
        <v>0.351356138715984</v>
      </c>
      <c r="C201" s="48" t="n">
        <f aca="false">$C$7*B201</f>
        <v>2.66666666666667</v>
      </c>
      <c r="D201" s="49" t="n">
        <f aca="false">0.5*c_rho*'P3 Energie'!E8*'P3 Energie'!E7*(C201-c_Vv)^2+'P3 Energie'!E13+'P3 Energie'!E15+'P3 Energie'!E6*$C$7</f>
        <v>18182.9499550572</v>
      </c>
      <c r="E201" s="50" t="n">
        <f aca="false">D201*C201</f>
        <v>48487.8665468192</v>
      </c>
      <c r="F201" s="46" t="n">
        <v>192</v>
      </c>
      <c r="G201" s="47" t="n">
        <f aca="false">F201*$H$6</f>
        <v>0.350341683346263</v>
      </c>
      <c r="H201" s="48" t="n">
        <f aca="false">$H$7*G201</f>
        <v>2.66666666666667</v>
      </c>
      <c r="I201" s="49" t="n">
        <f aca="false">0.5*c_rho*'P3 Energie'!F8*'P3 Energie'!F7*(H201-c_Vv)^2+'P3 Energie'!F13+'P3 Energie'!F15+'P3 Energie'!F6*$H$7</f>
        <v>19040.7691448296</v>
      </c>
      <c r="J201" s="50" t="n">
        <f aca="false">I201*H201</f>
        <v>50775.3843862124</v>
      </c>
    </row>
    <row r="202" customFormat="false" ht="15" hidden="false" customHeight="false" outlineLevel="0" collapsed="false">
      <c r="A202" s="46" t="n">
        <v>193</v>
      </c>
      <c r="B202" s="47" t="n">
        <f aca="false">A202*$C$6</f>
        <v>0.35318611860513</v>
      </c>
      <c r="C202" s="48" t="n">
        <f aca="false">$C$7*B202</f>
        <v>2.68055555555556</v>
      </c>
      <c r="D202" s="49" t="n">
        <f aca="false">0.5*c_rho*'P3 Energie'!E8*'P3 Energie'!E7*(C202-c_Vv)^2+'P3 Energie'!E13+'P3 Energie'!E15+'P3 Energie'!E6*$C$7</f>
        <v>18182.9796201636</v>
      </c>
      <c r="E202" s="50" t="n">
        <f aca="false">D202*C202</f>
        <v>48740.4870373831</v>
      </c>
      <c r="F202" s="46" t="n">
        <v>193</v>
      </c>
      <c r="G202" s="47" t="n">
        <f aca="false">F202*$H$6</f>
        <v>0.352166379613692</v>
      </c>
      <c r="H202" s="48" t="n">
        <f aca="false">$H$7*G202</f>
        <v>2.68055555555556</v>
      </c>
      <c r="I202" s="49" t="n">
        <f aca="false">0.5*c_rho*'P3 Energie'!F8*'P3 Energie'!F7*(H202-c_Vv)^2+'P3 Energie'!F13+'P3 Energie'!F15+'P3 Energie'!F6*$H$7</f>
        <v>19040.7949185299</v>
      </c>
      <c r="J202" s="50" t="n">
        <f aca="false">I202*H202</f>
        <v>51039.9086010592</v>
      </c>
    </row>
    <row r="203" customFormat="false" ht="15" hidden="false" customHeight="false" outlineLevel="0" collapsed="false">
      <c r="A203" s="46" t="n">
        <v>194</v>
      </c>
      <c r="B203" s="47" t="n">
        <f aca="false">A203*$C$6</f>
        <v>0.355016098494275</v>
      </c>
      <c r="C203" s="48" t="n">
        <f aca="false">$C$7*B203</f>
        <v>2.69444444444444</v>
      </c>
      <c r="D203" s="49" t="n">
        <f aca="false">0.5*c_rho*'P3 Energie'!E8*'P3 Energie'!E7*(C203-c_Vv)^2+'P3 Energie'!E13+'P3 Energie'!E15+'P3 Energie'!E6*$C$7</f>
        <v>18183.0094393745</v>
      </c>
      <c r="E203" s="50" t="n">
        <f aca="false">D203*C203</f>
        <v>48993.1087672036</v>
      </c>
      <c r="F203" s="46" t="n">
        <v>194</v>
      </c>
      <c r="G203" s="47" t="n">
        <f aca="false">F203*$H$6</f>
        <v>0.35399107588112</v>
      </c>
      <c r="H203" s="48" t="n">
        <f aca="false">$H$7*G203</f>
        <v>2.69444444444444</v>
      </c>
      <c r="I203" s="49" t="n">
        <f aca="false">0.5*c_rho*'P3 Energie'!F8*'P3 Energie'!F7*(H203-c_Vv)^2+'P3 Energie'!F13+'P3 Energie'!F15+'P3 Energie'!F6*$H$7</f>
        <v>19040.8208261194</v>
      </c>
      <c r="J203" s="50" t="n">
        <f aca="false">I203*H203</f>
        <v>51304.4338925996</v>
      </c>
    </row>
    <row r="204" customFormat="false" ht="15" hidden="false" customHeight="false" outlineLevel="0" collapsed="false">
      <c r="A204" s="46" t="n">
        <v>195</v>
      </c>
      <c r="B204" s="47" t="n">
        <f aca="false">A204*$C$6</f>
        <v>0.356846078383421</v>
      </c>
      <c r="C204" s="48" t="n">
        <f aca="false">$C$7*B204</f>
        <v>2.70833333333333</v>
      </c>
      <c r="D204" s="49" t="n">
        <f aca="false">0.5*c_rho*'P3 Energie'!E8*'P3 Energie'!E7*(C204-c_Vv)^2+'P3 Energie'!E13+'P3 Energie'!E15+'P3 Energie'!E6*$C$7</f>
        <v>18183.0394126899</v>
      </c>
      <c r="E204" s="50" t="n">
        <f aca="false">D204*C204</f>
        <v>49245.7317427018</v>
      </c>
      <c r="F204" s="46" t="n">
        <v>195</v>
      </c>
      <c r="G204" s="47" t="n">
        <f aca="false">F204*$H$6</f>
        <v>0.355815772148548</v>
      </c>
      <c r="H204" s="48" t="n">
        <f aca="false">$H$7*G204</f>
        <v>2.70833333333333</v>
      </c>
      <c r="I204" s="49" t="n">
        <f aca="false">0.5*c_rho*'P3 Energie'!F8*'P3 Energie'!F7*(H204-c_Vv)^2+'P3 Energie'!F13+'P3 Energie'!F15+'P3 Energie'!F6*$H$7</f>
        <v>19040.8468675984</v>
      </c>
      <c r="J204" s="50" t="n">
        <f aca="false">I204*H204</f>
        <v>51568.9602664123</v>
      </c>
    </row>
    <row r="205" customFormat="false" ht="15" hidden="false" customHeight="false" outlineLevel="0" collapsed="false">
      <c r="A205" s="46" t="n">
        <v>196</v>
      </c>
      <c r="B205" s="47" t="n">
        <f aca="false">A205*$C$6</f>
        <v>0.358676058272567</v>
      </c>
      <c r="C205" s="48" t="n">
        <f aca="false">$C$7*B205</f>
        <v>2.72222222222222</v>
      </c>
      <c r="D205" s="49" t="n">
        <f aca="false">0.5*c_rho*'P3 Energie'!E8*'P3 Energie'!E7*(C205-c_Vv)^2+'P3 Energie'!E13+'P3 Energie'!E15+'P3 Energie'!E6*$C$7</f>
        <v>18183.0695401097</v>
      </c>
      <c r="E205" s="50" t="n">
        <f aca="false">D205*C205</f>
        <v>49498.3559702986</v>
      </c>
      <c r="F205" s="46" t="n">
        <v>196</v>
      </c>
      <c r="G205" s="47" t="n">
        <f aca="false">F205*$H$6</f>
        <v>0.357640468415977</v>
      </c>
      <c r="H205" s="48" t="n">
        <f aca="false">$H$7*G205</f>
        <v>2.72222222222222</v>
      </c>
      <c r="I205" s="49" t="n">
        <f aca="false">0.5*c_rho*'P3 Energie'!F8*'P3 Energie'!F7*(H205-c_Vv)^2+'P3 Energie'!F13+'P3 Energie'!F15+'P3 Energie'!F6*$H$7</f>
        <v>19040.8730429667</v>
      </c>
      <c r="J205" s="50" t="n">
        <f aca="false">I205*H205</f>
        <v>51833.4877280759</v>
      </c>
    </row>
    <row r="206" customFormat="false" ht="15" hidden="false" customHeight="false" outlineLevel="0" collapsed="false">
      <c r="A206" s="46" t="n">
        <v>197</v>
      </c>
      <c r="B206" s="47" t="n">
        <f aca="false">A206*$C$6</f>
        <v>0.360506038161713</v>
      </c>
      <c r="C206" s="48" t="n">
        <f aca="false">$C$7*B206</f>
        <v>2.73611111111111</v>
      </c>
      <c r="D206" s="49" t="n">
        <f aca="false">0.5*c_rho*'P3 Energie'!E8*'P3 Energie'!E7*(C206-c_Vv)^2+'P3 Energie'!E13+'P3 Energie'!E15+'P3 Energie'!E6*$C$7</f>
        <v>18183.0998216339</v>
      </c>
      <c r="E206" s="50" t="n">
        <f aca="false">D206*C206</f>
        <v>49750.981456415</v>
      </c>
      <c r="F206" s="46" t="n">
        <v>197</v>
      </c>
      <c r="G206" s="47" t="n">
        <f aca="false">F206*$H$6</f>
        <v>0.359465164683405</v>
      </c>
      <c r="H206" s="48" t="n">
        <f aca="false">$H$7*G206</f>
        <v>2.73611111111111</v>
      </c>
      <c r="I206" s="49" t="n">
        <f aca="false">0.5*c_rho*'P3 Energie'!F8*'P3 Energie'!F7*(H206-c_Vv)^2+'P3 Energie'!F13+'P3 Energie'!F15+'P3 Energie'!F6*$H$7</f>
        <v>19040.8993522243</v>
      </c>
      <c r="J206" s="50" t="n">
        <f aca="false">I206*H206</f>
        <v>52098.0162831693</v>
      </c>
    </row>
    <row r="207" customFormat="false" ht="15" hidden="false" customHeight="false" outlineLevel="0" collapsed="false">
      <c r="A207" s="46" t="n">
        <v>198</v>
      </c>
      <c r="B207" s="47" t="n">
        <f aca="false">A207*$C$6</f>
        <v>0.362336018050858</v>
      </c>
      <c r="C207" s="48" t="n">
        <f aca="false">$C$7*B207</f>
        <v>2.75</v>
      </c>
      <c r="D207" s="49" t="n">
        <f aca="false">0.5*c_rho*'P3 Energie'!E8*'P3 Energie'!E7*(C207-c_Vv)^2+'P3 Energie'!E13+'P3 Energie'!E15+'P3 Energie'!E6*$C$7</f>
        <v>18183.1302572626</v>
      </c>
      <c r="E207" s="50" t="n">
        <f aca="false">D207*C207</f>
        <v>50003.6082074722</v>
      </c>
      <c r="F207" s="46" t="n">
        <v>198</v>
      </c>
      <c r="G207" s="47" t="n">
        <f aca="false">F207*$H$6</f>
        <v>0.361289860950834</v>
      </c>
      <c r="H207" s="48" t="n">
        <f aca="false">$H$7*G207</f>
        <v>2.75</v>
      </c>
      <c r="I207" s="49" t="n">
        <f aca="false">0.5*c_rho*'P3 Energie'!F8*'P3 Energie'!F7*(H207-c_Vv)^2+'P3 Energie'!F13+'P3 Energie'!F15+'P3 Energie'!F6*$H$7</f>
        <v>19040.9257953713</v>
      </c>
      <c r="J207" s="50" t="n">
        <f aca="false">I207*H207</f>
        <v>52362.5459372711</v>
      </c>
    </row>
    <row r="208" customFormat="false" ht="15" hidden="false" customHeight="false" outlineLevel="0" collapsed="false">
      <c r="A208" s="46" t="n">
        <v>199</v>
      </c>
      <c r="B208" s="47" t="n">
        <f aca="false">A208*$C$6</f>
        <v>0.364165997940004</v>
      </c>
      <c r="C208" s="48" t="n">
        <f aca="false">$C$7*B208</f>
        <v>2.76388888888889</v>
      </c>
      <c r="D208" s="49" t="n">
        <f aca="false">0.5*c_rho*'P3 Energie'!E8*'P3 Energie'!E7*(C208-c_Vv)^2+'P3 Energie'!E13+'P3 Energie'!E15+'P3 Energie'!E6*$C$7</f>
        <v>18183.1608469958</v>
      </c>
      <c r="E208" s="50" t="n">
        <f aca="false">D208*C208</f>
        <v>50256.236229891</v>
      </c>
      <c r="F208" s="46" t="n">
        <v>199</v>
      </c>
      <c r="G208" s="47" t="n">
        <f aca="false">F208*$H$6</f>
        <v>0.363114557218262</v>
      </c>
      <c r="H208" s="48" t="n">
        <f aca="false">$H$7*G208</f>
        <v>2.76388888888889</v>
      </c>
      <c r="I208" s="49" t="n">
        <f aca="false">0.5*c_rho*'P3 Energie'!F8*'P3 Energie'!F7*(H208-c_Vv)^2+'P3 Energie'!F13+'P3 Energie'!F15+'P3 Energie'!F6*$H$7</f>
        <v>19040.9523724076</v>
      </c>
      <c r="J208" s="50" t="n">
        <f aca="false">I208*H208</f>
        <v>52627.07669596</v>
      </c>
    </row>
    <row r="209" customFormat="false" ht="15" hidden="false" customHeight="false" outlineLevel="0" collapsed="false">
      <c r="A209" s="46" t="n">
        <v>200</v>
      </c>
      <c r="B209" s="47" t="n">
        <f aca="false">A209*$C$6</f>
        <v>0.36599597782915</v>
      </c>
      <c r="C209" s="48" t="n">
        <f aca="false">$C$7*B209</f>
        <v>2.77777777777778</v>
      </c>
      <c r="D209" s="49" t="n">
        <f aca="false">0.5*c_rho*'P3 Energie'!E8*'P3 Energie'!E7*(C209-c_Vv)^2+'P3 Energie'!E13+'P3 Energie'!E15+'P3 Energie'!E6*$C$7</f>
        <v>18183.1915908333</v>
      </c>
      <c r="E209" s="50" t="n">
        <f aca="false">D209*C209</f>
        <v>50508.8655300926</v>
      </c>
      <c r="F209" s="46" t="n">
        <v>200</v>
      </c>
      <c r="G209" s="47" t="n">
        <f aca="false">F209*$H$6</f>
        <v>0.364939253485691</v>
      </c>
      <c r="H209" s="48" t="n">
        <f aca="false">$H$7*G209</f>
        <v>2.77777777777778</v>
      </c>
      <c r="I209" s="49" t="n">
        <f aca="false">0.5*c_rho*'P3 Energie'!F8*'P3 Energie'!F7*(H209-c_Vv)^2+'P3 Energie'!F13+'P3 Energie'!F15+'P3 Energie'!F6*$H$7</f>
        <v>19040.9790833333</v>
      </c>
      <c r="J209" s="50" t="n">
        <f aca="false">I209*H209</f>
        <v>52891.6085648148</v>
      </c>
    </row>
    <row r="210" customFormat="false" ht="15" hidden="false" customHeight="false" outlineLevel="0" collapsed="false">
      <c r="A210" s="46" t="n">
        <v>201</v>
      </c>
      <c r="B210" s="47" t="n">
        <f aca="false">A210*$C$6</f>
        <v>0.367825957718296</v>
      </c>
      <c r="C210" s="48" t="n">
        <f aca="false">$C$7*B210</f>
        <v>2.79166666666667</v>
      </c>
      <c r="D210" s="49" t="n">
        <f aca="false">0.5*c_rho*'P3 Energie'!E8*'P3 Energie'!E7*(C210-c_Vv)^2+'P3 Energie'!E13+'P3 Energie'!E15+'P3 Energie'!E6*$C$7</f>
        <v>18183.2224887754</v>
      </c>
      <c r="E210" s="50" t="n">
        <f aca="false">D210*C210</f>
        <v>50761.4961144979</v>
      </c>
      <c r="F210" s="46" t="n">
        <v>201</v>
      </c>
      <c r="G210" s="47" t="n">
        <f aca="false">F210*$H$6</f>
        <v>0.366763949753119</v>
      </c>
      <c r="H210" s="48" t="n">
        <f aca="false">$H$7*G210</f>
        <v>2.79166666666667</v>
      </c>
      <c r="I210" s="49" t="n">
        <f aca="false">0.5*c_rho*'P3 Energie'!F8*'P3 Energie'!F7*(H210-c_Vv)^2+'P3 Energie'!F13+'P3 Energie'!F15+'P3 Energie'!F6*$H$7</f>
        <v>19041.0059281484</v>
      </c>
      <c r="J210" s="50" t="n">
        <f aca="false">I210*H210</f>
        <v>53156.1415494142</v>
      </c>
    </row>
    <row r="211" customFormat="false" ht="15" hidden="false" customHeight="false" outlineLevel="0" collapsed="false">
      <c r="A211" s="46" t="n">
        <v>202</v>
      </c>
      <c r="B211" s="47" t="n">
        <f aca="false">A211*$C$6</f>
        <v>0.369655937607441</v>
      </c>
      <c r="C211" s="48" t="n">
        <f aca="false">$C$7*B211</f>
        <v>2.80555555555556</v>
      </c>
      <c r="D211" s="49" t="n">
        <f aca="false">0.5*c_rho*'P3 Energie'!E8*'P3 Energie'!E7*(C211-c_Vv)^2+'P3 Energie'!E13+'P3 Energie'!E15+'P3 Energie'!E6*$C$7</f>
        <v>18183.2535408219</v>
      </c>
      <c r="E211" s="50" t="n">
        <f aca="false">D211*C211</f>
        <v>51014.127989528</v>
      </c>
      <c r="F211" s="46" t="n">
        <v>202</v>
      </c>
      <c r="G211" s="47" t="n">
        <f aca="false">F211*$H$6</f>
        <v>0.368588646020548</v>
      </c>
      <c r="H211" s="48" t="n">
        <f aca="false">$H$7*G211</f>
        <v>2.80555555555556</v>
      </c>
      <c r="I211" s="49" t="n">
        <f aca="false">0.5*c_rho*'P3 Energie'!F8*'P3 Energie'!F7*(H211-c_Vv)^2+'P3 Energie'!F13+'P3 Energie'!F15+'P3 Energie'!F6*$H$7</f>
        <v>19041.0329068528</v>
      </c>
      <c r="J211" s="50" t="n">
        <f aca="false">I211*H211</f>
        <v>53420.675655337</v>
      </c>
    </row>
    <row r="212" customFormat="false" ht="15" hidden="false" customHeight="false" outlineLevel="0" collapsed="false">
      <c r="A212" s="46" t="n">
        <v>203</v>
      </c>
      <c r="B212" s="47" t="n">
        <f aca="false">A212*$C$6</f>
        <v>0.371485917496587</v>
      </c>
      <c r="C212" s="48" t="n">
        <f aca="false">$C$7*B212</f>
        <v>2.81944444444444</v>
      </c>
      <c r="D212" s="49" t="n">
        <f aca="false">0.5*c_rho*'P3 Energie'!E8*'P3 Energie'!E7*(C212-c_Vv)^2+'P3 Energie'!E13+'P3 Energie'!E15+'P3 Energie'!E6*$C$7</f>
        <v>18183.2847469728</v>
      </c>
      <c r="E212" s="50" t="n">
        <f aca="false">D212*C212</f>
        <v>51266.7611616039</v>
      </c>
      <c r="F212" s="46" t="n">
        <v>203</v>
      </c>
      <c r="G212" s="47" t="n">
        <f aca="false">F212*$H$6</f>
        <v>0.370413342287976</v>
      </c>
      <c r="H212" s="48" t="n">
        <f aca="false">$H$7*G212</f>
        <v>2.81944444444444</v>
      </c>
      <c r="I212" s="49" t="n">
        <f aca="false">0.5*c_rho*'P3 Energie'!F8*'P3 Energie'!F7*(H212-c_Vv)^2+'P3 Energie'!F13+'P3 Energie'!F15+'P3 Energie'!F6*$H$7</f>
        <v>19041.0600194465</v>
      </c>
      <c r="J212" s="50" t="n">
        <f aca="false">I212*H212</f>
        <v>53685.2108881617</v>
      </c>
    </row>
    <row r="213" customFormat="false" ht="15" hidden="false" customHeight="false" outlineLevel="0" collapsed="false">
      <c r="A213" s="46" t="n">
        <v>204</v>
      </c>
      <c r="B213" s="47" t="n">
        <f aca="false">A213*$C$6</f>
        <v>0.373315897385733</v>
      </c>
      <c r="C213" s="48" t="n">
        <f aca="false">$C$7*B213</f>
        <v>2.83333333333333</v>
      </c>
      <c r="D213" s="49" t="n">
        <f aca="false">0.5*c_rho*'P3 Energie'!E8*'P3 Energie'!E7*(C213-c_Vv)^2+'P3 Energie'!E13+'P3 Energie'!E15+'P3 Energie'!E6*$C$7</f>
        <v>18183.3161072282</v>
      </c>
      <c r="E213" s="50" t="n">
        <f aca="false">D213*C213</f>
        <v>51519.3956371466</v>
      </c>
      <c r="F213" s="46" t="n">
        <v>204</v>
      </c>
      <c r="G213" s="47" t="n">
        <f aca="false">F213*$H$6</f>
        <v>0.372238038555405</v>
      </c>
      <c r="H213" s="48" t="n">
        <f aca="false">$H$7*G213</f>
        <v>2.83333333333333</v>
      </c>
      <c r="I213" s="49" t="n">
        <f aca="false">0.5*c_rho*'P3 Energie'!F8*'P3 Energie'!F7*(H213-c_Vv)^2+'P3 Energie'!F13+'P3 Energie'!F15+'P3 Energie'!F6*$H$7</f>
        <v>19041.0872659296</v>
      </c>
      <c r="J213" s="50" t="n">
        <f aca="false">I213*H213</f>
        <v>53949.7472534673</v>
      </c>
    </row>
    <row r="214" customFormat="false" ht="15" hidden="false" customHeight="false" outlineLevel="0" collapsed="false">
      <c r="A214" s="46" t="n">
        <v>205</v>
      </c>
      <c r="B214" s="47" t="n">
        <f aca="false">A214*$C$6</f>
        <v>0.375145877274879</v>
      </c>
      <c r="C214" s="48" t="n">
        <f aca="false">$C$7*B214</f>
        <v>2.84722222222222</v>
      </c>
      <c r="D214" s="49" t="n">
        <f aca="false">0.5*c_rho*'P3 Energie'!E8*'P3 Energie'!E7*(C214-c_Vv)^2+'P3 Energie'!E13+'P3 Energie'!E15+'P3 Energie'!E6*$C$7</f>
        <v>18183.347621588</v>
      </c>
      <c r="E214" s="50" t="n">
        <f aca="false">D214*C214</f>
        <v>51772.031422577</v>
      </c>
      <c r="F214" s="46" t="n">
        <v>205</v>
      </c>
      <c r="G214" s="47" t="n">
        <f aca="false">F214*$H$6</f>
        <v>0.374062734822833</v>
      </c>
      <c r="H214" s="48" t="n">
        <f aca="false">$H$7*G214</f>
        <v>2.84722222222222</v>
      </c>
      <c r="I214" s="49" t="n">
        <f aca="false">0.5*c_rho*'P3 Energie'!F8*'P3 Energie'!F7*(H214-c_Vv)^2+'P3 Energie'!F13+'P3 Energie'!F15+'P3 Energie'!F6*$H$7</f>
        <v>19041.1146463021</v>
      </c>
      <c r="J214" s="50" t="n">
        <f aca="false">I214*H214</f>
        <v>54214.2847568323</v>
      </c>
    </row>
    <row r="215" customFormat="false" ht="15" hidden="false" customHeight="false" outlineLevel="0" collapsed="false">
      <c r="A215" s="46" t="n">
        <v>206</v>
      </c>
      <c r="B215" s="47" t="n">
        <f aca="false">A215*$C$6</f>
        <v>0.376975857164024</v>
      </c>
      <c r="C215" s="48" t="n">
        <f aca="false">$C$7*B215</f>
        <v>2.86111111111111</v>
      </c>
      <c r="D215" s="49" t="n">
        <f aca="false">0.5*c_rho*'P3 Energie'!E8*'P3 Energie'!E7*(C215-c_Vv)^2+'P3 Energie'!E13+'P3 Energie'!E15+'P3 Energie'!E6*$C$7</f>
        <v>18183.3792900523</v>
      </c>
      <c r="E215" s="50" t="n">
        <f aca="false">D215*C215</f>
        <v>52024.6685243163</v>
      </c>
      <c r="F215" s="46" t="n">
        <v>206</v>
      </c>
      <c r="G215" s="47" t="n">
        <f aca="false">F215*$H$6</f>
        <v>0.375887431090261</v>
      </c>
      <c r="H215" s="48" t="n">
        <f aca="false">$H$7*G215</f>
        <v>2.86111111111111</v>
      </c>
      <c r="I215" s="49" t="n">
        <f aca="false">0.5*c_rho*'P3 Energie'!F8*'P3 Energie'!F7*(H215-c_Vv)^2+'P3 Energie'!F13+'P3 Energie'!F15+'P3 Energie'!F6*$H$7</f>
        <v>19041.1421605639</v>
      </c>
      <c r="J215" s="50" t="n">
        <f aca="false">I215*H215</f>
        <v>54478.8234038356</v>
      </c>
    </row>
    <row r="216" customFormat="false" ht="15" hidden="false" customHeight="false" outlineLevel="0" collapsed="false">
      <c r="A216" s="46" t="n">
        <v>207</v>
      </c>
      <c r="B216" s="47" t="n">
        <f aca="false">A216*$C$6</f>
        <v>0.37880583705317</v>
      </c>
      <c r="C216" s="48" t="n">
        <f aca="false">$C$7*B216</f>
        <v>2.875</v>
      </c>
      <c r="D216" s="49" t="n">
        <f aca="false">0.5*c_rho*'P3 Energie'!E8*'P3 Energie'!E7*(C216-c_Vv)^2+'P3 Energie'!E13+'P3 Energie'!E15+'P3 Energie'!E6*$C$7</f>
        <v>18183.411112621</v>
      </c>
      <c r="E216" s="50" t="n">
        <f aca="false">D216*C216</f>
        <v>52277.3069487855</v>
      </c>
      <c r="F216" s="46" t="n">
        <v>207</v>
      </c>
      <c r="G216" s="47" t="n">
        <f aca="false">F216*$H$6</f>
        <v>0.37771212735769</v>
      </c>
      <c r="H216" s="48" t="n">
        <f aca="false">$H$7*G216</f>
        <v>2.875</v>
      </c>
      <c r="I216" s="49" t="n">
        <f aca="false">0.5*c_rho*'P3 Energie'!F8*'P3 Energie'!F7*(H216-c_Vv)^2+'P3 Energie'!F13+'P3 Energie'!F15+'P3 Energie'!F6*$H$7</f>
        <v>19041.169808715</v>
      </c>
      <c r="J216" s="50" t="n">
        <f aca="false">I216*H216</f>
        <v>54743.3632000558</v>
      </c>
    </row>
    <row r="217" customFormat="false" ht="15" hidden="false" customHeight="false" outlineLevel="0" collapsed="false">
      <c r="A217" s="46" t="n">
        <v>208</v>
      </c>
      <c r="B217" s="47" t="n">
        <f aca="false">A217*$C$6</f>
        <v>0.380635816942316</v>
      </c>
      <c r="C217" s="48" t="n">
        <f aca="false">$C$7*B217</f>
        <v>2.88888888888889</v>
      </c>
      <c r="D217" s="49" t="n">
        <f aca="false">0.5*c_rho*'P3 Energie'!E8*'P3 Energie'!E7*(C217-c_Vv)^2+'P3 Energie'!E13+'P3 Energie'!E15+'P3 Energie'!E6*$C$7</f>
        <v>18183.4430892942</v>
      </c>
      <c r="E217" s="50" t="n">
        <f aca="false">D217*C217</f>
        <v>52529.9467024056</v>
      </c>
      <c r="F217" s="46" t="n">
        <v>208</v>
      </c>
      <c r="G217" s="47" t="n">
        <f aca="false">F217*$H$6</f>
        <v>0.379536823625118</v>
      </c>
      <c r="H217" s="48" t="n">
        <f aca="false">$H$7*G217</f>
        <v>2.88888888888889</v>
      </c>
      <c r="I217" s="49" t="n">
        <f aca="false">0.5*c_rho*'P3 Energie'!F8*'P3 Energie'!F7*(H217-c_Vv)^2+'P3 Energie'!F13+'P3 Energie'!F15+'P3 Energie'!F6*$H$7</f>
        <v>19041.1975907556</v>
      </c>
      <c r="J217" s="50" t="n">
        <f aca="false">I217*H217</f>
        <v>55007.9041510716</v>
      </c>
    </row>
    <row r="218" customFormat="false" ht="15" hidden="false" customHeight="false" outlineLevel="0" collapsed="false">
      <c r="A218" s="46" t="n">
        <v>209</v>
      </c>
      <c r="B218" s="47" t="n">
        <f aca="false">A218*$C$6</f>
        <v>0.382465796831462</v>
      </c>
      <c r="C218" s="48" t="n">
        <f aca="false">$C$7*B218</f>
        <v>2.90277777777778</v>
      </c>
      <c r="D218" s="49" t="n">
        <f aca="false">0.5*c_rho*'P3 Energie'!E8*'P3 Energie'!E7*(C218-c_Vv)^2+'P3 Energie'!E13+'P3 Energie'!E15+'P3 Energie'!E6*$C$7</f>
        <v>18183.4752200719</v>
      </c>
      <c r="E218" s="50" t="n">
        <f aca="false">D218*C218</f>
        <v>52782.5877915975</v>
      </c>
      <c r="F218" s="46" t="n">
        <v>209</v>
      </c>
      <c r="G218" s="47" t="n">
        <f aca="false">F218*$H$6</f>
        <v>0.381361519892547</v>
      </c>
      <c r="H218" s="48" t="n">
        <f aca="false">$H$7*G218</f>
        <v>2.90277777777778</v>
      </c>
      <c r="I218" s="49" t="n">
        <f aca="false">0.5*c_rho*'P3 Energie'!F8*'P3 Energie'!F7*(H218-c_Vv)^2+'P3 Energie'!F13+'P3 Energie'!F15+'P3 Energie'!F6*$H$7</f>
        <v>19041.2255066854</v>
      </c>
      <c r="J218" s="50" t="n">
        <f aca="false">I218*H218</f>
        <v>55272.4462624618</v>
      </c>
    </row>
    <row r="219" customFormat="false" ht="15" hidden="false" customHeight="false" outlineLevel="0" collapsed="false">
      <c r="A219" s="46" t="n">
        <v>210</v>
      </c>
      <c r="B219" s="47" t="n">
        <f aca="false">A219*$C$6</f>
        <v>0.384295776720607</v>
      </c>
      <c r="C219" s="48" t="n">
        <f aca="false">$C$7*B219</f>
        <v>2.91666666666667</v>
      </c>
      <c r="D219" s="49" t="n">
        <f aca="false">0.5*c_rho*'P3 Energie'!E8*'P3 Energie'!E7*(C219-c_Vv)^2+'P3 Energie'!E13+'P3 Energie'!E15+'P3 Energie'!E6*$C$7</f>
        <v>18183.5075049539</v>
      </c>
      <c r="E219" s="50" t="n">
        <f aca="false">D219*C219</f>
        <v>53035.2302227823</v>
      </c>
      <c r="F219" s="46" t="n">
        <v>210</v>
      </c>
      <c r="G219" s="47" t="n">
        <f aca="false">F219*$H$6</f>
        <v>0.383186216159975</v>
      </c>
      <c r="H219" s="48" t="n">
        <f aca="false">$H$7*G219</f>
        <v>2.91666666666667</v>
      </c>
      <c r="I219" s="49" t="n">
        <f aca="false">0.5*c_rho*'P3 Energie'!F8*'P3 Energie'!F7*(H219-c_Vv)^2+'P3 Energie'!F13+'P3 Energie'!F15+'P3 Energie'!F6*$H$7</f>
        <v>19041.2535565046</v>
      </c>
      <c r="J219" s="50" t="n">
        <f aca="false">I219*H219</f>
        <v>55536.9895398052</v>
      </c>
    </row>
    <row r="220" customFormat="false" ht="15" hidden="false" customHeight="false" outlineLevel="0" collapsed="false">
      <c r="A220" s="46" t="n">
        <v>211</v>
      </c>
      <c r="B220" s="47" t="n">
        <f aca="false">A220*$C$6</f>
        <v>0.386125756609753</v>
      </c>
      <c r="C220" s="48" t="n">
        <f aca="false">$C$7*B220</f>
        <v>2.93055555555556</v>
      </c>
      <c r="D220" s="49" t="n">
        <f aca="false">0.5*c_rho*'P3 Energie'!E8*'P3 Energie'!E7*(C220-c_Vv)^2+'P3 Energie'!E13+'P3 Energie'!E15+'P3 Energie'!E6*$C$7</f>
        <v>18183.5399439405</v>
      </c>
      <c r="E220" s="50" t="n">
        <f aca="false">D220*C220</f>
        <v>53287.8740023811</v>
      </c>
      <c r="F220" s="46" t="n">
        <v>211</v>
      </c>
      <c r="G220" s="47" t="n">
        <f aca="false">F220*$H$6</f>
        <v>0.385010912427404</v>
      </c>
      <c r="H220" s="48" t="n">
        <f aca="false">$H$7*G220</f>
        <v>2.93055555555556</v>
      </c>
      <c r="I220" s="49" t="n">
        <f aca="false">0.5*c_rho*'P3 Energie'!F8*'P3 Energie'!F7*(H220-c_Vv)^2+'P3 Energie'!F13+'P3 Energie'!F15+'P3 Energie'!F6*$H$7</f>
        <v>19041.2817402132</v>
      </c>
      <c r="J220" s="50" t="n">
        <f aca="false">I220*H220</f>
        <v>55801.5339886803</v>
      </c>
    </row>
    <row r="221" customFormat="false" ht="15" hidden="false" customHeight="false" outlineLevel="0" collapsed="false">
      <c r="A221" s="46" t="n">
        <v>212</v>
      </c>
      <c r="B221" s="47" t="n">
        <f aca="false">A221*$C$6</f>
        <v>0.387955736498899</v>
      </c>
      <c r="C221" s="48" t="n">
        <f aca="false">$C$7*B221</f>
        <v>2.94444444444444</v>
      </c>
      <c r="D221" s="49" t="n">
        <f aca="false">0.5*c_rho*'P3 Energie'!E8*'P3 Energie'!E7*(C221-c_Vv)^2+'P3 Energie'!E13+'P3 Energie'!E15+'P3 Energie'!E6*$C$7</f>
        <v>18183.5725370315</v>
      </c>
      <c r="E221" s="50" t="n">
        <f aca="false">D221*C221</f>
        <v>53540.5191368148</v>
      </c>
      <c r="F221" s="46" t="n">
        <v>212</v>
      </c>
      <c r="G221" s="47" t="n">
        <f aca="false">F221*$H$6</f>
        <v>0.386835608694832</v>
      </c>
      <c r="H221" s="48" t="n">
        <f aca="false">$H$7*G221</f>
        <v>2.94444444444444</v>
      </c>
      <c r="I221" s="49" t="n">
        <f aca="false">0.5*c_rho*'P3 Energie'!F8*'P3 Energie'!F7*(H221-c_Vv)^2+'P3 Energie'!F13+'P3 Energie'!F15+'P3 Energie'!F6*$H$7</f>
        <v>19041.3100578111</v>
      </c>
      <c r="J221" s="50" t="n">
        <f aca="false">I221*H221</f>
        <v>56066.0796146661</v>
      </c>
    </row>
    <row r="222" customFormat="false" ht="15" hidden="false" customHeight="false" outlineLevel="0" collapsed="false">
      <c r="A222" s="46" t="n">
        <v>213</v>
      </c>
      <c r="B222" s="47" t="n">
        <f aca="false">A222*$C$6</f>
        <v>0.389785716388045</v>
      </c>
      <c r="C222" s="48" t="n">
        <f aca="false">$C$7*B222</f>
        <v>2.95833333333333</v>
      </c>
      <c r="D222" s="49" t="n">
        <f aca="false">0.5*c_rho*'P3 Energie'!E8*'P3 Energie'!E7*(C222-c_Vv)^2+'P3 Energie'!E13+'P3 Energie'!E15+'P3 Energie'!E6*$C$7</f>
        <v>18183.6052842269</v>
      </c>
      <c r="E222" s="50" t="n">
        <f aca="false">D222*C222</f>
        <v>53793.1656325045</v>
      </c>
      <c r="F222" s="46" t="n">
        <v>213</v>
      </c>
      <c r="G222" s="47" t="n">
        <f aca="false">F222*$H$6</f>
        <v>0.388660304962261</v>
      </c>
      <c r="H222" s="48" t="n">
        <f aca="false">$H$7*G222</f>
        <v>2.95833333333333</v>
      </c>
      <c r="I222" s="49" t="n">
        <f aca="false">0.5*c_rho*'P3 Energie'!F8*'P3 Energie'!F7*(H222-c_Vv)^2+'P3 Energie'!F13+'P3 Energie'!F15+'P3 Energie'!F6*$H$7</f>
        <v>19041.3385092984</v>
      </c>
      <c r="J222" s="50" t="n">
        <f aca="false">I222*H222</f>
        <v>56330.6264233411</v>
      </c>
    </row>
    <row r="223" customFormat="false" ht="15" hidden="false" customHeight="false" outlineLevel="0" collapsed="false">
      <c r="A223" s="46" t="n">
        <v>214</v>
      </c>
      <c r="B223" s="47" t="n">
        <f aca="false">A223*$C$6</f>
        <v>0.39161569627719</v>
      </c>
      <c r="C223" s="48" t="n">
        <f aca="false">$C$7*B223</f>
        <v>2.97222222222222</v>
      </c>
      <c r="D223" s="49" t="n">
        <f aca="false">0.5*c_rho*'P3 Energie'!E8*'P3 Energie'!E7*(C223-c_Vv)^2+'P3 Energie'!E13+'P3 Energie'!E15+'P3 Energie'!E6*$C$7</f>
        <v>18183.6381855268</v>
      </c>
      <c r="E223" s="50" t="n">
        <f aca="false">D223*C223</f>
        <v>54045.8134958712</v>
      </c>
      <c r="F223" s="46" t="n">
        <v>214</v>
      </c>
      <c r="G223" s="47" t="n">
        <f aca="false">F223*$H$6</f>
        <v>0.390485001229689</v>
      </c>
      <c r="H223" s="48" t="n">
        <f aca="false">$H$7*G223</f>
        <v>2.97222222222222</v>
      </c>
      <c r="I223" s="49" t="n">
        <f aca="false">0.5*c_rho*'P3 Energie'!F8*'P3 Energie'!F7*(H223-c_Vv)^2+'P3 Energie'!F13+'P3 Energie'!F15+'P3 Energie'!F6*$H$7</f>
        <v>19041.367094675</v>
      </c>
      <c r="J223" s="50" t="n">
        <f aca="false">I223*H223</f>
        <v>56595.174420284</v>
      </c>
    </row>
    <row r="224" customFormat="false" ht="15" hidden="false" customHeight="false" outlineLevel="0" collapsed="false">
      <c r="A224" s="46" t="n">
        <v>215</v>
      </c>
      <c r="B224" s="47" t="n">
        <f aca="false">A224*$C$6</f>
        <v>0.393445676166336</v>
      </c>
      <c r="C224" s="48" t="n">
        <f aca="false">$C$7*B224</f>
        <v>2.98611111111111</v>
      </c>
      <c r="D224" s="49" t="n">
        <f aca="false">0.5*c_rho*'P3 Energie'!E8*'P3 Energie'!E7*(C224-c_Vv)^2+'P3 Energie'!E13+'P3 Energie'!E15+'P3 Energie'!E6*$C$7</f>
        <v>18183.6712409311</v>
      </c>
      <c r="E224" s="50" t="n">
        <f aca="false">D224*C224</f>
        <v>54298.4627333359</v>
      </c>
      <c r="F224" s="46" t="n">
        <v>215</v>
      </c>
      <c r="G224" s="47" t="n">
        <f aca="false">F224*$H$6</f>
        <v>0.392309697497118</v>
      </c>
      <c r="H224" s="48" t="n">
        <f aca="false">$H$7*G224</f>
        <v>2.98611111111111</v>
      </c>
      <c r="I224" s="49" t="n">
        <f aca="false">0.5*c_rho*'P3 Energie'!F8*'P3 Energie'!F7*(H224-c_Vv)^2+'P3 Energie'!F13+'P3 Energie'!F15+'P3 Energie'!F6*$H$7</f>
        <v>19041.395813941</v>
      </c>
      <c r="J224" s="50" t="n">
        <f aca="false">I224*H224</f>
        <v>56859.7236110738</v>
      </c>
    </row>
    <row r="225" customFormat="false" ht="15" hidden="false" customHeight="false" outlineLevel="0" collapsed="false">
      <c r="A225" s="46" t="n">
        <v>216</v>
      </c>
      <c r="B225" s="47" t="n">
        <f aca="false">A225*$C$6</f>
        <v>0.395275656055482</v>
      </c>
      <c r="C225" s="48" t="n">
        <f aca="false">$C$7*B225</f>
        <v>3</v>
      </c>
      <c r="D225" s="49" t="n">
        <f aca="false">0.5*c_rho*'P3 Energie'!E8*'P3 Energie'!E7*(C225-c_Vv)^2+'P3 Energie'!E13+'P3 Energie'!E15+'P3 Energie'!E6*$C$7</f>
        <v>18183.7044504399</v>
      </c>
      <c r="E225" s="50" t="n">
        <f aca="false">D225*C225</f>
        <v>54551.1133513196</v>
      </c>
      <c r="F225" s="46" t="n">
        <v>216</v>
      </c>
      <c r="G225" s="47" t="n">
        <f aca="false">F225*$H$6</f>
        <v>0.394134393764546</v>
      </c>
      <c r="H225" s="48" t="n">
        <f aca="false">$H$7*G225</f>
        <v>3</v>
      </c>
      <c r="I225" s="49" t="n">
        <f aca="false">0.5*c_rho*'P3 Energie'!F8*'P3 Energie'!F7*(H225-c_Vv)^2+'P3 Energie'!F13+'P3 Energie'!F15+'P3 Energie'!F6*$H$7</f>
        <v>19041.4246670963</v>
      </c>
      <c r="J225" s="50" t="n">
        <f aca="false">I225*H225</f>
        <v>57124.2740012889</v>
      </c>
    </row>
    <row r="226" customFormat="false" ht="15" hidden="false" customHeight="false" outlineLevel="0" collapsed="false">
      <c r="A226" s="46" t="n">
        <v>217</v>
      </c>
      <c r="B226" s="47" t="n">
        <f aca="false">A226*$C$6</f>
        <v>0.397105635944628</v>
      </c>
      <c r="C226" s="48" t="n">
        <f aca="false">$C$7*B226</f>
        <v>3.01388888888889</v>
      </c>
      <c r="D226" s="49" t="n">
        <f aca="false">0.5*c_rho*'P3 Energie'!E8*'P3 Energie'!E7*(C226-c_Vv)^2+'P3 Energie'!E13+'P3 Energie'!E15+'P3 Energie'!E6*$C$7</f>
        <v>18183.7378140531</v>
      </c>
      <c r="E226" s="50" t="n">
        <f aca="false">D226*C226</f>
        <v>54803.7653562433</v>
      </c>
      <c r="F226" s="46" t="n">
        <v>217</v>
      </c>
      <c r="G226" s="47" t="n">
        <f aca="false">F226*$H$6</f>
        <v>0.395959090031974</v>
      </c>
      <c r="H226" s="48" t="n">
        <f aca="false">$H$7*G226</f>
        <v>3.01388888888889</v>
      </c>
      <c r="I226" s="49" t="n">
        <f aca="false">0.5*c_rho*'P3 Energie'!F8*'P3 Energie'!F7*(H226-c_Vv)^2+'P3 Energie'!F13+'P3 Energie'!F15+'P3 Energie'!F6*$H$7</f>
        <v>19041.453654141</v>
      </c>
      <c r="J226" s="50" t="n">
        <f aca="false">I226*H226</f>
        <v>57388.8255965082</v>
      </c>
    </row>
    <row r="227" customFormat="false" ht="15" hidden="false" customHeight="false" outlineLevel="0" collapsed="false">
      <c r="A227" s="46" t="n">
        <v>218</v>
      </c>
      <c r="B227" s="47" t="n">
        <f aca="false">A227*$C$6</f>
        <v>0.398935615833773</v>
      </c>
      <c r="C227" s="48" t="n">
        <f aca="false">$C$7*B227</f>
        <v>3.02777777777778</v>
      </c>
      <c r="D227" s="49" t="n">
        <f aca="false">0.5*c_rho*'P3 Energie'!E8*'P3 Energie'!E7*(C227-c_Vv)^2+'P3 Energie'!E13+'P3 Energie'!E15+'P3 Energie'!E6*$C$7</f>
        <v>18183.7713317708</v>
      </c>
      <c r="E227" s="50" t="n">
        <f aca="false">D227*C227</f>
        <v>55056.4187545281</v>
      </c>
      <c r="F227" s="46" t="n">
        <v>218</v>
      </c>
      <c r="G227" s="47" t="n">
        <f aca="false">F227*$H$6</f>
        <v>0.397783786299403</v>
      </c>
      <c r="H227" s="48" t="n">
        <f aca="false">$H$7*G227</f>
        <v>3.02777777777778</v>
      </c>
      <c r="I227" s="49" t="n">
        <f aca="false">0.5*c_rho*'P3 Energie'!F8*'P3 Energie'!F7*(H227-c_Vv)^2+'P3 Energie'!F13+'P3 Energie'!F15+'P3 Energie'!F6*$H$7</f>
        <v>19041.482775075</v>
      </c>
      <c r="J227" s="50" t="n">
        <f aca="false">I227*H227</f>
        <v>57653.3784023104</v>
      </c>
    </row>
    <row r="228" customFormat="false" ht="15" hidden="false" customHeight="false" outlineLevel="0" collapsed="false">
      <c r="A228" s="46" t="n">
        <v>219</v>
      </c>
      <c r="B228" s="47" t="n">
        <f aca="false">A228*$C$6</f>
        <v>0.400765595722919</v>
      </c>
      <c r="C228" s="48" t="n">
        <f aca="false">$C$7*B228</f>
        <v>3.04166666666667</v>
      </c>
      <c r="D228" s="49" t="n">
        <f aca="false">0.5*c_rho*'P3 Energie'!E8*'P3 Energie'!E7*(C228-c_Vv)^2+'P3 Energie'!E13+'P3 Energie'!E15+'P3 Energie'!E6*$C$7</f>
        <v>18183.8050035929</v>
      </c>
      <c r="E228" s="50" t="n">
        <f aca="false">D228*C228</f>
        <v>55309.073552595</v>
      </c>
      <c r="F228" s="46" t="n">
        <v>219</v>
      </c>
      <c r="G228" s="47" t="n">
        <f aca="false">F228*$H$6</f>
        <v>0.399608482566831</v>
      </c>
      <c r="H228" s="48" t="n">
        <f aca="false">$H$7*G228</f>
        <v>3.04166666666667</v>
      </c>
      <c r="I228" s="49" t="n">
        <f aca="false">0.5*c_rho*'P3 Energie'!F8*'P3 Energie'!F7*(H228-c_Vv)^2+'P3 Energie'!F13+'P3 Energie'!F15+'P3 Energie'!F6*$H$7</f>
        <v>19041.5120298984</v>
      </c>
      <c r="J228" s="50" t="n">
        <f aca="false">I228*H228</f>
        <v>57917.9324242743</v>
      </c>
    </row>
    <row r="229" customFormat="false" ht="15" hidden="false" customHeight="false" outlineLevel="0" collapsed="false">
      <c r="A229" s="46" t="n">
        <v>220</v>
      </c>
      <c r="B229" s="47" t="n">
        <f aca="false">A229*$C$6</f>
        <v>0.402595575612065</v>
      </c>
      <c r="C229" s="48" t="n">
        <f aca="false">$C$7*B229</f>
        <v>3.05555555555556</v>
      </c>
      <c r="D229" s="49" t="n">
        <f aca="false">0.5*c_rho*'P3 Energie'!E8*'P3 Energie'!E7*(C229-c_Vv)^2+'P3 Energie'!E13+'P3 Energie'!E15+'P3 Energie'!E6*$C$7</f>
        <v>18183.8388295195</v>
      </c>
      <c r="E229" s="50" t="n">
        <f aca="false">D229*C229</f>
        <v>55561.729756865</v>
      </c>
      <c r="F229" s="46" t="n">
        <v>220</v>
      </c>
      <c r="G229" s="47" t="n">
        <f aca="false">F229*$H$6</f>
        <v>0.40143317883426</v>
      </c>
      <c r="H229" s="48" t="n">
        <f aca="false">$H$7*G229</f>
        <v>3.05555555555556</v>
      </c>
      <c r="I229" s="49" t="n">
        <f aca="false">0.5*c_rho*'P3 Energie'!F8*'P3 Energie'!F7*(H229-c_Vv)^2+'P3 Energie'!F13+'P3 Energie'!F15+'P3 Energie'!F6*$H$7</f>
        <v>19041.5414186111</v>
      </c>
      <c r="J229" s="50" t="n">
        <f aca="false">I229*H229</f>
        <v>58182.4876679784</v>
      </c>
    </row>
    <row r="230" customFormat="false" ht="15" hidden="false" customHeight="false" outlineLevel="0" collapsed="false">
      <c r="A230" s="46" t="n">
        <v>221</v>
      </c>
      <c r="B230" s="47" t="n">
        <f aca="false">A230*$C$6</f>
        <v>0.404425555501211</v>
      </c>
      <c r="C230" s="48" t="n">
        <f aca="false">$C$7*B230</f>
        <v>3.06944444444444</v>
      </c>
      <c r="D230" s="49" t="n">
        <f aca="false">0.5*c_rho*'P3 Energie'!E8*'P3 Energie'!E7*(C230-c_Vv)^2+'P3 Energie'!E13+'P3 Energie'!E15+'P3 Energie'!E6*$C$7</f>
        <v>18183.8728095505</v>
      </c>
      <c r="E230" s="50" t="n">
        <f aca="false">D230*C230</f>
        <v>55814.3873737591</v>
      </c>
      <c r="F230" s="46" t="n">
        <v>221</v>
      </c>
      <c r="G230" s="47" t="n">
        <f aca="false">F230*$H$6</f>
        <v>0.403257875101688</v>
      </c>
      <c r="H230" s="48" t="n">
        <f aca="false">$H$7*G230</f>
        <v>3.06944444444444</v>
      </c>
      <c r="I230" s="49" t="n">
        <f aca="false">0.5*c_rho*'P3 Energie'!F8*'P3 Energie'!F7*(H230-c_Vv)^2+'P3 Energie'!F13+'P3 Energie'!F15+'P3 Energie'!F6*$H$7</f>
        <v>19041.5709412132</v>
      </c>
      <c r="J230" s="50" t="n">
        <f aca="false">I230*H230</f>
        <v>58447.0441390016</v>
      </c>
    </row>
    <row r="231" customFormat="false" ht="15" hidden="false" customHeight="false" outlineLevel="0" collapsed="false">
      <c r="A231" s="46" t="n">
        <v>222</v>
      </c>
      <c r="B231" s="47" t="n">
        <f aca="false">A231*$C$6</f>
        <v>0.406255535390356</v>
      </c>
      <c r="C231" s="48" t="n">
        <f aca="false">$C$7*B231</f>
        <v>3.08333333333333</v>
      </c>
      <c r="D231" s="49" t="n">
        <f aca="false">0.5*c_rho*'P3 Energie'!E8*'P3 Energie'!E7*(C231-c_Vv)^2+'P3 Energie'!E13+'P3 Energie'!E15+'P3 Energie'!E6*$C$7</f>
        <v>18183.9069436859</v>
      </c>
      <c r="E231" s="50" t="n">
        <f aca="false">D231*C231</f>
        <v>56067.0464096983</v>
      </c>
      <c r="F231" s="46" t="n">
        <v>222</v>
      </c>
      <c r="G231" s="47" t="n">
        <f aca="false">F231*$H$6</f>
        <v>0.405082571369117</v>
      </c>
      <c r="H231" s="48" t="n">
        <f aca="false">$H$7*G231</f>
        <v>3.08333333333333</v>
      </c>
      <c r="I231" s="49" t="n">
        <f aca="false">0.5*c_rho*'P3 Energie'!F8*'P3 Energie'!F7*(H231-c_Vv)^2+'P3 Energie'!F13+'P3 Energie'!F15+'P3 Energie'!F6*$H$7</f>
        <v>19041.6005977046</v>
      </c>
      <c r="J231" s="50" t="n">
        <f aca="false">I231*H231</f>
        <v>58711.6018429226</v>
      </c>
    </row>
    <row r="232" customFormat="false" ht="15" hidden="false" customHeight="false" outlineLevel="0" collapsed="false">
      <c r="A232" s="46" t="n">
        <v>223</v>
      </c>
      <c r="B232" s="47" t="n">
        <f aca="false">A232*$C$6</f>
        <v>0.408085515279502</v>
      </c>
      <c r="C232" s="48" t="n">
        <f aca="false">$C$7*B232</f>
        <v>3.09722222222222</v>
      </c>
      <c r="D232" s="49" t="n">
        <f aca="false">0.5*c_rho*'P3 Energie'!E8*'P3 Energie'!E7*(C232-c_Vv)^2+'P3 Energie'!E13+'P3 Energie'!E15+'P3 Energie'!E6*$C$7</f>
        <v>18183.9412319259</v>
      </c>
      <c r="E232" s="50" t="n">
        <f aca="false">D232*C232</f>
        <v>56319.7068711037</v>
      </c>
      <c r="F232" s="46" t="n">
        <v>223</v>
      </c>
      <c r="G232" s="47" t="n">
        <f aca="false">F232*$H$6</f>
        <v>0.406907267636545</v>
      </c>
      <c r="H232" s="48" t="n">
        <f aca="false">$H$7*G232</f>
        <v>3.09722222222222</v>
      </c>
      <c r="I232" s="49" t="n">
        <f aca="false">0.5*c_rho*'P3 Energie'!F8*'P3 Energie'!F7*(H232-c_Vv)^2+'P3 Energie'!F13+'P3 Energie'!F15+'P3 Energie'!F6*$H$7</f>
        <v>19041.6303880854</v>
      </c>
      <c r="J232" s="50" t="n">
        <f aca="false">I232*H232</f>
        <v>58976.1607853201</v>
      </c>
    </row>
    <row r="233" customFormat="false" ht="15" hidden="false" customHeight="false" outlineLevel="0" collapsed="false">
      <c r="A233" s="46" t="n">
        <v>224</v>
      </c>
      <c r="B233" s="47" t="n">
        <f aca="false">A233*$C$6</f>
        <v>0.409915495168648</v>
      </c>
      <c r="C233" s="48" t="n">
        <f aca="false">$C$7*B233</f>
        <v>3.11111111111111</v>
      </c>
      <c r="D233" s="49" t="n">
        <f aca="false">0.5*c_rho*'P3 Energie'!E8*'P3 Energie'!E7*(C233-c_Vv)^2+'P3 Energie'!E13+'P3 Energie'!E15+'P3 Energie'!E6*$C$7</f>
        <v>18183.9756742702</v>
      </c>
      <c r="E233" s="50" t="n">
        <f aca="false">D233*C233</f>
        <v>56572.3687643963</v>
      </c>
      <c r="F233" s="46" t="n">
        <v>224</v>
      </c>
      <c r="G233" s="47" t="n">
        <f aca="false">F233*$H$6</f>
        <v>0.408731963903974</v>
      </c>
      <c r="H233" s="48" t="n">
        <f aca="false">$H$7*G233</f>
        <v>3.11111111111111</v>
      </c>
      <c r="I233" s="49" t="n">
        <f aca="false">0.5*c_rho*'P3 Energie'!F8*'P3 Energie'!F7*(H233-c_Vv)^2+'P3 Energie'!F13+'P3 Energie'!F15+'P3 Energie'!F6*$H$7</f>
        <v>19041.6603123556</v>
      </c>
      <c r="J233" s="50" t="n">
        <f aca="false">I233*H233</f>
        <v>59240.7209717729</v>
      </c>
    </row>
    <row r="234" customFormat="false" ht="15" hidden="false" customHeight="false" outlineLevel="0" collapsed="false">
      <c r="A234" s="46" t="n">
        <v>225</v>
      </c>
      <c r="B234" s="47" t="n">
        <f aca="false">A234*$C$6</f>
        <v>0.411745475057794</v>
      </c>
      <c r="C234" s="48" t="n">
        <f aca="false">$C$7*B234</f>
        <v>3.125</v>
      </c>
      <c r="D234" s="49" t="n">
        <f aca="false">0.5*c_rho*'P3 Energie'!E8*'P3 Energie'!E7*(C234-c_Vv)^2+'P3 Energie'!E13+'P3 Energie'!E15+'P3 Energie'!E6*$C$7</f>
        <v>18184.010270719</v>
      </c>
      <c r="E234" s="50" t="n">
        <f aca="false">D234*C234</f>
        <v>56825.032095997</v>
      </c>
      <c r="F234" s="46" t="n">
        <v>225</v>
      </c>
      <c r="G234" s="47" t="n">
        <f aca="false">F234*$H$6</f>
        <v>0.410556660171402</v>
      </c>
      <c r="H234" s="48" t="n">
        <f aca="false">$H$7*G234</f>
        <v>3.125</v>
      </c>
      <c r="I234" s="49" t="n">
        <f aca="false">0.5*c_rho*'P3 Energie'!F8*'P3 Energie'!F7*(H234-c_Vv)^2+'P3 Energie'!F13+'P3 Energie'!F15+'P3 Energie'!F6*$H$7</f>
        <v>19041.690370515</v>
      </c>
      <c r="J234" s="50" t="n">
        <f aca="false">I234*H234</f>
        <v>59505.2824078595</v>
      </c>
    </row>
    <row r="235" customFormat="false" ht="15" hidden="false" customHeight="false" outlineLevel="0" collapsed="false">
      <c r="A235" s="46" t="n">
        <v>226</v>
      </c>
      <c r="B235" s="47" t="n">
        <f aca="false">A235*$C$6</f>
        <v>0.413575454946939</v>
      </c>
      <c r="C235" s="48" t="n">
        <f aca="false">$C$7*B235</f>
        <v>3.13888888888889</v>
      </c>
      <c r="D235" s="49" t="n">
        <f aca="false">0.5*c_rho*'P3 Energie'!E8*'P3 Energie'!E7*(C235-c_Vv)^2+'P3 Energie'!E13+'P3 Energie'!E15+'P3 Energie'!E6*$C$7</f>
        <v>18184.0450212723</v>
      </c>
      <c r="E235" s="50" t="n">
        <f aca="false">D235*C235</f>
        <v>57077.696872327</v>
      </c>
      <c r="F235" s="46" t="n">
        <v>226</v>
      </c>
      <c r="G235" s="47" t="n">
        <f aca="false">F235*$H$6</f>
        <v>0.412381356438831</v>
      </c>
      <c r="H235" s="48" t="n">
        <f aca="false">$H$7*G235</f>
        <v>3.13888888888889</v>
      </c>
      <c r="I235" s="49" t="n">
        <f aca="false">0.5*c_rho*'P3 Energie'!F8*'P3 Energie'!F7*(H235-c_Vv)^2+'P3 Energie'!F13+'P3 Energie'!F15+'P3 Energie'!F6*$H$7</f>
        <v>19041.7205625639</v>
      </c>
      <c r="J235" s="50" t="n">
        <f aca="false">I235*H235</f>
        <v>59769.8450991589</v>
      </c>
    </row>
    <row r="236" customFormat="false" ht="15" hidden="false" customHeight="false" outlineLevel="0" collapsed="false">
      <c r="A236" s="46" t="n">
        <v>227</v>
      </c>
      <c r="B236" s="47" t="n">
        <f aca="false">A236*$C$6</f>
        <v>0.415405434836085</v>
      </c>
      <c r="C236" s="48" t="n">
        <f aca="false">$C$7*B236</f>
        <v>3.15277777777778</v>
      </c>
      <c r="D236" s="49" t="n">
        <f aca="false">0.5*c_rho*'P3 Energie'!E8*'P3 Energie'!E7*(C236-c_Vv)^2+'P3 Energie'!E13+'P3 Energie'!E15+'P3 Energie'!E6*$C$7</f>
        <v>18184.07992593</v>
      </c>
      <c r="E236" s="50" t="n">
        <f aca="false">D236*C236</f>
        <v>57330.3630998072</v>
      </c>
      <c r="F236" s="46" t="n">
        <v>227</v>
      </c>
      <c r="G236" s="47" t="n">
        <f aca="false">F236*$H$6</f>
        <v>0.414206052706259</v>
      </c>
      <c r="H236" s="48" t="n">
        <f aca="false">$H$7*G236</f>
        <v>3.15277777777778</v>
      </c>
      <c r="I236" s="49" t="n">
        <f aca="false">0.5*c_rho*'P3 Energie'!F8*'P3 Energie'!F7*(H236-c_Vv)^2+'P3 Energie'!F13+'P3 Energie'!F15+'P3 Energie'!F6*$H$7</f>
        <v>19041.7508885021</v>
      </c>
      <c r="J236" s="50" t="n">
        <f aca="false">I236*H236</f>
        <v>60034.4090512496</v>
      </c>
    </row>
    <row r="237" customFormat="false" ht="15" hidden="false" customHeight="false" outlineLevel="0" collapsed="false">
      <c r="A237" s="46" t="n">
        <v>228</v>
      </c>
      <c r="B237" s="47" t="n">
        <f aca="false">A237*$C$6</f>
        <v>0.417235414725231</v>
      </c>
      <c r="C237" s="48" t="n">
        <f aca="false">$C$7*B237</f>
        <v>3.16666666666667</v>
      </c>
      <c r="D237" s="49" t="n">
        <f aca="false">0.5*c_rho*'P3 Energie'!E8*'P3 Energie'!E7*(C237-c_Vv)^2+'P3 Energie'!E13+'P3 Energie'!E15+'P3 Energie'!E6*$C$7</f>
        <v>18184.1149846922</v>
      </c>
      <c r="E237" s="50" t="n">
        <f aca="false">D237*C237</f>
        <v>57583.0307848586</v>
      </c>
      <c r="F237" s="46" t="n">
        <v>228</v>
      </c>
      <c r="G237" s="47" t="n">
        <f aca="false">F237*$H$6</f>
        <v>0.416030748973687</v>
      </c>
      <c r="H237" s="48" t="n">
        <f aca="false">$H$7*G237</f>
        <v>3.16666666666667</v>
      </c>
      <c r="I237" s="49" t="n">
        <f aca="false">0.5*c_rho*'P3 Energie'!F8*'P3 Energie'!F7*(H237-c_Vv)^2+'P3 Energie'!F13+'P3 Energie'!F15+'P3 Energie'!F6*$H$7</f>
        <v>19041.7813483296</v>
      </c>
      <c r="J237" s="50" t="n">
        <f aca="false">I237*H237</f>
        <v>60298.9742697105</v>
      </c>
    </row>
    <row r="238" customFormat="false" ht="15" hidden="false" customHeight="false" outlineLevel="0" collapsed="false">
      <c r="A238" s="46" t="n">
        <v>229</v>
      </c>
      <c r="B238" s="47" t="n">
        <f aca="false">A238*$C$6</f>
        <v>0.419065394614377</v>
      </c>
      <c r="C238" s="48" t="n">
        <f aca="false">$C$7*B238</f>
        <v>3.18055555555556</v>
      </c>
      <c r="D238" s="49" t="n">
        <f aca="false">0.5*c_rho*'P3 Energie'!E8*'P3 Energie'!E7*(C238-c_Vv)^2+'P3 Energie'!E13+'P3 Energie'!E15+'P3 Energie'!E6*$C$7</f>
        <v>18184.1501975588</v>
      </c>
      <c r="E238" s="50" t="n">
        <f aca="false">D238*C238</f>
        <v>57835.6999339023</v>
      </c>
      <c r="F238" s="46" t="n">
        <v>229</v>
      </c>
      <c r="G238" s="47" t="n">
        <f aca="false">F238*$H$6</f>
        <v>0.417855445241116</v>
      </c>
      <c r="H238" s="48" t="n">
        <f aca="false">$H$7*G238</f>
        <v>3.18055555555556</v>
      </c>
      <c r="I238" s="49" t="n">
        <f aca="false">0.5*c_rho*'P3 Energie'!F8*'P3 Energie'!F7*(H238-c_Vv)^2+'P3 Energie'!F13+'P3 Energie'!F15+'P3 Energie'!F6*$H$7</f>
        <v>19041.8119420465</v>
      </c>
      <c r="J238" s="50" t="n">
        <f aca="false">I238*H238</f>
        <v>60563.5407601202</v>
      </c>
    </row>
    <row r="239" customFormat="false" ht="15" hidden="false" customHeight="false" outlineLevel="0" collapsed="false">
      <c r="A239" s="46" t="n">
        <v>230</v>
      </c>
      <c r="B239" s="47" t="n">
        <f aca="false">A239*$C$6</f>
        <v>0.420895374503522</v>
      </c>
      <c r="C239" s="48" t="n">
        <f aca="false">$C$7*B239</f>
        <v>3.19444444444444</v>
      </c>
      <c r="D239" s="49" t="n">
        <f aca="false">0.5*c_rho*'P3 Energie'!E8*'P3 Energie'!E7*(C239-c_Vv)^2+'P3 Energie'!E13+'P3 Energie'!E15+'P3 Energie'!E6*$C$7</f>
        <v>18184.1855645299</v>
      </c>
      <c r="E239" s="50" t="n">
        <f aca="false">D239*C239</f>
        <v>58088.3705533593</v>
      </c>
      <c r="F239" s="46" t="n">
        <v>230</v>
      </c>
      <c r="G239" s="47" t="n">
        <f aca="false">F239*$H$6</f>
        <v>0.419680141508544</v>
      </c>
      <c r="H239" s="48" t="n">
        <f aca="false">$H$7*G239</f>
        <v>3.19444444444444</v>
      </c>
      <c r="I239" s="49" t="n">
        <f aca="false">0.5*c_rho*'P3 Energie'!F8*'P3 Energie'!F7*(H239-c_Vv)^2+'P3 Energie'!F13+'P3 Energie'!F15+'P3 Energie'!F6*$H$7</f>
        <v>19041.8426696528</v>
      </c>
      <c r="J239" s="50" t="n">
        <f aca="false">I239*H239</f>
        <v>60828.1085280575</v>
      </c>
    </row>
    <row r="240" customFormat="false" ht="15" hidden="false" customHeight="false" outlineLevel="0" collapsed="false">
      <c r="A240" s="46" t="n">
        <v>231</v>
      </c>
      <c r="B240" s="47" t="n">
        <f aca="false">A240*$C$6</f>
        <v>0.422725354392668</v>
      </c>
      <c r="C240" s="48" t="n">
        <f aca="false">$C$7*B240</f>
        <v>3.20833333333333</v>
      </c>
      <c r="D240" s="49" t="n">
        <f aca="false">0.5*c_rho*'P3 Energie'!E8*'P3 Energie'!E7*(C240-c_Vv)^2+'P3 Energie'!E13+'P3 Energie'!E15+'P3 Energie'!E6*$C$7</f>
        <v>18184.2210856054</v>
      </c>
      <c r="E240" s="50" t="n">
        <f aca="false">D240*C240</f>
        <v>58341.0426496506</v>
      </c>
      <c r="F240" s="46" t="n">
        <v>231</v>
      </c>
      <c r="G240" s="47" t="n">
        <f aca="false">F240*$H$6</f>
        <v>0.421504837775973</v>
      </c>
      <c r="H240" s="48" t="n">
        <f aca="false">$H$7*G240</f>
        <v>3.20833333333333</v>
      </c>
      <c r="I240" s="49" t="n">
        <f aca="false">0.5*c_rho*'P3 Energie'!F8*'P3 Energie'!F7*(H240-c_Vv)^2+'P3 Energie'!F13+'P3 Energie'!F15+'P3 Energie'!F6*$H$7</f>
        <v>19041.8735311484</v>
      </c>
      <c r="J240" s="50" t="n">
        <f aca="false">I240*H240</f>
        <v>61092.6775791011</v>
      </c>
    </row>
    <row r="241" customFormat="false" ht="15" hidden="false" customHeight="false" outlineLevel="0" collapsed="false">
      <c r="A241" s="46" t="n">
        <v>232</v>
      </c>
      <c r="B241" s="47" t="n">
        <f aca="false">A241*$C$6</f>
        <v>0.424555334281814</v>
      </c>
      <c r="C241" s="48" t="n">
        <f aca="false">$C$7*B241</f>
        <v>3.22222222222222</v>
      </c>
      <c r="D241" s="49" t="n">
        <f aca="false">0.5*c_rho*'P3 Energie'!E8*'P3 Energie'!E7*(C241-c_Vv)^2+'P3 Energie'!E13+'P3 Energie'!E15+'P3 Energie'!E6*$C$7</f>
        <v>18184.2567607853</v>
      </c>
      <c r="E241" s="50" t="n">
        <f aca="false">D241*C241</f>
        <v>58593.7162291972</v>
      </c>
      <c r="F241" s="46" t="n">
        <v>232</v>
      </c>
      <c r="G241" s="47" t="n">
        <f aca="false">F241*$H$6</f>
        <v>0.423329534043401</v>
      </c>
      <c r="H241" s="48" t="n">
        <f aca="false">$H$7*G241</f>
        <v>3.22222222222222</v>
      </c>
      <c r="I241" s="49" t="n">
        <f aca="false">0.5*c_rho*'P3 Energie'!F8*'P3 Energie'!F7*(H241-c_Vv)^2+'P3 Energie'!F13+'P3 Energie'!F15+'P3 Energie'!F6*$H$7</f>
        <v>19041.9045265333</v>
      </c>
      <c r="J241" s="50" t="n">
        <f aca="false">I241*H241</f>
        <v>61357.2479188296</v>
      </c>
    </row>
    <row r="242" customFormat="false" ht="15" hidden="false" customHeight="false" outlineLevel="0" collapsed="false">
      <c r="A242" s="46" t="n">
        <v>233</v>
      </c>
      <c r="B242" s="47" t="n">
        <f aca="false">A242*$C$6</f>
        <v>0.42638531417096</v>
      </c>
      <c r="C242" s="48" t="n">
        <f aca="false">$C$7*B242</f>
        <v>3.23611111111111</v>
      </c>
      <c r="D242" s="49" t="n">
        <f aca="false">0.5*c_rho*'P3 Energie'!E8*'P3 Energie'!E7*(C242-c_Vv)^2+'P3 Energie'!E13+'P3 Energie'!E15+'P3 Energie'!E6*$C$7</f>
        <v>18184.2925900698</v>
      </c>
      <c r="E242" s="50" t="n">
        <f aca="false">D242*C242</f>
        <v>58846.3912984202</v>
      </c>
      <c r="F242" s="46" t="n">
        <v>233</v>
      </c>
      <c r="G242" s="47" t="n">
        <f aca="false">F242*$H$6</f>
        <v>0.42515423031083</v>
      </c>
      <c r="H242" s="48" t="n">
        <f aca="false">$H$7*G242</f>
        <v>3.23611111111111</v>
      </c>
      <c r="I242" s="49" t="n">
        <f aca="false">0.5*c_rho*'P3 Energie'!F8*'P3 Energie'!F7*(H242-c_Vv)^2+'P3 Energie'!F13+'P3 Energie'!F15+'P3 Energie'!F6*$H$7</f>
        <v>19041.9356558076</v>
      </c>
      <c r="J242" s="50" t="n">
        <f aca="false">I242*H242</f>
        <v>61621.8195528219</v>
      </c>
    </row>
    <row r="243" customFormat="false" ht="15" hidden="false" customHeight="false" outlineLevel="0" collapsed="false">
      <c r="A243" s="46" t="n">
        <v>234</v>
      </c>
      <c r="B243" s="47" t="n">
        <f aca="false">A243*$C$6</f>
        <v>0.428215294060105</v>
      </c>
      <c r="C243" s="48" t="n">
        <f aca="false">$C$7*B243</f>
        <v>3.25</v>
      </c>
      <c r="D243" s="49" t="n">
        <f aca="false">0.5*c_rho*'P3 Energie'!E8*'P3 Energie'!E7*(C243-c_Vv)^2+'P3 Energie'!E13+'P3 Energie'!E15+'P3 Energie'!E6*$C$7</f>
        <v>18184.3285734586</v>
      </c>
      <c r="E243" s="50" t="n">
        <f aca="false">D243*C243</f>
        <v>59099.0678637405</v>
      </c>
      <c r="F243" s="46" t="n">
        <v>234</v>
      </c>
      <c r="G243" s="47" t="n">
        <f aca="false">F243*$H$6</f>
        <v>0.426978926578258</v>
      </c>
      <c r="H243" s="48" t="n">
        <f aca="false">$H$7*G243</f>
        <v>3.25</v>
      </c>
      <c r="I243" s="49" t="n">
        <f aca="false">0.5*c_rho*'P3 Energie'!F8*'P3 Energie'!F7*(H243-c_Vv)^2+'P3 Energie'!F13+'P3 Energie'!F15+'P3 Energie'!F6*$H$7</f>
        <v>19041.9669189713</v>
      </c>
      <c r="J243" s="50" t="n">
        <f aca="false">I243*H243</f>
        <v>61886.3924866567</v>
      </c>
    </row>
    <row r="244" customFormat="false" ht="15" hidden="false" customHeight="false" outlineLevel="0" collapsed="false">
      <c r="A244" s="46" t="n">
        <v>235</v>
      </c>
      <c r="B244" s="47" t="n">
        <f aca="false">A244*$C$6</f>
        <v>0.430045273949251</v>
      </c>
      <c r="C244" s="48" t="n">
        <f aca="false">$C$7*B244</f>
        <v>3.26388888888889</v>
      </c>
      <c r="D244" s="49" t="n">
        <f aca="false">0.5*c_rho*'P3 Energie'!E8*'P3 Energie'!E7*(C244-c_Vv)^2+'P3 Energie'!E13+'P3 Energie'!E15+'P3 Energie'!E6*$C$7</f>
        <v>18184.3647109519</v>
      </c>
      <c r="E244" s="50" t="n">
        <f aca="false">D244*C244</f>
        <v>59351.7459315792</v>
      </c>
      <c r="F244" s="46" t="n">
        <v>235</v>
      </c>
      <c r="G244" s="47" t="n">
        <f aca="false">F244*$H$6</f>
        <v>0.428803622845687</v>
      </c>
      <c r="H244" s="48" t="n">
        <f aca="false">$H$7*G244</f>
        <v>3.26388888888889</v>
      </c>
      <c r="I244" s="49" t="n">
        <f aca="false">0.5*c_rho*'P3 Energie'!F8*'P3 Energie'!F7*(H244-c_Vv)^2+'P3 Energie'!F13+'P3 Energie'!F15+'P3 Energie'!F6*$H$7</f>
        <v>19041.9983160243</v>
      </c>
      <c r="J244" s="50" t="n">
        <f aca="false">I244*H244</f>
        <v>62150.9667259127</v>
      </c>
    </row>
    <row r="245" customFormat="false" ht="15" hidden="false" customHeight="false" outlineLevel="0" collapsed="false">
      <c r="A245" s="46" t="n">
        <v>236</v>
      </c>
      <c r="B245" s="47" t="n">
        <f aca="false">A245*$C$6</f>
        <v>0.431875253838397</v>
      </c>
      <c r="C245" s="48" t="n">
        <f aca="false">$C$7*B245</f>
        <v>3.27777777777778</v>
      </c>
      <c r="D245" s="49" t="n">
        <f aca="false">0.5*c_rho*'P3 Energie'!E8*'P3 Energie'!E7*(C245-c_Vv)^2+'P3 Energie'!E13+'P3 Energie'!E15+'P3 Energie'!E6*$C$7</f>
        <v>18184.4010025497</v>
      </c>
      <c r="E245" s="50" t="n">
        <f aca="false">D245*C245</f>
        <v>59604.4255083573</v>
      </c>
      <c r="F245" s="46" t="n">
        <v>236</v>
      </c>
      <c r="G245" s="47" t="n">
        <f aca="false">F245*$H$6</f>
        <v>0.430628319113115</v>
      </c>
      <c r="H245" s="48" t="n">
        <f aca="false">$H$7*G245</f>
        <v>3.27777777777778</v>
      </c>
      <c r="I245" s="49" t="n">
        <f aca="false">0.5*c_rho*'P3 Energie'!F8*'P3 Energie'!F7*(H245-c_Vv)^2+'P3 Energie'!F13+'P3 Energie'!F15+'P3 Energie'!F6*$H$7</f>
        <v>19042.0298469667</v>
      </c>
      <c r="J245" s="50" t="n">
        <f aca="false">I245*H245</f>
        <v>62415.5422761685</v>
      </c>
    </row>
    <row r="246" customFormat="false" ht="15" hidden="false" customHeight="false" outlineLevel="0" collapsed="false">
      <c r="A246" s="46" t="n">
        <v>237</v>
      </c>
      <c r="B246" s="47" t="n">
        <f aca="false">A246*$C$6</f>
        <v>0.433705233727543</v>
      </c>
      <c r="C246" s="48" t="n">
        <f aca="false">$C$7*B246</f>
        <v>3.29166666666667</v>
      </c>
      <c r="D246" s="49" t="n">
        <f aca="false">0.5*c_rho*'P3 Energie'!E8*'P3 Energie'!E7*(C246-c_Vv)^2+'P3 Energie'!E13+'P3 Energie'!E15+'P3 Energie'!E6*$C$7</f>
        <v>18184.4374482519</v>
      </c>
      <c r="E246" s="50" t="n">
        <f aca="false">D246*C246</f>
        <v>59857.1066004958</v>
      </c>
      <c r="F246" s="46" t="n">
        <v>237</v>
      </c>
      <c r="G246" s="47" t="n">
        <f aca="false">F246*$H$6</f>
        <v>0.432453015380544</v>
      </c>
      <c r="H246" s="48" t="n">
        <f aca="false">$H$7*G246</f>
        <v>3.29166666666667</v>
      </c>
      <c r="I246" s="49" t="n">
        <f aca="false">0.5*c_rho*'P3 Energie'!F8*'P3 Energie'!F7*(H246-c_Vv)^2+'P3 Energie'!F13+'P3 Energie'!F15+'P3 Energie'!F6*$H$7</f>
        <v>19042.0615117984</v>
      </c>
      <c r="J246" s="50" t="n">
        <f aca="false">I246*H246</f>
        <v>62680.119143003</v>
      </c>
    </row>
    <row r="247" customFormat="false" ht="15" hidden="false" customHeight="false" outlineLevel="0" collapsed="false">
      <c r="A247" s="46" t="n">
        <v>238</v>
      </c>
      <c r="B247" s="47" t="n">
        <f aca="false">A247*$C$6</f>
        <v>0.435535213616688</v>
      </c>
      <c r="C247" s="48" t="n">
        <f aca="false">$C$7*B247</f>
        <v>3.30555555555556</v>
      </c>
      <c r="D247" s="49" t="n">
        <f aca="false">0.5*c_rho*'P3 Energie'!E8*'P3 Energie'!E7*(C247-c_Vv)^2+'P3 Energie'!E13+'P3 Energie'!E15+'P3 Energie'!E6*$C$7</f>
        <v>18184.4740480585</v>
      </c>
      <c r="E247" s="50" t="n">
        <f aca="false">D247*C247</f>
        <v>60109.7892144157</v>
      </c>
      <c r="F247" s="46" t="n">
        <v>238</v>
      </c>
      <c r="G247" s="47" t="n">
        <f aca="false">F247*$H$6</f>
        <v>0.434277711647972</v>
      </c>
      <c r="H247" s="48" t="n">
        <f aca="false">$H$7*G247</f>
        <v>3.30555555555556</v>
      </c>
      <c r="I247" s="49" t="n">
        <f aca="false">0.5*c_rho*'P3 Energie'!F8*'P3 Energie'!F7*(H247-c_Vv)^2+'P3 Energie'!F13+'P3 Energie'!F15+'P3 Energie'!F6*$H$7</f>
        <v>19042.0933105194</v>
      </c>
      <c r="J247" s="50" t="n">
        <f aca="false">I247*H247</f>
        <v>62944.6973319948</v>
      </c>
    </row>
    <row r="248" customFormat="false" ht="15" hidden="false" customHeight="false" outlineLevel="0" collapsed="false">
      <c r="A248" s="46" t="n">
        <v>239</v>
      </c>
      <c r="B248" s="47" t="n">
        <f aca="false">A248*$C$6</f>
        <v>0.437365193505834</v>
      </c>
      <c r="C248" s="48" t="n">
        <f aca="false">$C$7*B248</f>
        <v>3.31944444444444</v>
      </c>
      <c r="D248" s="49" t="n">
        <f aca="false">0.5*c_rho*'P3 Energie'!E8*'P3 Energie'!E7*(C248-c_Vv)^2+'P3 Energie'!E13+'P3 Energie'!E15+'P3 Energie'!E6*$C$7</f>
        <v>18184.5108019696</v>
      </c>
      <c r="E248" s="50" t="n">
        <f aca="false">D248*C248</f>
        <v>60362.4733565381</v>
      </c>
      <c r="F248" s="46" t="n">
        <v>239</v>
      </c>
      <c r="G248" s="47" t="n">
        <f aca="false">F248*$H$6</f>
        <v>0.4361024079154</v>
      </c>
      <c r="H248" s="48" t="n">
        <f aca="false">$H$7*G248</f>
        <v>3.31944444444444</v>
      </c>
      <c r="I248" s="49" t="n">
        <f aca="false">0.5*c_rho*'P3 Energie'!F8*'P3 Energie'!F7*(H248-c_Vv)^2+'P3 Energie'!F13+'P3 Energie'!F15+'P3 Energie'!F6*$H$7</f>
        <v>19042.1252431299</v>
      </c>
      <c r="J248" s="50" t="n">
        <f aca="false">I248*H248</f>
        <v>63209.2768487227</v>
      </c>
    </row>
    <row r="249" customFormat="false" ht="15" hidden="false" customHeight="false" outlineLevel="0" collapsed="false">
      <c r="A249" s="46" t="n">
        <v>240</v>
      </c>
      <c r="B249" s="47" t="n">
        <f aca="false">A249*$C$6</f>
        <v>0.43919517339498</v>
      </c>
      <c r="C249" s="48" t="n">
        <f aca="false">$C$7*B249</f>
        <v>3.33333333333333</v>
      </c>
      <c r="D249" s="49" t="n">
        <f aca="false">0.5*c_rho*'P3 Energie'!E8*'P3 Energie'!E7*(C249-c_Vv)^2+'P3 Energie'!E13+'P3 Energie'!E15+'P3 Energie'!E6*$C$7</f>
        <v>18184.5477099852</v>
      </c>
      <c r="E249" s="50" t="n">
        <f aca="false">D249*C249</f>
        <v>60615.159033284</v>
      </c>
      <c r="F249" s="46" t="n">
        <v>240</v>
      </c>
      <c r="G249" s="47" t="n">
        <f aca="false">F249*$H$6</f>
        <v>0.437927104182829</v>
      </c>
      <c r="H249" s="48" t="n">
        <f aca="false">$H$7*G249</f>
        <v>3.33333333333333</v>
      </c>
      <c r="I249" s="49" t="n">
        <f aca="false">0.5*c_rho*'P3 Energie'!F8*'P3 Energie'!F7*(H249-c_Vv)^2+'P3 Energie'!F13+'P3 Energie'!F15+'P3 Energie'!F6*$H$7</f>
        <v>19042.1573096296</v>
      </c>
      <c r="J249" s="50" t="n">
        <f aca="false">I249*H249</f>
        <v>63473.8576987654</v>
      </c>
    </row>
    <row r="250" customFormat="false" ht="15" hidden="false" customHeight="false" outlineLevel="0" collapsed="false">
      <c r="A250" s="46" t="n">
        <v>241</v>
      </c>
      <c r="B250" s="47" t="n">
        <f aca="false">A250*$C$6</f>
        <v>0.441025153284126</v>
      </c>
      <c r="C250" s="48" t="n">
        <f aca="false">$C$7*B250</f>
        <v>3.34722222222222</v>
      </c>
      <c r="D250" s="49" t="n">
        <f aca="false">0.5*c_rho*'P3 Energie'!E8*'P3 Energie'!E7*(C250-c_Vv)^2+'P3 Energie'!E13+'P3 Energie'!E15+'P3 Energie'!E6*$C$7</f>
        <v>18184.5847721052</v>
      </c>
      <c r="E250" s="50" t="n">
        <f aca="false">D250*C250</f>
        <v>60867.8462510743</v>
      </c>
      <c r="F250" s="46" t="n">
        <v>241</v>
      </c>
      <c r="G250" s="47" t="n">
        <f aca="false">F250*$H$6</f>
        <v>0.439751800450257</v>
      </c>
      <c r="H250" s="48" t="n">
        <f aca="false">$H$7*G250</f>
        <v>3.34722222222222</v>
      </c>
      <c r="I250" s="49" t="n">
        <f aca="false">0.5*c_rho*'P3 Energie'!F8*'P3 Energie'!F7*(H250-c_Vv)^2+'P3 Energie'!F13+'P3 Energie'!F15+'P3 Energie'!F6*$H$7</f>
        <v>19042.1895100188</v>
      </c>
      <c r="J250" s="50" t="n">
        <f aca="false">I250*H250</f>
        <v>63738.4398877017</v>
      </c>
    </row>
    <row r="251" customFormat="false" ht="15" hidden="false" customHeight="false" outlineLevel="0" collapsed="false">
      <c r="A251" s="46" t="n">
        <v>242</v>
      </c>
      <c r="B251" s="47" t="n">
        <f aca="false">A251*$C$6</f>
        <v>0.442855133173271</v>
      </c>
      <c r="C251" s="48" t="n">
        <f aca="false">$C$7*B251</f>
        <v>3.36111111111111</v>
      </c>
      <c r="D251" s="49" t="n">
        <f aca="false">0.5*c_rho*'P3 Energie'!E8*'P3 Energie'!E7*(C251-c_Vv)^2+'P3 Energie'!E13+'P3 Energie'!E15+'P3 Energie'!E6*$C$7</f>
        <v>18184.6219883296</v>
      </c>
      <c r="E251" s="50" t="n">
        <f aca="false">D251*C251</f>
        <v>61120.5350163302</v>
      </c>
      <c r="F251" s="46" t="n">
        <v>242</v>
      </c>
      <c r="G251" s="47" t="n">
        <f aca="false">F251*$H$6</f>
        <v>0.441576496717686</v>
      </c>
      <c r="H251" s="48" t="n">
        <f aca="false">$H$7*G251</f>
        <v>3.36111111111111</v>
      </c>
      <c r="I251" s="49" t="n">
        <f aca="false">0.5*c_rho*'P3 Energie'!F8*'P3 Energie'!F7*(H251-c_Vv)^2+'P3 Energie'!F13+'P3 Energie'!F15+'P3 Energie'!F6*$H$7</f>
        <v>19042.2218442972</v>
      </c>
      <c r="J251" s="50" t="n">
        <f aca="false">I251*H251</f>
        <v>64003.0234211101</v>
      </c>
    </row>
    <row r="252" customFormat="false" ht="15" hidden="false" customHeight="false" outlineLevel="0" collapsed="false">
      <c r="A252" s="46" t="n">
        <v>243</v>
      </c>
      <c r="B252" s="47" t="n">
        <f aca="false">A252*$C$6</f>
        <v>0.444685113062417</v>
      </c>
      <c r="C252" s="48" t="n">
        <f aca="false">$C$7*B252</f>
        <v>3.375</v>
      </c>
      <c r="D252" s="49" t="n">
        <f aca="false">0.5*c_rho*'P3 Energie'!E8*'P3 Energie'!E7*(C252-c_Vv)^2+'P3 Energie'!E13+'P3 Energie'!E15+'P3 Energie'!E6*$C$7</f>
        <v>18184.6593586585</v>
      </c>
      <c r="E252" s="50" t="n">
        <f aca="false">D252*C252</f>
        <v>61373.2253354726</v>
      </c>
      <c r="F252" s="46" t="n">
        <v>243</v>
      </c>
      <c r="G252" s="47" t="n">
        <f aca="false">F252*$H$6</f>
        <v>0.443401192985114</v>
      </c>
      <c r="H252" s="48" t="n">
        <f aca="false">$H$7*G252</f>
        <v>3.375</v>
      </c>
      <c r="I252" s="49" t="n">
        <f aca="false">0.5*c_rho*'P3 Energie'!F8*'P3 Energie'!F7*(H252-c_Vv)^2+'P3 Energie'!F13+'P3 Energie'!F15+'P3 Energie'!F6*$H$7</f>
        <v>19042.254312465</v>
      </c>
      <c r="J252" s="50" t="n">
        <f aca="false">I252*H252</f>
        <v>64267.6083045695</v>
      </c>
    </row>
    <row r="253" customFormat="false" ht="15" hidden="false" customHeight="false" outlineLevel="0" collapsed="false">
      <c r="A253" s="46" t="n">
        <v>244</v>
      </c>
      <c r="B253" s="47" t="n">
        <f aca="false">A253*$C$6</f>
        <v>0.446515092951563</v>
      </c>
      <c r="C253" s="48" t="n">
        <f aca="false">$C$7*B253</f>
        <v>3.38888888888889</v>
      </c>
      <c r="D253" s="49" t="n">
        <f aca="false">0.5*c_rho*'P3 Energie'!E8*'P3 Energie'!E7*(C253-c_Vv)^2+'P3 Energie'!E13+'P3 Energie'!E15+'P3 Energie'!E6*$C$7</f>
        <v>18184.6968830919</v>
      </c>
      <c r="E253" s="50" t="n">
        <f aca="false">D253*C253</f>
        <v>61625.9172149225</v>
      </c>
      <c r="F253" s="46" t="n">
        <v>244</v>
      </c>
      <c r="G253" s="47" t="n">
        <f aca="false">F253*$H$6</f>
        <v>0.445225889252543</v>
      </c>
      <c r="H253" s="48" t="n">
        <f aca="false">$H$7*G253</f>
        <v>3.38888888888889</v>
      </c>
      <c r="I253" s="49" t="n">
        <f aca="false">0.5*c_rho*'P3 Energie'!F8*'P3 Energie'!F7*(H253-c_Vv)^2+'P3 Energie'!F13+'P3 Energie'!F15+'P3 Energie'!F6*$H$7</f>
        <v>19042.2869145222</v>
      </c>
      <c r="J253" s="50" t="n">
        <f aca="false">I253*H253</f>
        <v>64532.1945436586</v>
      </c>
    </row>
    <row r="254" customFormat="false" ht="15" hidden="false" customHeight="false" outlineLevel="0" collapsed="false">
      <c r="A254" s="46" t="n">
        <v>245</v>
      </c>
      <c r="B254" s="47" t="n">
        <f aca="false">A254*$C$6</f>
        <v>0.448345072840709</v>
      </c>
      <c r="C254" s="48" t="n">
        <f aca="false">$C$7*B254</f>
        <v>3.40277777777778</v>
      </c>
      <c r="D254" s="49" t="n">
        <f aca="false">0.5*c_rho*'P3 Energie'!E8*'P3 Energie'!E7*(C254-c_Vv)^2+'P3 Energie'!E13+'P3 Energie'!E15+'P3 Energie'!E6*$C$7</f>
        <v>18184.7345616297</v>
      </c>
      <c r="E254" s="50" t="n">
        <f aca="false">D254*C254</f>
        <v>61878.6106611011</v>
      </c>
      <c r="F254" s="46" t="n">
        <v>245</v>
      </c>
      <c r="G254" s="47" t="n">
        <f aca="false">F254*$H$6</f>
        <v>0.447050585519971</v>
      </c>
      <c r="H254" s="48" t="n">
        <f aca="false">$H$7*G254</f>
        <v>3.40277777777778</v>
      </c>
      <c r="I254" s="49" t="n">
        <f aca="false">0.5*c_rho*'P3 Energie'!F8*'P3 Energie'!F7*(H254-c_Vv)^2+'P3 Energie'!F13+'P3 Energie'!F15+'P3 Energie'!F6*$H$7</f>
        <v>19042.3196504688</v>
      </c>
      <c r="J254" s="50" t="n">
        <f aca="false">I254*H254</f>
        <v>64796.7821439562</v>
      </c>
    </row>
    <row r="255" customFormat="false" ht="15" hidden="false" customHeight="false" outlineLevel="0" collapsed="false">
      <c r="A255" s="46" t="n">
        <v>246</v>
      </c>
      <c r="B255" s="47" t="n">
        <f aca="false">A255*$C$6</f>
        <v>0.450175052729854</v>
      </c>
      <c r="C255" s="48" t="n">
        <f aca="false">$C$7*B255</f>
        <v>3.41666666666667</v>
      </c>
      <c r="D255" s="49" t="n">
        <f aca="false">0.5*c_rho*'P3 Energie'!E8*'P3 Energie'!E7*(C255-c_Vv)^2+'P3 Energie'!E13+'P3 Energie'!E15+'P3 Energie'!E6*$C$7</f>
        <v>18184.7723942719</v>
      </c>
      <c r="E255" s="50" t="n">
        <f aca="false">D255*C255</f>
        <v>62131.3056804291</v>
      </c>
      <c r="F255" s="46" t="n">
        <v>246</v>
      </c>
      <c r="G255" s="47" t="n">
        <f aca="false">F255*$H$6</f>
        <v>0.4488752817874</v>
      </c>
      <c r="H255" s="48" t="n">
        <f aca="false">$H$7*G255</f>
        <v>3.41666666666667</v>
      </c>
      <c r="I255" s="49" t="n">
        <f aca="false">0.5*c_rho*'P3 Energie'!F8*'P3 Energie'!F7*(H255-c_Vv)^2+'P3 Energie'!F13+'P3 Energie'!F15+'P3 Energie'!F6*$H$7</f>
        <v>19042.3525203046</v>
      </c>
      <c r="J255" s="50" t="n">
        <f aca="false">I255*H255</f>
        <v>65061.3711110408</v>
      </c>
    </row>
    <row r="256" customFormat="false" ht="15" hidden="false" customHeight="false" outlineLevel="0" collapsed="false">
      <c r="A256" s="46" t="n">
        <v>247</v>
      </c>
      <c r="B256" s="47" t="n">
        <f aca="false">A256*$C$6</f>
        <v>0.452005032619</v>
      </c>
      <c r="C256" s="48" t="n">
        <f aca="false">$C$7*B256</f>
        <v>3.43055555555556</v>
      </c>
      <c r="D256" s="49" t="n">
        <f aca="false">0.5*c_rho*'P3 Energie'!E8*'P3 Energie'!E7*(C256-c_Vv)^2+'P3 Energie'!E13+'P3 Energie'!E15+'P3 Energie'!E6*$C$7</f>
        <v>18184.8103810186</v>
      </c>
      <c r="E256" s="50" t="n">
        <f aca="false">D256*C256</f>
        <v>62384.0022793278</v>
      </c>
      <c r="F256" s="46" t="n">
        <v>247</v>
      </c>
      <c r="G256" s="47" t="n">
        <f aca="false">F256*$H$6</f>
        <v>0.450699978054828</v>
      </c>
      <c r="H256" s="48" t="n">
        <f aca="false">$H$7*G256</f>
        <v>3.43055555555556</v>
      </c>
      <c r="I256" s="49" t="n">
        <f aca="false">0.5*c_rho*'P3 Energie'!F8*'P3 Energie'!F7*(H256-c_Vv)^2+'P3 Energie'!F13+'P3 Energie'!F15+'P3 Energie'!F6*$H$7</f>
        <v>19042.3855240299</v>
      </c>
      <c r="J256" s="50" t="n">
        <f aca="false">I256*H256</f>
        <v>65325.9614504913</v>
      </c>
    </row>
    <row r="257" customFormat="false" ht="15" hidden="false" customHeight="false" outlineLevel="0" collapsed="false">
      <c r="A257" s="46" t="n">
        <v>248</v>
      </c>
      <c r="B257" s="47" t="n">
        <f aca="false">A257*$C$6</f>
        <v>0.453835012508146</v>
      </c>
      <c r="C257" s="48" t="n">
        <f aca="false">$C$7*B257</f>
        <v>3.44444444444444</v>
      </c>
      <c r="D257" s="49" t="n">
        <f aca="false">0.5*c_rho*'P3 Energie'!E8*'P3 Energie'!E7*(C257-c_Vv)^2+'P3 Energie'!E13+'P3 Energie'!E15+'P3 Energie'!E6*$C$7</f>
        <v>18184.8485218698</v>
      </c>
      <c r="E257" s="50" t="n">
        <f aca="false">D257*C257</f>
        <v>62636.7004642182</v>
      </c>
      <c r="F257" s="46" t="n">
        <v>248</v>
      </c>
      <c r="G257" s="47" t="n">
        <f aca="false">F257*$H$6</f>
        <v>0.452524674322256</v>
      </c>
      <c r="H257" s="48" t="n">
        <f aca="false">$H$7*G257</f>
        <v>3.44444444444444</v>
      </c>
      <c r="I257" s="49" t="n">
        <f aca="false">0.5*c_rho*'P3 Energie'!F8*'P3 Energie'!F7*(H257-c_Vv)^2+'P3 Energie'!F13+'P3 Energie'!F15+'P3 Energie'!F6*$H$7</f>
        <v>19042.4186616444</v>
      </c>
      <c r="J257" s="50" t="n">
        <f aca="false">I257*H257</f>
        <v>65590.5531678864</v>
      </c>
    </row>
    <row r="258" customFormat="false" ht="15" hidden="false" customHeight="false" outlineLevel="0" collapsed="false">
      <c r="A258" s="46" t="n">
        <v>249</v>
      </c>
      <c r="B258" s="47" t="n">
        <f aca="false">A258*$C$6</f>
        <v>0.455664992397292</v>
      </c>
      <c r="C258" s="48" t="n">
        <f aca="false">$C$7*B258</f>
        <v>3.45833333333333</v>
      </c>
      <c r="D258" s="49" t="n">
        <f aca="false">0.5*c_rho*'P3 Energie'!E8*'P3 Energie'!E7*(C258-c_Vv)^2+'P3 Energie'!E13+'P3 Energie'!E15+'P3 Energie'!E6*$C$7</f>
        <v>18184.8868168254</v>
      </c>
      <c r="E258" s="50" t="n">
        <f aca="false">D258*C258</f>
        <v>62889.4002415211</v>
      </c>
      <c r="F258" s="46" t="n">
        <v>249</v>
      </c>
      <c r="G258" s="47" t="n">
        <f aca="false">F258*$H$6</f>
        <v>0.454349370589685</v>
      </c>
      <c r="H258" s="48" t="n">
        <f aca="false">$H$7*G258</f>
        <v>3.45833333333333</v>
      </c>
      <c r="I258" s="49" t="n">
        <f aca="false">0.5*c_rho*'P3 Energie'!F8*'P3 Energie'!F7*(H258-c_Vv)^2+'P3 Energie'!F13+'P3 Energie'!F15+'P3 Energie'!F6*$H$7</f>
        <v>19042.4519331484</v>
      </c>
      <c r="J258" s="50" t="n">
        <f aca="false">I258*H258</f>
        <v>65855.1462688048</v>
      </c>
    </row>
    <row r="259" customFormat="false" ht="15" hidden="false" customHeight="false" outlineLevel="0" collapsed="false">
      <c r="A259" s="46" t="n">
        <v>250</v>
      </c>
      <c r="B259" s="47" t="n">
        <f aca="false">A259*$C$6</f>
        <v>0.457494972286437</v>
      </c>
      <c r="C259" s="48" t="n">
        <f aca="false">$C$7*B259</f>
        <v>3.47222222222222</v>
      </c>
      <c r="D259" s="49" t="n">
        <f aca="false">0.5*c_rho*'P3 Energie'!E8*'P3 Energie'!E7*(C259-c_Vv)^2+'P3 Energie'!E13+'P3 Energie'!E15+'P3 Energie'!E6*$C$7</f>
        <v>18184.9252658854</v>
      </c>
      <c r="E259" s="50" t="n">
        <f aca="false">D259*C259</f>
        <v>63142.1016176577</v>
      </c>
      <c r="F259" s="46" t="n">
        <v>250</v>
      </c>
      <c r="G259" s="47" t="n">
        <f aca="false">F259*$H$6</f>
        <v>0.456174066857113</v>
      </c>
      <c r="H259" s="48" t="n">
        <f aca="false">$H$7*G259</f>
        <v>3.47222222222222</v>
      </c>
      <c r="I259" s="49" t="n">
        <f aca="false">0.5*c_rho*'P3 Energie'!F8*'P3 Energie'!F7*(H259-c_Vv)^2+'P3 Energie'!F13+'P3 Energie'!F15+'P3 Energie'!F6*$H$7</f>
        <v>19042.4853385417</v>
      </c>
      <c r="J259" s="50" t="n">
        <f aca="false">I259*H259</f>
        <v>66119.7407588252</v>
      </c>
    </row>
    <row r="260" customFormat="false" ht="15" hidden="false" customHeight="false" outlineLevel="0" collapsed="false">
      <c r="A260" s="46" t="n">
        <v>251</v>
      </c>
      <c r="B260" s="47" t="n">
        <f aca="false">A260*$C$6</f>
        <v>0.459324952175583</v>
      </c>
      <c r="C260" s="48" t="n">
        <f aca="false">$C$7*B260</f>
        <v>3.48611111111111</v>
      </c>
      <c r="D260" s="49" t="n">
        <f aca="false">0.5*c_rho*'P3 Energie'!E8*'P3 Energie'!E7*(C260-c_Vv)^2+'P3 Energie'!E13+'P3 Energie'!E15+'P3 Energie'!E6*$C$7</f>
        <v>18184.9638690499</v>
      </c>
      <c r="E260" s="50" t="n">
        <f aca="false">D260*C260</f>
        <v>63394.804599049</v>
      </c>
      <c r="F260" s="46" t="n">
        <v>251</v>
      </c>
      <c r="G260" s="47" t="n">
        <f aca="false">F260*$H$6</f>
        <v>0.457998763124542</v>
      </c>
      <c r="H260" s="48" t="n">
        <f aca="false">$H$7*G260</f>
        <v>3.48611111111111</v>
      </c>
      <c r="I260" s="49" t="n">
        <f aca="false">0.5*c_rho*'P3 Energie'!F8*'P3 Energie'!F7*(H260-c_Vv)^2+'P3 Energie'!F13+'P3 Energie'!F15+'P3 Energie'!F6*$H$7</f>
        <v>19042.5188778243</v>
      </c>
      <c r="J260" s="50" t="n">
        <f aca="false">I260*H260</f>
        <v>66384.3366435264</v>
      </c>
    </row>
    <row r="261" customFormat="false" ht="15" hidden="false" customHeight="false" outlineLevel="0" collapsed="false">
      <c r="A261" s="46" t="n">
        <v>252</v>
      </c>
      <c r="B261" s="47" t="n">
        <f aca="false">A261*$C$6</f>
        <v>0.461154932064729</v>
      </c>
      <c r="C261" s="48" t="n">
        <f aca="false">$C$7*B261</f>
        <v>3.5</v>
      </c>
      <c r="D261" s="49" t="n">
        <f aca="false">0.5*c_rho*'P3 Energie'!E8*'P3 Energie'!E7*(C261-c_Vv)^2+'P3 Energie'!E13+'P3 Energie'!E15+'P3 Energie'!E6*$C$7</f>
        <v>18185.0026263189</v>
      </c>
      <c r="E261" s="50" t="n">
        <f aca="false">D261*C261</f>
        <v>63647.509192116</v>
      </c>
      <c r="F261" s="46" t="n">
        <v>252</v>
      </c>
      <c r="G261" s="47" t="n">
        <f aca="false">F261*$H$6</f>
        <v>0.45982345939197</v>
      </c>
      <c r="H261" s="48" t="n">
        <f aca="false">$H$7*G261</f>
        <v>3.5</v>
      </c>
      <c r="I261" s="49" t="n">
        <f aca="false">0.5*c_rho*'P3 Energie'!F8*'P3 Energie'!F7*(H261-c_Vv)^2+'P3 Energie'!F13+'P3 Energie'!F15+'P3 Energie'!F6*$H$7</f>
        <v>19042.5525509963</v>
      </c>
      <c r="J261" s="50" t="n">
        <f aca="false">I261*H261</f>
        <v>66648.9339284871</v>
      </c>
    </row>
    <row r="262" customFormat="false" ht="15" hidden="false" customHeight="false" outlineLevel="0" collapsed="false">
      <c r="A262" s="46" t="n">
        <v>253</v>
      </c>
      <c r="B262" s="47" t="n">
        <f aca="false">A262*$C$6</f>
        <v>0.462984911953875</v>
      </c>
      <c r="C262" s="48" t="n">
        <f aca="false">$C$7*B262</f>
        <v>3.51388888888889</v>
      </c>
      <c r="D262" s="49" t="n">
        <f aca="false">0.5*c_rho*'P3 Energie'!E8*'P3 Energie'!E7*(C262-c_Vv)^2+'P3 Energie'!E13+'P3 Energie'!E15+'P3 Energie'!E6*$C$7</f>
        <v>18185.0415376923</v>
      </c>
      <c r="E262" s="50" t="n">
        <f aca="false">D262*C262</f>
        <v>63900.2154032797</v>
      </c>
      <c r="F262" s="46" t="n">
        <v>253</v>
      </c>
      <c r="G262" s="47" t="n">
        <f aca="false">F262*$H$6</f>
        <v>0.461648155659399</v>
      </c>
      <c r="H262" s="48" t="n">
        <f aca="false">$H$7*G262</f>
        <v>3.51388888888889</v>
      </c>
      <c r="I262" s="49" t="n">
        <f aca="false">0.5*c_rho*'P3 Energie'!F8*'P3 Energie'!F7*(H262-c_Vv)^2+'P3 Energie'!F13+'P3 Energie'!F15+'P3 Energie'!F6*$H$7</f>
        <v>19042.5863580576</v>
      </c>
      <c r="J262" s="50" t="n">
        <f aca="false">I262*H262</f>
        <v>66913.5326192859</v>
      </c>
    </row>
    <row r="263" customFormat="false" ht="15" hidden="false" customHeight="false" outlineLevel="0" collapsed="false">
      <c r="A263" s="46" t="n">
        <v>254</v>
      </c>
      <c r="B263" s="47" t="n">
        <f aca="false">A263*$C$6</f>
        <v>0.46481489184302</v>
      </c>
      <c r="C263" s="48" t="n">
        <f aca="false">$C$7*B263</f>
        <v>3.52777777777778</v>
      </c>
      <c r="D263" s="49" t="n">
        <f aca="false">0.5*c_rho*'P3 Energie'!E8*'P3 Energie'!E7*(C263-c_Vv)^2+'P3 Energie'!E13+'P3 Energie'!E15+'P3 Energie'!E6*$C$7</f>
        <v>18185.0806031701</v>
      </c>
      <c r="E263" s="50" t="n">
        <f aca="false">D263*C263</f>
        <v>64152.9232389612</v>
      </c>
      <c r="F263" s="46" t="n">
        <v>254</v>
      </c>
      <c r="G263" s="47" t="n">
        <f aca="false">F263*$H$6</f>
        <v>0.463472851926827</v>
      </c>
      <c r="H263" s="48" t="n">
        <f aca="false">$H$7*G263</f>
        <v>3.52777777777778</v>
      </c>
      <c r="I263" s="49" t="n">
        <f aca="false">0.5*c_rho*'P3 Energie'!F8*'P3 Energie'!F7*(H263-c_Vv)^2+'P3 Energie'!F13+'P3 Energie'!F15+'P3 Energie'!F6*$H$7</f>
        <v>19042.6202990083</v>
      </c>
      <c r="J263" s="50" t="n">
        <f aca="false">I263*H263</f>
        <v>67178.1327215016</v>
      </c>
    </row>
    <row r="264" customFormat="false" ht="15" hidden="false" customHeight="false" outlineLevel="0" collapsed="false">
      <c r="A264" s="46" t="n">
        <v>255</v>
      </c>
      <c r="B264" s="47" t="n">
        <f aca="false">A264*$C$6</f>
        <v>0.466644871732166</v>
      </c>
      <c r="C264" s="48" t="n">
        <f aca="false">$C$7*B264</f>
        <v>3.54166666666667</v>
      </c>
      <c r="D264" s="49" t="n">
        <f aca="false">0.5*c_rho*'P3 Energie'!E8*'P3 Energie'!E7*(C264-c_Vv)^2+'P3 Energie'!E13+'P3 Energie'!E15+'P3 Energie'!E6*$C$7</f>
        <v>18185.1198227524</v>
      </c>
      <c r="E264" s="50" t="n">
        <f aca="false">D264*C264</f>
        <v>64405.6327055813</v>
      </c>
      <c r="F264" s="46" t="n">
        <v>255</v>
      </c>
      <c r="G264" s="47" t="n">
        <f aca="false">F264*$H$6</f>
        <v>0.465297548194256</v>
      </c>
      <c r="H264" s="48" t="n">
        <f aca="false">$H$7*G264</f>
        <v>3.54166666666667</v>
      </c>
      <c r="I264" s="49" t="n">
        <f aca="false">0.5*c_rho*'P3 Energie'!F8*'P3 Energie'!F7*(H264-c_Vv)^2+'P3 Energie'!F13+'P3 Energie'!F15+'P3 Energie'!F6*$H$7</f>
        <v>19042.6543738484</v>
      </c>
      <c r="J264" s="50" t="n">
        <f aca="false">I264*H264</f>
        <v>67442.734240713</v>
      </c>
    </row>
    <row r="265" customFormat="false" ht="15" hidden="false" customHeight="false" outlineLevel="0" collapsed="false">
      <c r="A265" s="46" t="n">
        <v>256</v>
      </c>
      <c r="B265" s="47" t="n">
        <f aca="false">A265*$C$6</f>
        <v>0.468474851621312</v>
      </c>
      <c r="C265" s="48" t="n">
        <f aca="false">$C$7*B265</f>
        <v>3.55555555555556</v>
      </c>
      <c r="D265" s="49" t="n">
        <f aca="false">0.5*c_rho*'P3 Energie'!E8*'P3 Energie'!E7*(C265-c_Vv)^2+'P3 Energie'!E13+'P3 Energie'!E15+'P3 Energie'!E6*$C$7</f>
        <v>18185.1591964391</v>
      </c>
      <c r="E265" s="50" t="n">
        <f aca="false">D265*C265</f>
        <v>64658.3438095613</v>
      </c>
      <c r="F265" s="46" t="n">
        <v>256</v>
      </c>
      <c r="G265" s="47" t="n">
        <f aca="false">F265*$H$6</f>
        <v>0.467122244461684</v>
      </c>
      <c r="H265" s="48" t="n">
        <f aca="false">$H$7*G265</f>
        <v>3.55555555555556</v>
      </c>
      <c r="I265" s="49" t="n">
        <f aca="false">0.5*c_rho*'P3 Energie'!F8*'P3 Energie'!F7*(H265-c_Vv)^2+'P3 Energie'!F13+'P3 Energie'!F15+'P3 Energie'!F6*$H$7</f>
        <v>19042.6885825778</v>
      </c>
      <c r="J265" s="50" t="n">
        <f aca="false">I265*H265</f>
        <v>67707.3371824988</v>
      </c>
    </row>
    <row r="266" customFormat="false" ht="15" hidden="false" customHeight="false" outlineLevel="0" collapsed="false">
      <c r="A266" s="46" t="n">
        <v>257</v>
      </c>
      <c r="B266" s="47" t="n">
        <f aca="false">A266*$C$6</f>
        <v>0.470304831510458</v>
      </c>
      <c r="C266" s="48" t="n">
        <f aca="false">$C$7*B266</f>
        <v>3.56944444444444</v>
      </c>
      <c r="D266" s="49" t="n">
        <f aca="false">0.5*c_rho*'P3 Energie'!E8*'P3 Energie'!E7*(C266-c_Vv)^2+'P3 Energie'!E13+'P3 Energie'!E15+'P3 Energie'!E6*$C$7</f>
        <v>18185.1987242303</v>
      </c>
      <c r="E266" s="50" t="n">
        <f aca="false">D266*C266</f>
        <v>64911.0565573221</v>
      </c>
      <c r="F266" s="46" t="n">
        <v>257</v>
      </c>
      <c r="G266" s="47" t="n">
        <f aca="false">F266*$H$6</f>
        <v>0.468946940729113</v>
      </c>
      <c r="H266" s="48" t="n">
        <f aca="false">$H$7*G266</f>
        <v>3.56944444444444</v>
      </c>
      <c r="I266" s="49" t="n">
        <f aca="false">0.5*c_rho*'P3 Energie'!F8*'P3 Energie'!F7*(H266-c_Vv)^2+'P3 Energie'!F13+'P3 Energie'!F15+'P3 Energie'!F6*$H$7</f>
        <v>19042.7229251965</v>
      </c>
      <c r="J266" s="50" t="n">
        <f aca="false">I266*H266</f>
        <v>67971.9415524376</v>
      </c>
    </row>
    <row r="267" customFormat="false" ht="15" hidden="false" customHeight="false" outlineLevel="0" collapsed="false">
      <c r="A267" s="46" t="n">
        <v>258</v>
      </c>
      <c r="B267" s="47" t="n">
        <f aca="false">A267*$C$6</f>
        <v>0.472134811399603</v>
      </c>
      <c r="C267" s="48" t="n">
        <f aca="false">$C$7*B267</f>
        <v>3.58333333333333</v>
      </c>
      <c r="D267" s="49" t="n">
        <f aca="false">0.5*c_rho*'P3 Energie'!E8*'P3 Energie'!E7*(C267-c_Vv)^2+'P3 Energie'!E13+'P3 Energie'!E15+'P3 Energie'!E6*$C$7</f>
        <v>18185.2384061259</v>
      </c>
      <c r="E267" s="50" t="n">
        <f aca="false">D267*C267</f>
        <v>65163.7709552846</v>
      </c>
      <c r="F267" s="46" t="n">
        <v>258</v>
      </c>
      <c r="G267" s="47" t="n">
        <f aca="false">F267*$H$6</f>
        <v>0.470771636996541</v>
      </c>
      <c r="H267" s="48" t="n">
        <f aca="false">$H$7*G267</f>
        <v>3.58333333333333</v>
      </c>
      <c r="I267" s="49" t="n">
        <f aca="false">0.5*c_rho*'P3 Energie'!F8*'P3 Energie'!F7*(H267-c_Vv)^2+'P3 Energie'!F13+'P3 Energie'!F15+'P3 Energie'!F6*$H$7</f>
        <v>19042.7574017046</v>
      </c>
      <c r="J267" s="50" t="n">
        <f aca="false">I267*H267</f>
        <v>68236.5473561083</v>
      </c>
    </row>
    <row r="268" customFormat="false" ht="15" hidden="false" customHeight="false" outlineLevel="0" collapsed="false">
      <c r="A268" s="46" t="n">
        <v>259</v>
      </c>
      <c r="B268" s="47" t="n">
        <f aca="false">A268*$C$6</f>
        <v>0.473964791288749</v>
      </c>
      <c r="C268" s="48" t="n">
        <f aca="false">$C$7*B268</f>
        <v>3.59722222222222</v>
      </c>
      <c r="D268" s="49" t="n">
        <f aca="false">0.5*c_rho*'P3 Energie'!E8*'P3 Energie'!E7*(C268-c_Vv)^2+'P3 Energie'!E13+'P3 Energie'!E15+'P3 Energie'!E6*$C$7</f>
        <v>18185.278242126</v>
      </c>
      <c r="E268" s="50" t="n">
        <f aca="false">D268*C268</f>
        <v>65416.48700987</v>
      </c>
      <c r="F268" s="46" t="n">
        <v>259</v>
      </c>
      <c r="G268" s="47" t="n">
        <f aca="false">F268*$H$6</f>
        <v>0.472596333263969</v>
      </c>
      <c r="H268" s="48" t="n">
        <f aca="false">$H$7*G268</f>
        <v>3.59722222222222</v>
      </c>
      <c r="I268" s="49" t="n">
        <f aca="false">0.5*c_rho*'P3 Energie'!F8*'P3 Energie'!F7*(H268-c_Vv)^2+'P3 Energie'!F13+'P3 Energie'!F15+'P3 Energie'!F6*$H$7</f>
        <v>19042.7920121021</v>
      </c>
      <c r="J268" s="50" t="n">
        <f aca="false">I268*H268</f>
        <v>68501.1545990894</v>
      </c>
    </row>
    <row r="269" customFormat="false" ht="15" hidden="false" customHeight="false" outlineLevel="0" collapsed="false">
      <c r="A269" s="46" t="n">
        <v>260</v>
      </c>
      <c r="B269" s="47" t="n">
        <f aca="false">A269*$C$6</f>
        <v>0.475794771177895</v>
      </c>
      <c r="C269" s="48" t="n">
        <f aca="false">$C$7*B269</f>
        <v>3.61111111111111</v>
      </c>
      <c r="D269" s="49" t="n">
        <f aca="false">0.5*c_rho*'P3 Energie'!E8*'P3 Energie'!E7*(C269-c_Vv)^2+'P3 Energie'!E13+'P3 Energie'!E15+'P3 Energie'!E6*$C$7</f>
        <v>18185.3182322306</v>
      </c>
      <c r="E269" s="50" t="n">
        <f aca="false">D269*C269</f>
        <v>65669.2047274993</v>
      </c>
      <c r="F269" s="46" t="n">
        <v>260</v>
      </c>
      <c r="G269" s="47" t="n">
        <f aca="false">F269*$H$6</f>
        <v>0.474421029531398</v>
      </c>
      <c r="H269" s="48" t="n">
        <f aca="false">$H$7*G269</f>
        <v>3.61111111111111</v>
      </c>
      <c r="I269" s="49" t="n">
        <f aca="false">0.5*c_rho*'P3 Energie'!F8*'P3 Energie'!F7*(H269-c_Vv)^2+'P3 Energie'!F13+'P3 Energie'!F15+'P3 Energie'!F6*$H$7</f>
        <v>19042.8267563889</v>
      </c>
      <c r="J269" s="50" t="n">
        <f aca="false">I269*H269</f>
        <v>68765.7632869599</v>
      </c>
    </row>
    <row r="270" customFormat="false" ht="15" hidden="false" customHeight="false" outlineLevel="0" collapsed="false">
      <c r="A270" s="46" t="n">
        <v>261</v>
      </c>
      <c r="B270" s="47" t="n">
        <f aca="false">A270*$C$6</f>
        <v>0.477624751067041</v>
      </c>
      <c r="C270" s="48" t="n">
        <f aca="false">$C$7*B270</f>
        <v>3.625</v>
      </c>
      <c r="D270" s="49" t="n">
        <f aca="false">0.5*c_rho*'P3 Energie'!E8*'P3 Energie'!E7*(C270-c_Vv)^2+'P3 Energie'!E13+'P3 Energie'!E15+'P3 Energie'!E6*$C$7</f>
        <v>18185.3583764395</v>
      </c>
      <c r="E270" s="50" t="n">
        <f aca="false">D270*C270</f>
        <v>65921.9241145934</v>
      </c>
      <c r="F270" s="46" t="n">
        <v>261</v>
      </c>
      <c r="G270" s="47" t="n">
        <f aca="false">F270*$H$6</f>
        <v>0.476245725798826</v>
      </c>
      <c r="H270" s="48" t="n">
        <f aca="false">$H$7*G270</f>
        <v>3.625</v>
      </c>
      <c r="I270" s="49" t="n">
        <f aca="false">0.5*c_rho*'P3 Energie'!F8*'P3 Energie'!F7*(H270-c_Vv)^2+'P3 Energie'!F13+'P3 Energie'!F15+'P3 Energie'!F6*$H$7</f>
        <v>19042.861634565</v>
      </c>
      <c r="J270" s="50" t="n">
        <f aca="false">I270*H270</f>
        <v>69030.3734252983</v>
      </c>
    </row>
    <row r="271" customFormat="false" ht="15" hidden="false" customHeight="false" outlineLevel="0" collapsed="false">
      <c r="A271" s="46" t="n">
        <v>262</v>
      </c>
      <c r="B271" s="47" t="n">
        <f aca="false">A271*$C$6</f>
        <v>0.479454730956186</v>
      </c>
      <c r="C271" s="48" t="n">
        <f aca="false">$C$7*B271</f>
        <v>3.63888888888889</v>
      </c>
      <c r="D271" s="49" t="n">
        <f aca="false">0.5*c_rho*'P3 Energie'!E8*'P3 Energie'!E7*(C271-c_Vv)^2+'P3 Energie'!E13+'P3 Energie'!E15+'P3 Energie'!E6*$C$7</f>
        <v>18185.398674753</v>
      </c>
      <c r="E271" s="50" t="n">
        <f aca="false">D271*C271</f>
        <v>66174.6451775733</v>
      </c>
      <c r="F271" s="46" t="n">
        <v>262</v>
      </c>
      <c r="G271" s="47" t="n">
        <f aca="false">F271*$H$6</f>
        <v>0.478070422066255</v>
      </c>
      <c r="H271" s="48" t="n">
        <f aca="false">$H$7*G271</f>
        <v>3.63888888888889</v>
      </c>
      <c r="I271" s="49" t="n">
        <f aca="false">0.5*c_rho*'P3 Energie'!F8*'P3 Energie'!F7*(H271-c_Vv)^2+'P3 Energie'!F13+'P3 Energie'!F15+'P3 Energie'!F6*$H$7</f>
        <v>19042.8966466306</v>
      </c>
      <c r="J271" s="50" t="n">
        <f aca="false">I271*H271</f>
        <v>69294.9850196834</v>
      </c>
    </row>
    <row r="272" customFormat="false" ht="15" hidden="false" customHeight="false" outlineLevel="0" collapsed="false">
      <c r="A272" s="46" t="n">
        <v>263</v>
      </c>
      <c r="B272" s="47" t="n">
        <f aca="false">A272*$C$6</f>
        <v>0.481284710845332</v>
      </c>
      <c r="C272" s="48" t="n">
        <f aca="false">$C$7*B272</f>
        <v>3.65277777777778</v>
      </c>
      <c r="D272" s="49" t="n">
        <f aca="false">0.5*c_rho*'P3 Energie'!E8*'P3 Energie'!E7*(C272-c_Vv)^2+'P3 Energie'!E13+'P3 Energie'!E15+'P3 Energie'!E6*$C$7</f>
        <v>18185.4391271709</v>
      </c>
      <c r="E272" s="50" t="n">
        <f aca="false">D272*C272</f>
        <v>66427.3679228602</v>
      </c>
      <c r="F272" s="46" t="n">
        <v>263</v>
      </c>
      <c r="G272" s="47" t="n">
        <f aca="false">F272*$H$6</f>
        <v>0.479895118333683</v>
      </c>
      <c r="H272" s="48" t="n">
        <f aca="false">$H$7*G272</f>
        <v>3.65277777777778</v>
      </c>
      <c r="I272" s="49" t="n">
        <f aca="false">0.5*c_rho*'P3 Energie'!F8*'P3 Energie'!F7*(H272-c_Vv)^2+'P3 Energie'!F13+'P3 Energie'!F15+'P3 Energie'!F6*$H$7</f>
        <v>19042.9317925854</v>
      </c>
      <c r="J272" s="50" t="n">
        <f aca="false">I272*H272</f>
        <v>69559.598075694</v>
      </c>
    </row>
    <row r="273" customFormat="false" ht="15" hidden="false" customHeight="false" outlineLevel="0" collapsed="false">
      <c r="A273" s="46" t="n">
        <v>264</v>
      </c>
      <c r="B273" s="47" t="n">
        <f aca="false">A273*$C$6</f>
        <v>0.483114690734478</v>
      </c>
      <c r="C273" s="48" t="n">
        <f aca="false">$C$7*B273</f>
        <v>3.66666666666667</v>
      </c>
      <c r="D273" s="49" t="n">
        <f aca="false">0.5*c_rho*'P3 Energie'!E8*'P3 Energie'!E7*(C273-c_Vv)^2+'P3 Energie'!E13+'P3 Energie'!E15+'P3 Energie'!E6*$C$7</f>
        <v>18185.4797336932</v>
      </c>
      <c r="E273" s="50" t="n">
        <f aca="false">D273*C273</f>
        <v>66680.092356875</v>
      </c>
      <c r="F273" s="46" t="n">
        <v>264</v>
      </c>
      <c r="G273" s="47" t="n">
        <f aca="false">F273*$H$6</f>
        <v>0.481719814601112</v>
      </c>
      <c r="H273" s="48" t="n">
        <f aca="false">$H$7*G273</f>
        <v>3.66666666666667</v>
      </c>
      <c r="I273" s="49" t="n">
        <f aca="false">0.5*c_rho*'P3 Energie'!F8*'P3 Energie'!F7*(H273-c_Vv)^2+'P3 Energie'!F13+'P3 Energie'!F15+'P3 Energie'!F6*$H$7</f>
        <v>19042.9670724296</v>
      </c>
      <c r="J273" s="50" t="n">
        <f aca="false">I273*H273</f>
        <v>69824.2125989087</v>
      </c>
    </row>
    <row r="274" customFormat="false" ht="15" hidden="false" customHeight="false" outlineLevel="0" collapsed="false">
      <c r="A274" s="46" t="n">
        <v>265</v>
      </c>
      <c r="B274" s="47" t="n">
        <f aca="false">A274*$C$6</f>
        <v>0.484944670623624</v>
      </c>
      <c r="C274" s="48" t="n">
        <f aca="false">$C$7*B274</f>
        <v>3.68055555555556</v>
      </c>
      <c r="D274" s="49" t="n">
        <f aca="false">0.5*c_rho*'P3 Energie'!E8*'P3 Energie'!E7*(C274-c_Vv)^2+'P3 Energie'!E13+'P3 Energie'!E15+'P3 Energie'!E6*$C$7</f>
        <v>18185.52049432</v>
      </c>
      <c r="E274" s="50" t="n">
        <f aca="false">D274*C274</f>
        <v>66932.8184860388</v>
      </c>
      <c r="F274" s="46" t="n">
        <v>265</v>
      </c>
      <c r="G274" s="47" t="n">
        <f aca="false">F274*$H$6</f>
        <v>0.48354451086854</v>
      </c>
      <c r="H274" s="48" t="n">
        <f aca="false">$H$7*G274</f>
        <v>3.68055555555556</v>
      </c>
      <c r="I274" s="49" t="n">
        <f aca="false">0.5*c_rho*'P3 Energie'!F8*'P3 Energie'!F7*(H274-c_Vv)^2+'P3 Energie'!F13+'P3 Energie'!F15+'P3 Energie'!F6*$H$7</f>
        <v>19043.0024861632</v>
      </c>
      <c r="J274" s="50" t="n">
        <f aca="false">I274*H274</f>
        <v>70088.8285949062</v>
      </c>
    </row>
    <row r="275" customFormat="false" ht="15" hidden="false" customHeight="false" outlineLevel="0" collapsed="false">
      <c r="A275" s="46" t="n">
        <v>266</v>
      </c>
      <c r="B275" s="47" t="n">
        <f aca="false">A275*$C$6</f>
        <v>0.486774650512769</v>
      </c>
      <c r="C275" s="48" t="n">
        <f aca="false">$C$7*B275</f>
        <v>3.69444444444444</v>
      </c>
      <c r="D275" s="49" t="n">
        <f aca="false">0.5*c_rho*'P3 Energie'!E8*'P3 Energie'!E7*(C275-c_Vv)^2+'P3 Energie'!E13+'P3 Energie'!E15+'P3 Energie'!E6*$C$7</f>
        <v>18185.5614090512</v>
      </c>
      <c r="E275" s="50" t="n">
        <f aca="false">D275*C275</f>
        <v>67185.5463167725</v>
      </c>
      <c r="F275" s="46" t="n">
        <v>266</v>
      </c>
      <c r="G275" s="47" t="n">
        <f aca="false">F275*$H$6</f>
        <v>0.485369207135969</v>
      </c>
      <c r="H275" s="48" t="n">
        <f aca="false">$H$7*G275</f>
        <v>3.69444444444445</v>
      </c>
      <c r="I275" s="49" t="n">
        <f aca="false">0.5*c_rho*'P3 Energie'!F8*'P3 Energie'!F7*(H275-c_Vv)^2+'P3 Energie'!F13+'P3 Energie'!F15+'P3 Energie'!F6*$H$7</f>
        <v>19043.0380337861</v>
      </c>
      <c r="J275" s="50" t="n">
        <f aca="false">I275*H275</f>
        <v>70353.4460692654</v>
      </c>
    </row>
    <row r="276" customFormat="false" ht="15" hidden="false" customHeight="false" outlineLevel="0" collapsed="false">
      <c r="A276" s="46" t="n">
        <v>267</v>
      </c>
      <c r="B276" s="47" t="n">
        <f aca="false">A276*$C$6</f>
        <v>0.488604630401915</v>
      </c>
      <c r="C276" s="48" t="n">
        <f aca="false">$C$7*B276</f>
        <v>3.70833333333333</v>
      </c>
      <c r="D276" s="49" t="n">
        <f aca="false">0.5*c_rho*'P3 Energie'!E8*'P3 Energie'!E7*(C276-c_Vv)^2+'P3 Energie'!E13+'P3 Energie'!E15+'P3 Energie'!E6*$C$7</f>
        <v>18185.6024778869</v>
      </c>
      <c r="E276" s="50" t="n">
        <f aca="false">D276*C276</f>
        <v>67438.2758554972</v>
      </c>
      <c r="F276" s="46" t="n">
        <v>267</v>
      </c>
      <c r="G276" s="47" t="n">
        <f aca="false">F276*$H$6</f>
        <v>0.487193903403397</v>
      </c>
      <c r="H276" s="48" t="n">
        <f aca="false">$H$7*G276</f>
        <v>3.70833333333333</v>
      </c>
      <c r="I276" s="49" t="n">
        <f aca="false">0.5*c_rho*'P3 Energie'!F8*'P3 Energie'!F7*(H276-c_Vv)^2+'P3 Energie'!F13+'P3 Energie'!F15+'P3 Energie'!F6*$H$7</f>
        <v>19043.0737152984</v>
      </c>
      <c r="J276" s="50" t="n">
        <f aca="false">I276*H276</f>
        <v>70618.0650275648</v>
      </c>
    </row>
    <row r="277" customFormat="false" ht="15" hidden="false" customHeight="false" outlineLevel="0" collapsed="false">
      <c r="A277" s="46" t="n">
        <v>268</v>
      </c>
      <c r="B277" s="47" t="n">
        <f aca="false">A277*$C$6</f>
        <v>0.490434610291061</v>
      </c>
      <c r="C277" s="48" t="n">
        <f aca="false">$C$7*B277</f>
        <v>3.72222222222222</v>
      </c>
      <c r="D277" s="49" t="n">
        <f aca="false">0.5*c_rho*'P3 Energie'!E8*'P3 Energie'!E7*(C277-c_Vv)^2+'P3 Energie'!E13+'P3 Energie'!E15+'P3 Energie'!E6*$C$7</f>
        <v>18185.643700827</v>
      </c>
      <c r="E277" s="50" t="n">
        <f aca="false">D277*C277</f>
        <v>67691.0071086339</v>
      </c>
      <c r="F277" s="46" t="n">
        <v>268</v>
      </c>
      <c r="G277" s="47" t="n">
        <f aca="false">F277*$H$6</f>
        <v>0.489018599670826</v>
      </c>
      <c r="H277" s="48" t="n">
        <f aca="false">$H$7*G277</f>
        <v>3.72222222222222</v>
      </c>
      <c r="I277" s="49" t="n">
        <f aca="false">0.5*c_rho*'P3 Energie'!F8*'P3 Energie'!F7*(H277-c_Vv)^2+'P3 Energie'!F13+'P3 Energie'!F15+'P3 Energie'!F6*$H$7</f>
        <v>19043.1095307</v>
      </c>
      <c r="J277" s="50" t="n">
        <f aca="false">I277*H277</f>
        <v>70882.6854753834</v>
      </c>
    </row>
    <row r="278" customFormat="false" ht="15" hidden="false" customHeight="false" outlineLevel="0" collapsed="false">
      <c r="A278" s="46" t="n">
        <v>269</v>
      </c>
      <c r="B278" s="47" t="n">
        <f aca="false">A278*$C$6</f>
        <v>0.492264590180207</v>
      </c>
      <c r="C278" s="48" t="n">
        <f aca="false">$C$7*B278</f>
        <v>3.73611111111111</v>
      </c>
      <c r="D278" s="49" t="n">
        <f aca="false">0.5*c_rho*'P3 Energie'!E8*'P3 Energie'!E7*(C278-c_Vv)^2+'P3 Energie'!E13+'P3 Energie'!E15+'P3 Energie'!E6*$C$7</f>
        <v>18185.6850778716</v>
      </c>
      <c r="E278" s="50" t="n">
        <f aca="false">D278*C278</f>
        <v>67943.7400826036</v>
      </c>
      <c r="F278" s="46" t="n">
        <v>269</v>
      </c>
      <c r="G278" s="47" t="n">
        <f aca="false">F278*$H$6</f>
        <v>0.490843295938254</v>
      </c>
      <c r="H278" s="48" t="n">
        <f aca="false">$H$7*G278</f>
        <v>3.73611111111111</v>
      </c>
      <c r="I278" s="49" t="n">
        <f aca="false">0.5*c_rho*'P3 Energie'!F8*'P3 Energie'!F7*(H278-c_Vv)^2+'P3 Energie'!F13+'P3 Energie'!F15+'P3 Energie'!F6*$H$7</f>
        <v>19043.145479991</v>
      </c>
      <c r="J278" s="50" t="n">
        <f aca="false">I278*H278</f>
        <v>71147.3074182996</v>
      </c>
    </row>
    <row r="279" customFormat="false" ht="15" hidden="false" customHeight="false" outlineLevel="0" collapsed="false">
      <c r="A279" s="46" t="n">
        <v>270</v>
      </c>
      <c r="B279" s="47" t="n">
        <f aca="false">A279*$C$6</f>
        <v>0.494094570069352</v>
      </c>
      <c r="C279" s="48" t="n">
        <f aca="false">$C$7*B279</f>
        <v>3.75</v>
      </c>
      <c r="D279" s="49" t="n">
        <f aca="false">0.5*c_rho*'P3 Energie'!E8*'P3 Energie'!E7*(C279-c_Vv)^2+'P3 Energie'!E13+'P3 Energie'!E15+'P3 Energie'!E6*$C$7</f>
        <v>18185.7266090206</v>
      </c>
      <c r="E279" s="50" t="n">
        <f aca="false">D279*C279</f>
        <v>68196.4747838273</v>
      </c>
      <c r="F279" s="46" t="n">
        <v>270</v>
      </c>
      <c r="G279" s="47" t="n">
        <f aca="false">F279*$H$6</f>
        <v>0.492667992205682</v>
      </c>
      <c r="H279" s="48" t="n">
        <f aca="false">$H$7*G279</f>
        <v>3.75</v>
      </c>
      <c r="I279" s="49" t="n">
        <f aca="false">0.5*c_rho*'P3 Energie'!F8*'P3 Energie'!F7*(H279-c_Vv)^2+'P3 Energie'!F13+'P3 Energie'!F15+'P3 Energie'!F6*$H$7</f>
        <v>19043.1815631713</v>
      </c>
      <c r="J279" s="50" t="n">
        <f aca="false">I279*H279</f>
        <v>71411.9308618924</v>
      </c>
    </row>
    <row r="280" customFormat="false" ht="15" hidden="false" customHeight="false" outlineLevel="0" collapsed="false">
      <c r="A280" s="46" t="n">
        <v>271</v>
      </c>
      <c r="B280" s="47" t="n">
        <f aca="false">A280*$C$6</f>
        <v>0.495924549958498</v>
      </c>
      <c r="C280" s="48" t="n">
        <f aca="false">$C$7*B280</f>
        <v>3.76388888888889</v>
      </c>
      <c r="D280" s="49" t="n">
        <f aca="false">0.5*c_rho*'P3 Energie'!E8*'P3 Energie'!E7*(C280-c_Vv)^2+'P3 Energie'!E13+'P3 Energie'!E15+'P3 Energie'!E6*$C$7</f>
        <v>18185.7682942741</v>
      </c>
      <c r="E280" s="50" t="n">
        <f aca="false">D280*C280</f>
        <v>68449.2112187261</v>
      </c>
      <c r="F280" s="46" t="n">
        <v>271</v>
      </c>
      <c r="G280" s="47" t="n">
        <f aca="false">F280*$H$6</f>
        <v>0.494492688473111</v>
      </c>
      <c r="H280" s="48" t="n">
        <f aca="false">$H$7*G280</f>
        <v>3.76388888888889</v>
      </c>
      <c r="I280" s="49" t="n">
        <f aca="false">0.5*c_rho*'P3 Energie'!F8*'P3 Energie'!F7*(H280-c_Vv)^2+'P3 Energie'!F13+'P3 Energie'!F15+'P3 Energie'!F6*$H$7</f>
        <v>19043.217780241</v>
      </c>
      <c r="J280" s="50" t="n">
        <f aca="false">I280*H280</f>
        <v>71676.5558117403</v>
      </c>
    </row>
    <row r="281" customFormat="false" ht="15" hidden="false" customHeight="false" outlineLevel="0" collapsed="false">
      <c r="A281" s="46" t="n">
        <v>272</v>
      </c>
      <c r="B281" s="47" t="n">
        <f aca="false">A281*$C$6</f>
        <v>0.497754529847644</v>
      </c>
      <c r="C281" s="48" t="n">
        <f aca="false">$C$7*B281</f>
        <v>3.77777777777778</v>
      </c>
      <c r="D281" s="49" t="n">
        <f aca="false">0.5*c_rho*'P3 Energie'!E8*'P3 Energie'!E7*(C281-c_Vv)^2+'P3 Energie'!E13+'P3 Energie'!E15+'P3 Energie'!E6*$C$7</f>
        <v>18185.810133632</v>
      </c>
      <c r="E281" s="50" t="n">
        <f aca="false">D281*C281</f>
        <v>68701.9493937209</v>
      </c>
      <c r="F281" s="46" t="n">
        <v>272</v>
      </c>
      <c r="G281" s="47" t="n">
        <f aca="false">F281*$H$6</f>
        <v>0.496317384740539</v>
      </c>
      <c r="H281" s="48" t="n">
        <f aca="false">$H$7*G281</f>
        <v>3.77777777777778</v>
      </c>
      <c r="I281" s="49" t="n">
        <f aca="false">0.5*c_rho*'P3 Energie'!F8*'P3 Energie'!F7*(H281-c_Vv)^2+'P3 Energie'!F13+'P3 Energie'!F15+'P3 Energie'!F6*$H$7</f>
        <v>19043.2541312</v>
      </c>
      <c r="J281" s="50" t="n">
        <f aca="false">I281*H281</f>
        <v>71941.1822734222</v>
      </c>
    </row>
    <row r="282" customFormat="false" ht="15" hidden="false" customHeight="false" outlineLevel="0" collapsed="false">
      <c r="A282" s="46" t="n">
        <v>273</v>
      </c>
      <c r="B282" s="47" t="n">
        <f aca="false">A282*$C$6</f>
        <v>0.49958450973679</v>
      </c>
      <c r="C282" s="48" t="n">
        <f aca="false">$C$7*B282</f>
        <v>3.79166666666667</v>
      </c>
      <c r="D282" s="49" t="n">
        <f aca="false">0.5*c_rho*'P3 Energie'!E8*'P3 Energie'!E7*(C282-c_Vv)^2+'P3 Energie'!E13+'P3 Energie'!E15+'P3 Energie'!E6*$C$7</f>
        <v>18185.8521270944</v>
      </c>
      <c r="E282" s="50" t="n">
        <f aca="false">D282*C282</f>
        <v>68954.6893152329</v>
      </c>
      <c r="F282" s="46" t="n">
        <v>273</v>
      </c>
      <c r="G282" s="47" t="n">
        <f aca="false">F282*$H$6</f>
        <v>0.498142081007968</v>
      </c>
      <c r="H282" s="48" t="n">
        <f aca="false">$H$7*G282</f>
        <v>3.79166666666667</v>
      </c>
      <c r="I282" s="49" t="n">
        <f aca="false">0.5*c_rho*'P3 Energie'!F8*'P3 Energie'!F7*(H282-c_Vv)^2+'P3 Energie'!F13+'P3 Energie'!F15+'P3 Energie'!F6*$H$7</f>
        <v>19043.2906160484</v>
      </c>
      <c r="J282" s="50" t="n">
        <f aca="false">I282*H282</f>
        <v>72205.8102525168</v>
      </c>
    </row>
    <row r="283" customFormat="false" ht="15" hidden="false" customHeight="false" outlineLevel="0" collapsed="false">
      <c r="A283" s="46" t="n">
        <v>274</v>
      </c>
      <c r="B283" s="47" t="n">
        <f aca="false">A283*$C$6</f>
        <v>0.501414489625935</v>
      </c>
      <c r="C283" s="48" t="n">
        <f aca="false">$C$7*B283</f>
        <v>3.80555555555556</v>
      </c>
      <c r="D283" s="49" t="n">
        <f aca="false">0.5*c_rho*'P3 Energie'!E8*'P3 Energie'!E7*(C283-c_Vv)^2+'P3 Energie'!E13+'P3 Energie'!E15+'P3 Energie'!E6*$C$7</f>
        <v>18185.8942746612</v>
      </c>
      <c r="E283" s="50" t="n">
        <f aca="false">D283*C283</f>
        <v>69207.4309896829</v>
      </c>
      <c r="F283" s="46" t="n">
        <v>274</v>
      </c>
      <c r="G283" s="47" t="n">
        <f aca="false">F283*$H$6</f>
        <v>0.499966777275396</v>
      </c>
      <c r="H283" s="48" t="n">
        <f aca="false">$H$7*G283</f>
        <v>3.80555555555556</v>
      </c>
      <c r="I283" s="49" t="n">
        <f aca="false">0.5*c_rho*'P3 Energie'!F8*'P3 Energie'!F7*(H283-c_Vv)^2+'P3 Energie'!F13+'P3 Energie'!F15+'P3 Energie'!F6*$H$7</f>
        <v>19043.3272347861</v>
      </c>
      <c r="J283" s="50" t="n">
        <f aca="false">I283*H283</f>
        <v>72470.4397546027</v>
      </c>
    </row>
    <row r="284" customFormat="false" ht="15" hidden="false" customHeight="false" outlineLevel="0" collapsed="false">
      <c r="A284" s="46" t="n">
        <v>275</v>
      </c>
      <c r="B284" s="47" t="n">
        <f aca="false">A284*$C$6</f>
        <v>0.503244469515081</v>
      </c>
      <c r="C284" s="48" t="n">
        <f aca="false">$C$7*B284</f>
        <v>3.81944444444444</v>
      </c>
      <c r="D284" s="49" t="n">
        <f aca="false">0.5*c_rho*'P3 Energie'!E8*'P3 Energie'!E7*(C284-c_Vv)^2+'P3 Energie'!E13+'P3 Energie'!E15+'P3 Energie'!E6*$C$7</f>
        <v>18185.9365763325</v>
      </c>
      <c r="E284" s="50" t="n">
        <f aca="false">D284*C284</f>
        <v>69460.1744234921</v>
      </c>
      <c r="F284" s="46" t="n">
        <v>275</v>
      </c>
      <c r="G284" s="47" t="n">
        <f aca="false">F284*$H$6</f>
        <v>0.501791473542825</v>
      </c>
      <c r="H284" s="48" t="n">
        <f aca="false">$H$7*G284</f>
        <v>3.81944444444444</v>
      </c>
      <c r="I284" s="49" t="n">
        <f aca="false">0.5*c_rho*'P3 Energie'!F8*'P3 Energie'!F7*(H284-c_Vv)^2+'P3 Energie'!F13+'P3 Energie'!F15+'P3 Energie'!F6*$H$7</f>
        <v>19043.3639874132</v>
      </c>
      <c r="J284" s="50" t="n">
        <f aca="false">I284*H284</f>
        <v>72735.0707852587</v>
      </c>
    </row>
    <row r="285" customFormat="false" ht="15" hidden="false" customHeight="false" outlineLevel="0" collapsed="false">
      <c r="A285" s="46" t="n">
        <v>276</v>
      </c>
      <c r="B285" s="47" t="n">
        <f aca="false">A285*$C$6</f>
        <v>0.505074449404227</v>
      </c>
      <c r="C285" s="48" t="n">
        <f aca="false">$C$7*B285</f>
        <v>3.83333333333333</v>
      </c>
      <c r="D285" s="49" t="n">
        <f aca="false">0.5*c_rho*'P3 Energie'!E8*'P3 Energie'!E7*(C285-c_Vv)^2+'P3 Energie'!E13+'P3 Energie'!E15+'P3 Energie'!E6*$C$7</f>
        <v>18185.9790321082</v>
      </c>
      <c r="E285" s="50" t="n">
        <f aca="false">D285*C285</f>
        <v>69712.9196230814</v>
      </c>
      <c r="F285" s="46" t="n">
        <v>276</v>
      </c>
      <c r="G285" s="47" t="n">
        <f aca="false">F285*$H$6</f>
        <v>0.503616169810253</v>
      </c>
      <c r="H285" s="48" t="n">
        <f aca="false">$H$7*G285</f>
        <v>3.83333333333333</v>
      </c>
      <c r="I285" s="49" t="n">
        <f aca="false">0.5*c_rho*'P3 Energie'!F8*'P3 Energie'!F7*(H285-c_Vv)^2+'P3 Energie'!F13+'P3 Energie'!F15+'P3 Energie'!F6*$H$7</f>
        <v>19043.4008739296</v>
      </c>
      <c r="J285" s="50" t="n">
        <f aca="false">I285*H285</f>
        <v>72999.7033500636</v>
      </c>
    </row>
    <row r="286" customFormat="false" ht="15" hidden="false" customHeight="false" outlineLevel="0" collapsed="false">
      <c r="A286" s="46" t="n">
        <v>277</v>
      </c>
      <c r="B286" s="47" t="n">
        <f aca="false">A286*$C$6</f>
        <v>0.506904429293373</v>
      </c>
      <c r="C286" s="48" t="n">
        <f aca="false">$C$7*B286</f>
        <v>3.84722222222222</v>
      </c>
      <c r="D286" s="49" t="n">
        <f aca="false">0.5*c_rho*'P3 Energie'!E8*'P3 Energie'!E7*(C286-c_Vv)^2+'P3 Energie'!E13+'P3 Energie'!E15+'P3 Energie'!E6*$C$7</f>
        <v>18186.0216419884</v>
      </c>
      <c r="E286" s="50" t="n">
        <f aca="false">D286*C286</f>
        <v>69965.6665948719</v>
      </c>
      <c r="F286" s="46" t="n">
        <v>277</v>
      </c>
      <c r="G286" s="47" t="n">
        <f aca="false">F286*$H$6</f>
        <v>0.505440866077682</v>
      </c>
      <c r="H286" s="48" t="n">
        <f aca="false">$H$7*G286</f>
        <v>3.84722222222222</v>
      </c>
      <c r="I286" s="49" t="n">
        <f aca="false">0.5*c_rho*'P3 Energie'!F8*'P3 Energie'!F7*(H286-c_Vv)^2+'P3 Energie'!F13+'P3 Energie'!F15+'P3 Energie'!F6*$H$7</f>
        <v>19043.4378943354</v>
      </c>
      <c r="J286" s="50" t="n">
        <f aca="false">I286*H286</f>
        <v>73264.337454596</v>
      </c>
    </row>
    <row r="287" customFormat="false" ht="15" hidden="false" customHeight="false" outlineLevel="0" collapsed="false">
      <c r="A287" s="46" t="n">
        <v>278</v>
      </c>
      <c r="B287" s="47" t="n">
        <f aca="false">A287*$C$6</f>
        <v>0.508734409182518</v>
      </c>
      <c r="C287" s="48" t="n">
        <f aca="false">$C$7*B287</f>
        <v>3.86111111111111</v>
      </c>
      <c r="D287" s="49" t="n">
        <f aca="false">0.5*c_rho*'P3 Energie'!E8*'P3 Energie'!E7*(C287-c_Vv)^2+'P3 Energie'!E13+'P3 Energie'!E15+'P3 Energie'!E6*$C$7</f>
        <v>18186.064405973</v>
      </c>
      <c r="E287" s="50" t="n">
        <f aca="false">D287*C287</f>
        <v>70218.4153452846</v>
      </c>
      <c r="F287" s="46" t="n">
        <v>278</v>
      </c>
      <c r="G287" s="47" t="n">
        <f aca="false">F287*$H$6</f>
        <v>0.50726556234511</v>
      </c>
      <c r="H287" s="48" t="n">
        <f aca="false">$H$7*G287</f>
        <v>3.86111111111111</v>
      </c>
      <c r="I287" s="49" t="n">
        <f aca="false">0.5*c_rho*'P3 Energie'!F8*'P3 Energie'!F7*(H287-c_Vv)^2+'P3 Energie'!F13+'P3 Energie'!F15+'P3 Energie'!F6*$H$7</f>
        <v>19043.4750486306</v>
      </c>
      <c r="J287" s="50" t="n">
        <f aca="false">I287*H287</f>
        <v>73528.9731044347</v>
      </c>
    </row>
    <row r="288" customFormat="false" ht="15" hidden="false" customHeight="false" outlineLevel="0" collapsed="false">
      <c r="A288" s="46" t="n">
        <v>279</v>
      </c>
      <c r="B288" s="47" t="n">
        <f aca="false">A288*$C$6</f>
        <v>0.510564389071664</v>
      </c>
      <c r="C288" s="48" t="n">
        <f aca="false">$C$7*B288</f>
        <v>3.875</v>
      </c>
      <c r="D288" s="49" t="n">
        <f aca="false">0.5*c_rho*'P3 Energie'!E8*'P3 Energie'!E7*(C288-c_Vv)^2+'P3 Energie'!E13+'P3 Energie'!E15+'P3 Energie'!E6*$C$7</f>
        <v>18186.107324062</v>
      </c>
      <c r="E288" s="50" t="n">
        <f aca="false">D288*C288</f>
        <v>70471.1658807404</v>
      </c>
      <c r="F288" s="46" t="n">
        <v>279</v>
      </c>
      <c r="G288" s="47" t="n">
        <f aca="false">F288*$H$6</f>
        <v>0.509090258612539</v>
      </c>
      <c r="H288" s="48" t="n">
        <f aca="false">$H$7*G288</f>
        <v>3.875</v>
      </c>
      <c r="I288" s="49" t="n">
        <f aca="false">0.5*c_rho*'P3 Energie'!F8*'P3 Energie'!F7*(H288-c_Vv)^2+'P3 Energie'!F13+'P3 Energie'!F15+'P3 Energie'!F6*$H$7</f>
        <v>19043.512336815</v>
      </c>
      <c r="J288" s="50" t="n">
        <f aca="false">I288*H288</f>
        <v>73793.6103051583</v>
      </c>
    </row>
    <row r="289" customFormat="false" ht="15" hidden="false" customHeight="false" outlineLevel="0" collapsed="false">
      <c r="A289" s="46" t="n">
        <v>280</v>
      </c>
      <c r="B289" s="47" t="n">
        <f aca="false">A289*$C$6</f>
        <v>0.51239436896081</v>
      </c>
      <c r="C289" s="48" t="n">
        <f aca="false">$C$7*B289</f>
        <v>3.88888888888889</v>
      </c>
      <c r="D289" s="49" t="n">
        <f aca="false">0.5*c_rho*'P3 Energie'!E8*'P3 Energie'!E7*(C289-c_Vv)^2+'P3 Energie'!E13+'P3 Energie'!E15+'P3 Energie'!E6*$C$7</f>
        <v>18186.1503962556</v>
      </c>
      <c r="E289" s="50" t="n">
        <f aca="false">D289*C289</f>
        <v>70723.9182076605</v>
      </c>
      <c r="F289" s="46" t="n">
        <v>280</v>
      </c>
      <c r="G289" s="47" t="n">
        <f aca="false">F289*$H$6</f>
        <v>0.510914954879967</v>
      </c>
      <c r="H289" s="48" t="n">
        <f aca="false">$H$7*G289</f>
        <v>3.88888888888889</v>
      </c>
      <c r="I289" s="49" t="n">
        <f aca="false">0.5*c_rho*'P3 Energie'!F8*'P3 Energie'!F7*(H289-c_Vv)^2+'P3 Energie'!F13+'P3 Energie'!F15+'P3 Energie'!F6*$H$7</f>
        <v>19043.5497588889</v>
      </c>
      <c r="J289" s="50" t="n">
        <f aca="false">I289*H289</f>
        <v>74058.2490623457</v>
      </c>
    </row>
    <row r="290" customFormat="false" ht="15" hidden="false" customHeight="false" outlineLevel="0" collapsed="false">
      <c r="A290" s="46" t="n">
        <v>281</v>
      </c>
      <c r="B290" s="47" t="n">
        <f aca="false">A290*$C$6</f>
        <v>0.514224348849956</v>
      </c>
      <c r="C290" s="48" t="n">
        <f aca="false">$C$7*B290</f>
        <v>3.90277777777778</v>
      </c>
      <c r="D290" s="49" t="n">
        <f aca="false">0.5*c_rho*'P3 Energie'!E8*'P3 Energie'!E7*(C290-c_Vv)^2+'P3 Energie'!E13+'P3 Energie'!E15+'P3 Energie'!E6*$C$7</f>
        <v>18186.1936225535</v>
      </c>
      <c r="E290" s="50" t="n">
        <f aca="false">D290*C290</f>
        <v>70976.6723324659</v>
      </c>
      <c r="F290" s="46" t="n">
        <v>281</v>
      </c>
      <c r="G290" s="47" t="n">
        <f aca="false">F290*$H$6</f>
        <v>0.512739651147395</v>
      </c>
      <c r="H290" s="48" t="n">
        <f aca="false">$H$7*G290</f>
        <v>3.90277777777778</v>
      </c>
      <c r="I290" s="49" t="n">
        <f aca="false">0.5*c_rho*'P3 Energie'!F8*'P3 Energie'!F7*(H290-c_Vv)^2+'P3 Energie'!F13+'P3 Energie'!F15+'P3 Energie'!F6*$H$7</f>
        <v>19043.5873148521</v>
      </c>
      <c r="J290" s="50" t="n">
        <f aca="false">I290*H290</f>
        <v>74322.8893815755</v>
      </c>
    </row>
    <row r="291" customFormat="false" ht="15" hidden="false" customHeight="false" outlineLevel="0" collapsed="false">
      <c r="A291" s="46" t="n">
        <v>282</v>
      </c>
      <c r="B291" s="47" t="n">
        <f aca="false">A291*$C$6</f>
        <v>0.516054328739101</v>
      </c>
      <c r="C291" s="48" t="n">
        <f aca="false">$C$7*B291</f>
        <v>3.91666666666667</v>
      </c>
      <c r="D291" s="49" t="n">
        <f aca="false">0.5*c_rho*'P3 Energie'!E8*'P3 Energie'!E7*(C291-c_Vv)^2+'P3 Energie'!E13+'P3 Energie'!E15+'P3 Energie'!E6*$C$7</f>
        <v>18186.2370029559</v>
      </c>
      <c r="E291" s="50" t="n">
        <f aca="false">D291*C291</f>
        <v>71229.4282615774</v>
      </c>
      <c r="F291" s="46" t="n">
        <v>282</v>
      </c>
      <c r="G291" s="47" t="n">
        <f aca="false">F291*$H$6</f>
        <v>0.514564347414824</v>
      </c>
      <c r="H291" s="48" t="n">
        <f aca="false">$H$7*G291</f>
        <v>3.91666666666667</v>
      </c>
      <c r="I291" s="49" t="n">
        <f aca="false">0.5*c_rho*'P3 Energie'!F8*'P3 Energie'!F7*(H291-c_Vv)^2+'P3 Energie'!F13+'P3 Energie'!F15+'P3 Energie'!F6*$H$7</f>
        <v>19043.6250047046</v>
      </c>
      <c r="J291" s="50" t="n">
        <f aca="false">I291*H291</f>
        <v>74587.5312684265</v>
      </c>
    </row>
    <row r="292" customFormat="false" ht="15" hidden="false" customHeight="false" outlineLevel="0" collapsed="false">
      <c r="A292" s="46" t="n">
        <v>283</v>
      </c>
      <c r="B292" s="47" t="n">
        <f aca="false">A292*$C$6</f>
        <v>0.517884308628247</v>
      </c>
      <c r="C292" s="48" t="n">
        <f aca="false">$C$7*B292</f>
        <v>3.93055555555556</v>
      </c>
      <c r="D292" s="49" t="n">
        <f aca="false">0.5*c_rho*'P3 Energie'!E8*'P3 Energie'!E7*(C292-c_Vv)^2+'P3 Energie'!E13+'P3 Energie'!E15+'P3 Energie'!E6*$C$7</f>
        <v>18186.2805374628</v>
      </c>
      <c r="E292" s="50" t="n">
        <f aca="false">D292*C292</f>
        <v>71482.1860014163</v>
      </c>
      <c r="F292" s="46" t="n">
        <v>283</v>
      </c>
      <c r="G292" s="47" t="n">
        <f aca="false">F292*$H$6</f>
        <v>0.516389043682252</v>
      </c>
      <c r="H292" s="48" t="n">
        <f aca="false">$H$7*G292</f>
        <v>3.93055555555556</v>
      </c>
      <c r="I292" s="49" t="n">
        <f aca="false">0.5*c_rho*'P3 Energie'!F8*'P3 Energie'!F7*(H292-c_Vv)^2+'P3 Energie'!F13+'P3 Energie'!F15+'P3 Energie'!F6*$H$7</f>
        <v>19043.6628284465</v>
      </c>
      <c r="J292" s="50" t="n">
        <f aca="false">I292*H292</f>
        <v>74852.1747284773</v>
      </c>
    </row>
    <row r="293" customFormat="false" ht="15" hidden="false" customHeight="false" outlineLevel="0" collapsed="false">
      <c r="A293" s="46" t="n">
        <v>284</v>
      </c>
      <c r="B293" s="47" t="n">
        <f aca="false">A293*$C$6</f>
        <v>0.519714288517393</v>
      </c>
      <c r="C293" s="48" t="n">
        <f aca="false">$C$7*B293</f>
        <v>3.94444444444444</v>
      </c>
      <c r="D293" s="49" t="n">
        <f aca="false">0.5*c_rho*'P3 Energie'!E8*'P3 Energie'!E7*(C293-c_Vv)^2+'P3 Energie'!E13+'P3 Energie'!E15+'P3 Energie'!E6*$C$7</f>
        <v>18186.3242260741</v>
      </c>
      <c r="E293" s="50" t="n">
        <f aca="false">D293*C293</f>
        <v>71734.9455584035</v>
      </c>
      <c r="F293" s="46" t="n">
        <v>284</v>
      </c>
      <c r="G293" s="47" t="n">
        <f aca="false">F293*$H$6</f>
        <v>0.518213739949681</v>
      </c>
      <c r="H293" s="48" t="n">
        <f aca="false">$H$7*G293</f>
        <v>3.94444444444444</v>
      </c>
      <c r="I293" s="49" t="n">
        <f aca="false">0.5*c_rho*'P3 Energie'!F8*'P3 Energie'!F7*(H293-c_Vv)^2+'P3 Energie'!F13+'P3 Energie'!F15+'P3 Energie'!F6*$H$7</f>
        <v>19043.7007860778</v>
      </c>
      <c r="J293" s="50" t="n">
        <f aca="false">I293*H293</f>
        <v>75116.8197673068</v>
      </c>
    </row>
    <row r="294" customFormat="false" ht="15" hidden="false" customHeight="false" outlineLevel="0" collapsed="false">
      <c r="A294" s="46" t="n">
        <v>285</v>
      </c>
      <c r="B294" s="47" t="n">
        <f aca="false">A294*$C$6</f>
        <v>0.521544268406539</v>
      </c>
      <c r="C294" s="48" t="n">
        <f aca="false">$C$7*B294</f>
        <v>3.95833333333333</v>
      </c>
      <c r="D294" s="49" t="n">
        <f aca="false">0.5*c_rho*'P3 Energie'!E8*'P3 Energie'!E7*(C294-c_Vv)^2+'P3 Energie'!E13+'P3 Energie'!E15+'P3 Energie'!E6*$C$7</f>
        <v>18186.3680687899</v>
      </c>
      <c r="E294" s="50" t="n">
        <f aca="false">D294*C294</f>
        <v>71987.7069389599</v>
      </c>
      <c r="F294" s="46" t="n">
        <v>285</v>
      </c>
      <c r="G294" s="47" t="n">
        <f aca="false">F294*$H$6</f>
        <v>0.520038436217109</v>
      </c>
      <c r="H294" s="48" t="n">
        <f aca="false">$H$7*G294</f>
        <v>3.95833333333333</v>
      </c>
      <c r="I294" s="49" t="n">
        <f aca="false">0.5*c_rho*'P3 Energie'!F8*'P3 Energie'!F7*(H294-c_Vv)^2+'P3 Energie'!F13+'P3 Energie'!F15+'P3 Energie'!F6*$H$7</f>
        <v>19043.7388775984</v>
      </c>
      <c r="J294" s="50" t="n">
        <f aca="false">I294*H294</f>
        <v>75381.4663904936</v>
      </c>
    </row>
    <row r="295" customFormat="false" ht="15" hidden="false" customHeight="false" outlineLevel="0" collapsed="false">
      <c r="A295" s="46" t="n">
        <v>286</v>
      </c>
      <c r="B295" s="47" t="n">
        <f aca="false">A295*$C$6</f>
        <v>0.523374248295684</v>
      </c>
      <c r="C295" s="48" t="n">
        <f aca="false">$C$7*B295</f>
        <v>3.97222222222222</v>
      </c>
      <c r="D295" s="49" t="n">
        <f aca="false">0.5*c_rho*'P3 Energie'!E8*'P3 Energie'!E7*(C295-c_Vv)^2+'P3 Energie'!E13+'P3 Energie'!E15+'P3 Energie'!E6*$C$7</f>
        <v>18186.4120656101</v>
      </c>
      <c r="E295" s="50" t="n">
        <f aca="false">D295*C295</f>
        <v>72240.4701495067</v>
      </c>
      <c r="F295" s="46" t="n">
        <v>286</v>
      </c>
      <c r="G295" s="47" t="n">
        <f aca="false">F295*$H$6</f>
        <v>0.521863132484538</v>
      </c>
      <c r="H295" s="48" t="n">
        <f aca="false">$H$7*G295</f>
        <v>3.97222222222222</v>
      </c>
      <c r="I295" s="49" t="n">
        <f aca="false">0.5*c_rho*'P3 Energie'!F8*'P3 Energie'!F7*(H295-c_Vv)^2+'P3 Energie'!F13+'P3 Energie'!F15+'P3 Energie'!F6*$H$7</f>
        <v>19043.7771030083</v>
      </c>
      <c r="J295" s="50" t="n">
        <f aca="false">I295*H295</f>
        <v>75646.1146036165</v>
      </c>
    </row>
    <row r="296" customFormat="false" ht="15" hidden="false" customHeight="false" outlineLevel="0" collapsed="false">
      <c r="A296" s="46" t="n">
        <v>287</v>
      </c>
      <c r="B296" s="47" t="n">
        <f aca="false">A296*$C$6</f>
        <v>0.52520422818483</v>
      </c>
      <c r="C296" s="48" t="n">
        <f aca="false">$C$7*B296</f>
        <v>3.98611111111111</v>
      </c>
      <c r="D296" s="49" t="n">
        <f aca="false">0.5*c_rho*'P3 Energie'!E8*'P3 Energie'!E7*(C296-c_Vv)^2+'P3 Energie'!E13+'P3 Energie'!E15+'P3 Energie'!E6*$C$7</f>
        <v>18186.4562165348</v>
      </c>
      <c r="E296" s="50" t="n">
        <f aca="false">D296*C296</f>
        <v>72493.2351964649</v>
      </c>
      <c r="F296" s="46" t="n">
        <v>287</v>
      </c>
      <c r="G296" s="47" t="n">
        <f aca="false">F296*$H$6</f>
        <v>0.523687828751966</v>
      </c>
      <c r="H296" s="48" t="n">
        <f aca="false">$H$7*G296</f>
        <v>3.98611111111111</v>
      </c>
      <c r="I296" s="49" t="n">
        <f aca="false">0.5*c_rho*'P3 Energie'!F8*'P3 Energie'!F7*(H296-c_Vv)^2+'P3 Energie'!F13+'P3 Energie'!F15+'P3 Energie'!F6*$H$7</f>
        <v>19043.8154623076</v>
      </c>
      <c r="J296" s="50" t="n">
        <f aca="false">I296*H296</f>
        <v>75910.7644122541</v>
      </c>
    </row>
    <row r="297" customFormat="false" ht="15" hidden="false" customHeight="false" outlineLevel="0" collapsed="false">
      <c r="A297" s="46" t="n">
        <v>288</v>
      </c>
      <c r="B297" s="47" t="n">
        <f aca="false">A297*$C$6</f>
        <v>0.527034208073976</v>
      </c>
      <c r="C297" s="48" t="n">
        <f aca="false">$C$7*B297</f>
        <v>4</v>
      </c>
      <c r="D297" s="49" t="n">
        <f aca="false">0.5*c_rho*'P3 Energie'!E8*'P3 Energie'!E7*(C297-c_Vv)^2+'P3 Energie'!E13+'P3 Energie'!E15+'P3 Energie'!E6*$C$7</f>
        <v>18186.5005215639</v>
      </c>
      <c r="E297" s="50" t="n">
        <f aca="false">D297*C297</f>
        <v>72746.0020862554</v>
      </c>
      <c r="F297" s="46" t="n">
        <v>288</v>
      </c>
      <c r="G297" s="47" t="n">
        <f aca="false">F297*$H$6</f>
        <v>0.525512525019395</v>
      </c>
      <c r="H297" s="48" t="n">
        <f aca="false">$H$7*G297</f>
        <v>4</v>
      </c>
      <c r="I297" s="49" t="n">
        <f aca="false">0.5*c_rho*'P3 Energie'!F8*'P3 Energie'!F7*(H297-c_Vv)^2+'P3 Energie'!F13+'P3 Energie'!F15+'P3 Energie'!F6*$H$7</f>
        <v>19043.8539554963</v>
      </c>
      <c r="J297" s="50" t="n">
        <f aca="false">I297*H297</f>
        <v>76175.4158219852</v>
      </c>
    </row>
    <row r="298" customFormat="false" ht="15" hidden="false" customHeight="false" outlineLevel="0" collapsed="false">
      <c r="A298" s="46" t="n">
        <v>289</v>
      </c>
      <c r="B298" s="47" t="n">
        <f aca="false">A298*$C$6</f>
        <v>0.528864187963122</v>
      </c>
      <c r="C298" s="48" t="n">
        <f aca="false">$C$7*B298</f>
        <v>4.01388888888889</v>
      </c>
      <c r="D298" s="49" t="n">
        <f aca="false">0.5*c_rho*'P3 Energie'!E8*'P3 Energie'!E7*(C298-c_Vv)^2+'P3 Energie'!E13+'P3 Energie'!E15+'P3 Energie'!E6*$C$7</f>
        <v>18186.5449806974</v>
      </c>
      <c r="E298" s="50" t="n">
        <f aca="false">D298*C298</f>
        <v>72998.7708252994</v>
      </c>
      <c r="F298" s="46" t="n">
        <v>289</v>
      </c>
      <c r="G298" s="47" t="n">
        <f aca="false">F298*$H$6</f>
        <v>0.527337221286823</v>
      </c>
      <c r="H298" s="48" t="n">
        <f aca="false">$H$7*G298</f>
        <v>4.01388888888889</v>
      </c>
      <c r="I298" s="49" t="n">
        <f aca="false">0.5*c_rho*'P3 Energie'!F8*'P3 Energie'!F7*(H298-c_Vv)^2+'P3 Energie'!F13+'P3 Energie'!F15+'P3 Energie'!F6*$H$7</f>
        <v>19043.8925825743</v>
      </c>
      <c r="J298" s="50" t="n">
        <f aca="false">I298*H298</f>
        <v>76440.0688383885</v>
      </c>
    </row>
    <row r="299" customFormat="false" ht="15" hidden="false" customHeight="false" outlineLevel="0" collapsed="false">
      <c r="A299" s="46" t="n">
        <v>290</v>
      </c>
      <c r="B299" s="47" t="n">
        <f aca="false">A299*$C$6</f>
        <v>0.530694167852267</v>
      </c>
      <c r="C299" s="48" t="n">
        <f aca="false">$C$7*B299</f>
        <v>4.02777777777778</v>
      </c>
      <c r="D299" s="49" t="n">
        <f aca="false">0.5*c_rho*'P3 Energie'!E8*'P3 Energie'!E7*(C299-c_Vv)^2+'P3 Energie'!E13+'P3 Energie'!E15+'P3 Energie'!E6*$C$7</f>
        <v>18186.5895939354</v>
      </c>
      <c r="E299" s="50" t="n">
        <f aca="false">D299*C299</f>
        <v>73251.5414200177</v>
      </c>
      <c r="F299" s="46" t="n">
        <v>290</v>
      </c>
      <c r="G299" s="47" t="n">
        <f aca="false">F299*$H$6</f>
        <v>0.529161917554252</v>
      </c>
      <c r="H299" s="48" t="n">
        <f aca="false">$H$7*G299</f>
        <v>4.02777777777778</v>
      </c>
      <c r="I299" s="49" t="n">
        <f aca="false">0.5*c_rho*'P3 Energie'!F8*'P3 Energie'!F7*(H299-c_Vv)^2+'P3 Energie'!F13+'P3 Energie'!F15+'P3 Energie'!F6*$H$7</f>
        <v>19043.9313435417</v>
      </c>
      <c r="J299" s="50" t="n">
        <f aca="false">I299*H299</f>
        <v>76704.7234670428</v>
      </c>
    </row>
    <row r="300" customFormat="false" ht="15" hidden="false" customHeight="false" outlineLevel="0" collapsed="false">
      <c r="A300" s="46" t="n">
        <v>291</v>
      </c>
      <c r="B300" s="47" t="n">
        <f aca="false">A300*$C$6</f>
        <v>0.532524147741413</v>
      </c>
      <c r="C300" s="48" t="n">
        <f aca="false">$C$7*B300</f>
        <v>4.04166666666667</v>
      </c>
      <c r="D300" s="49" t="n">
        <f aca="false">0.5*c_rho*'P3 Energie'!E8*'P3 Energie'!E7*(C300-c_Vv)^2+'P3 Energie'!E13+'P3 Energie'!E15+'P3 Energie'!E6*$C$7</f>
        <v>18186.6343612779</v>
      </c>
      <c r="E300" s="50" t="n">
        <f aca="false">D300*C300</f>
        <v>73504.3138768314</v>
      </c>
      <c r="F300" s="46" t="n">
        <v>291</v>
      </c>
      <c r="G300" s="47" t="n">
        <f aca="false">F300*$H$6</f>
        <v>0.53098661382168</v>
      </c>
      <c r="H300" s="48" t="n">
        <f aca="false">$H$7*G300</f>
        <v>4.04166666666667</v>
      </c>
      <c r="I300" s="49" t="n">
        <f aca="false">0.5*c_rho*'P3 Energie'!F8*'P3 Energie'!F7*(H300-c_Vv)^2+'P3 Energie'!F13+'P3 Energie'!F15+'P3 Energie'!F6*$H$7</f>
        <v>19043.9702383984</v>
      </c>
      <c r="J300" s="50" t="n">
        <f aca="false">I300*H300</f>
        <v>76969.3797135268</v>
      </c>
    </row>
    <row r="301" customFormat="false" ht="15" hidden="false" customHeight="false" outlineLevel="0" collapsed="false">
      <c r="A301" s="46" t="n">
        <v>292</v>
      </c>
      <c r="B301" s="47" t="n">
        <f aca="false">A301*$C$6</f>
        <v>0.534354127630559</v>
      </c>
      <c r="C301" s="48" t="n">
        <f aca="false">$C$7*B301</f>
        <v>4.05555555555556</v>
      </c>
      <c r="D301" s="49" t="n">
        <f aca="false">0.5*c_rho*'P3 Energie'!E8*'P3 Energie'!E7*(C301-c_Vv)^2+'P3 Energie'!E13+'P3 Energie'!E15+'P3 Energie'!E6*$C$7</f>
        <v>18186.6792827248</v>
      </c>
      <c r="E301" s="50" t="n">
        <f aca="false">D301*C301</f>
        <v>73757.0882021616</v>
      </c>
      <c r="F301" s="46" t="n">
        <v>292</v>
      </c>
      <c r="G301" s="47" t="n">
        <f aca="false">F301*$H$6</f>
        <v>0.532811310089108</v>
      </c>
      <c r="H301" s="48" t="n">
        <f aca="false">$H$7*G301</f>
        <v>4.05555555555556</v>
      </c>
      <c r="I301" s="49" t="n">
        <f aca="false">0.5*c_rho*'P3 Energie'!F8*'P3 Energie'!F7*(H301-c_Vv)^2+'P3 Energie'!F13+'P3 Energie'!F15+'P3 Energie'!F6*$H$7</f>
        <v>19044.0092671444</v>
      </c>
      <c r="J301" s="50" t="n">
        <f aca="false">I301*H301</f>
        <v>77234.0375834192</v>
      </c>
    </row>
    <row r="302" customFormat="false" ht="15" hidden="false" customHeight="false" outlineLevel="0" collapsed="false">
      <c r="A302" s="46" t="n">
        <v>293</v>
      </c>
      <c r="B302" s="47" t="n">
        <f aca="false">A302*$C$6</f>
        <v>0.536184107519705</v>
      </c>
      <c r="C302" s="48" t="n">
        <f aca="false">$C$7*B302</f>
        <v>4.06944444444445</v>
      </c>
      <c r="D302" s="49" t="n">
        <f aca="false">0.5*c_rho*'P3 Energie'!E8*'P3 Energie'!E7*(C302-c_Vv)^2+'P3 Energie'!E13+'P3 Energie'!E15+'P3 Energie'!E6*$C$7</f>
        <v>18186.7243582761</v>
      </c>
      <c r="E302" s="50" t="n">
        <f aca="false">D302*C302</f>
        <v>74009.8644024293</v>
      </c>
      <c r="F302" s="46" t="n">
        <v>293</v>
      </c>
      <c r="G302" s="47" t="n">
        <f aca="false">F302*$H$6</f>
        <v>0.534636006356537</v>
      </c>
      <c r="H302" s="48" t="n">
        <f aca="false">$H$7*G302</f>
        <v>4.06944444444445</v>
      </c>
      <c r="I302" s="49" t="n">
        <f aca="false">0.5*c_rho*'P3 Energie'!F8*'P3 Energie'!F7*(H302-c_Vv)^2+'P3 Energie'!F13+'P3 Energie'!F15+'P3 Energie'!F6*$H$7</f>
        <v>19044.0484297799</v>
      </c>
      <c r="J302" s="50" t="n">
        <f aca="false">I302*H302</f>
        <v>77498.6970822986</v>
      </c>
    </row>
    <row r="303" customFormat="false" ht="15" hidden="false" customHeight="false" outlineLevel="0" collapsed="false">
      <c r="A303" s="46" t="n">
        <v>294</v>
      </c>
      <c r="B303" s="47" t="n">
        <f aca="false">A303*$C$6</f>
        <v>0.53801408740885</v>
      </c>
      <c r="C303" s="48" t="n">
        <f aca="false">$C$7*B303</f>
        <v>4.08333333333333</v>
      </c>
      <c r="D303" s="49" t="n">
        <f aca="false">0.5*c_rho*'P3 Energie'!E8*'P3 Energie'!E7*(C303-c_Vv)^2+'P3 Energie'!E13+'P3 Energie'!E15+'P3 Energie'!E6*$C$7</f>
        <v>18186.7695879319</v>
      </c>
      <c r="E303" s="50" t="n">
        <f aca="false">D303*C303</f>
        <v>74262.6424840555</v>
      </c>
      <c r="F303" s="46" t="n">
        <v>294</v>
      </c>
      <c r="G303" s="47" t="n">
        <f aca="false">F303*$H$6</f>
        <v>0.536460702623965</v>
      </c>
      <c r="H303" s="48" t="n">
        <f aca="false">$H$7*G303</f>
        <v>4.08333333333333</v>
      </c>
      <c r="I303" s="49" t="n">
        <f aca="false">0.5*c_rho*'P3 Energie'!F8*'P3 Energie'!F7*(H303-c_Vv)^2+'P3 Energie'!F13+'P3 Energie'!F15+'P3 Energie'!F6*$H$7</f>
        <v>19044.0877263046</v>
      </c>
      <c r="J303" s="50" t="n">
        <f aca="false">I303*H303</f>
        <v>77763.3582157439</v>
      </c>
    </row>
    <row r="304" customFormat="false" ht="15" hidden="false" customHeight="false" outlineLevel="0" collapsed="false">
      <c r="A304" s="46" t="n">
        <v>295</v>
      </c>
      <c r="B304" s="47" t="n">
        <f aca="false">A304*$C$6</f>
        <v>0.539844067297996</v>
      </c>
      <c r="C304" s="48" t="n">
        <f aca="false">$C$7*B304</f>
        <v>4.09722222222222</v>
      </c>
      <c r="D304" s="49" t="n">
        <f aca="false">0.5*c_rho*'P3 Energie'!E8*'P3 Energie'!E7*(C304-c_Vv)^2+'P3 Energie'!E13+'P3 Energie'!E15+'P3 Energie'!E6*$C$7</f>
        <v>18186.8149716922</v>
      </c>
      <c r="E304" s="50" t="n">
        <f aca="false">D304*C304</f>
        <v>74515.4224534611</v>
      </c>
      <c r="F304" s="46" t="n">
        <v>295</v>
      </c>
      <c r="G304" s="47" t="n">
        <f aca="false">F304*$H$6</f>
        <v>0.538285398891394</v>
      </c>
      <c r="H304" s="48" t="n">
        <f aca="false">$H$7*G304</f>
        <v>4.09722222222222</v>
      </c>
      <c r="I304" s="49" t="n">
        <f aca="false">0.5*c_rho*'P3 Energie'!F8*'P3 Energie'!F7*(H304-c_Vv)^2+'P3 Energie'!F13+'P3 Energie'!F15+'P3 Energie'!F6*$H$7</f>
        <v>19044.1271567188</v>
      </c>
      <c r="J304" s="50" t="n">
        <f aca="false">I304*H304</f>
        <v>78028.0209893338</v>
      </c>
    </row>
    <row r="305" customFormat="false" ht="15" hidden="false" customHeight="false" outlineLevel="0" collapsed="false">
      <c r="A305" s="46" t="n">
        <v>296</v>
      </c>
      <c r="B305" s="47" t="n">
        <f aca="false">A305*$C$6</f>
        <v>0.541674047187142</v>
      </c>
      <c r="C305" s="48" t="n">
        <f aca="false">$C$7*B305</f>
        <v>4.11111111111111</v>
      </c>
      <c r="D305" s="49" t="n">
        <f aca="false">0.5*c_rho*'P3 Energie'!E8*'P3 Energie'!E7*(C305-c_Vv)^2+'P3 Energie'!E13+'P3 Energie'!E15+'P3 Energie'!E6*$C$7</f>
        <v>18186.8605095569</v>
      </c>
      <c r="E305" s="50" t="n">
        <f aca="false">D305*C305</f>
        <v>74768.2043170673</v>
      </c>
      <c r="F305" s="46" t="n">
        <v>296</v>
      </c>
      <c r="G305" s="47" t="n">
        <f aca="false">F305*$H$6</f>
        <v>0.540110095158822</v>
      </c>
      <c r="H305" s="48" t="n">
        <f aca="false">$H$7*G305</f>
        <v>4.11111111111111</v>
      </c>
      <c r="I305" s="49" t="n">
        <f aca="false">0.5*c_rho*'P3 Energie'!F8*'P3 Energie'!F7*(H305-c_Vv)^2+'P3 Energie'!F13+'P3 Energie'!F15+'P3 Energie'!F6*$H$7</f>
        <v>19044.1667210222</v>
      </c>
      <c r="J305" s="50" t="n">
        <f aca="false">I305*H305</f>
        <v>78292.6854086469</v>
      </c>
    </row>
    <row r="306" customFormat="false" ht="15" hidden="false" customHeight="false" outlineLevel="0" collapsed="false">
      <c r="A306" s="46" t="n">
        <v>297</v>
      </c>
      <c r="B306" s="47" t="n">
        <f aca="false">A306*$C$6</f>
        <v>0.543504027076288</v>
      </c>
      <c r="C306" s="48" t="n">
        <f aca="false">$C$7*B306</f>
        <v>4.125</v>
      </c>
      <c r="D306" s="49" t="n">
        <f aca="false">0.5*c_rho*'P3 Energie'!E8*'P3 Energie'!E7*(C306-c_Vv)^2+'P3 Energie'!E13+'P3 Energie'!E15+'P3 Energie'!E6*$C$7</f>
        <v>18186.906201526</v>
      </c>
      <c r="E306" s="50" t="n">
        <f aca="false">D306*C306</f>
        <v>75020.988081295</v>
      </c>
      <c r="F306" s="46" t="n">
        <v>297</v>
      </c>
      <c r="G306" s="47" t="n">
        <f aca="false">F306*$H$6</f>
        <v>0.541934791426251</v>
      </c>
      <c r="H306" s="48" t="n">
        <f aca="false">$H$7*G306</f>
        <v>4.125</v>
      </c>
      <c r="I306" s="49" t="n">
        <f aca="false">0.5*c_rho*'P3 Energie'!F8*'P3 Energie'!F7*(H306-c_Vv)^2+'P3 Energie'!F13+'P3 Energie'!F15+'P3 Energie'!F6*$H$7</f>
        <v>19044.206419215</v>
      </c>
      <c r="J306" s="50" t="n">
        <f aca="false">I306*H306</f>
        <v>78557.3514792621</v>
      </c>
    </row>
    <row r="307" customFormat="false" ht="15" hidden="false" customHeight="false" outlineLevel="0" collapsed="false">
      <c r="A307" s="46" t="n">
        <v>298</v>
      </c>
      <c r="B307" s="47" t="n">
        <f aca="false">A307*$C$6</f>
        <v>0.545334006965433</v>
      </c>
      <c r="C307" s="48" t="n">
        <f aca="false">$C$7*B307</f>
        <v>4.13888888888889</v>
      </c>
      <c r="D307" s="49" t="n">
        <f aca="false">0.5*c_rho*'P3 Energie'!E8*'P3 Energie'!E7*(C307-c_Vv)^2+'P3 Energie'!E13+'P3 Energie'!E15+'P3 Energie'!E6*$C$7</f>
        <v>18186.9520475996</v>
      </c>
      <c r="E307" s="50" t="n">
        <f aca="false">D307*C307</f>
        <v>75273.7737525652</v>
      </c>
      <c r="F307" s="46" t="n">
        <v>298</v>
      </c>
      <c r="G307" s="47" t="n">
        <f aca="false">F307*$H$6</f>
        <v>0.543759487693679</v>
      </c>
      <c r="H307" s="48" t="n">
        <f aca="false">$H$7*G307</f>
        <v>4.13888888888889</v>
      </c>
      <c r="I307" s="49" t="n">
        <f aca="false">0.5*c_rho*'P3 Energie'!F8*'P3 Energie'!F7*(H307-c_Vv)^2+'P3 Energie'!F13+'P3 Energie'!F15+'P3 Energie'!F6*$H$7</f>
        <v>19044.2462512972</v>
      </c>
      <c r="J307" s="50" t="n">
        <f aca="false">I307*H307</f>
        <v>78822.019206758</v>
      </c>
    </row>
    <row r="308" customFormat="false" ht="15" hidden="false" customHeight="false" outlineLevel="0" collapsed="false">
      <c r="A308" s="46" t="n">
        <v>299</v>
      </c>
      <c r="B308" s="47" t="n">
        <f aca="false">A308*$C$6</f>
        <v>0.547163986854579</v>
      </c>
      <c r="C308" s="48" t="n">
        <f aca="false">$C$7*B308</f>
        <v>4.15277777777778</v>
      </c>
      <c r="D308" s="49" t="n">
        <f aca="false">0.5*c_rho*'P3 Energie'!E8*'P3 Energie'!E7*(C308-c_Vv)^2+'P3 Energie'!E13+'P3 Energie'!E15+'P3 Energie'!E6*$C$7</f>
        <v>18186.9980477777</v>
      </c>
      <c r="E308" s="50" t="n">
        <f aca="false">D308*C308</f>
        <v>75526.5613372991</v>
      </c>
      <c r="F308" s="46" t="n">
        <v>299</v>
      </c>
      <c r="G308" s="47" t="n">
        <f aca="false">F308*$H$6</f>
        <v>0.545584183961108</v>
      </c>
      <c r="H308" s="48" t="n">
        <f aca="false">$H$7*G308</f>
        <v>4.15277777777778</v>
      </c>
      <c r="I308" s="49" t="n">
        <f aca="false">0.5*c_rho*'P3 Energie'!F8*'P3 Energie'!F7*(H308-c_Vv)^2+'P3 Energie'!F13+'P3 Energie'!F15+'P3 Energie'!F6*$H$7</f>
        <v>19044.2862172688</v>
      </c>
      <c r="J308" s="50" t="n">
        <f aca="false">I308*H308</f>
        <v>79086.6885967133</v>
      </c>
    </row>
    <row r="309" customFormat="false" ht="15" hidden="false" customHeight="false" outlineLevel="0" collapsed="false">
      <c r="A309" s="46" t="n">
        <v>300</v>
      </c>
      <c r="B309" s="47" t="n">
        <f aca="false">A309*$C$6</f>
        <v>0.548993966743725</v>
      </c>
      <c r="C309" s="48" t="n">
        <f aca="false">$C$7*B309</f>
        <v>4.16666666666667</v>
      </c>
      <c r="D309" s="49" t="n">
        <f aca="false">0.5*c_rho*'P3 Energie'!E8*'P3 Energie'!E7*(C309-c_Vv)^2+'P3 Energie'!E13+'P3 Energie'!E15+'P3 Energie'!E6*$C$7</f>
        <v>18187.0442020602</v>
      </c>
      <c r="E309" s="50" t="n">
        <f aca="false">D309*C309</f>
        <v>75779.3508419175</v>
      </c>
      <c r="F309" s="46" t="n">
        <v>300</v>
      </c>
      <c r="G309" s="47" t="n">
        <f aca="false">F309*$H$6</f>
        <v>0.547408880228536</v>
      </c>
      <c r="H309" s="48" t="n">
        <f aca="false">$H$7*G309</f>
        <v>4.16666666666667</v>
      </c>
      <c r="I309" s="49" t="n">
        <f aca="false">0.5*c_rho*'P3 Energie'!F8*'P3 Energie'!F7*(H309-c_Vv)^2+'P3 Energie'!F13+'P3 Energie'!F15+'P3 Energie'!F6*$H$7</f>
        <v>19044.3263171296</v>
      </c>
      <c r="J309" s="50" t="n">
        <f aca="false">I309*H309</f>
        <v>79351.3596547068</v>
      </c>
    </row>
    <row r="310" customFormat="false" ht="15" hidden="false" customHeight="false" outlineLevel="0" collapsed="false">
      <c r="A310" s="46" t="n">
        <v>301</v>
      </c>
      <c r="B310" s="47" t="n">
        <f aca="false">A310*$C$6</f>
        <v>0.550823946632871</v>
      </c>
      <c r="C310" s="48" t="n">
        <f aca="false">$C$7*B310</f>
        <v>4.18055555555556</v>
      </c>
      <c r="D310" s="49" t="n">
        <f aca="false">0.5*c_rho*'P3 Energie'!E8*'P3 Energie'!E7*(C310-c_Vv)^2+'P3 Energie'!E13+'P3 Energie'!E15+'P3 Energie'!E6*$C$7</f>
        <v>18187.0905104471</v>
      </c>
      <c r="E310" s="50" t="n">
        <f aca="false">D310*C310</f>
        <v>76032.1422728415</v>
      </c>
      <c r="F310" s="46" t="n">
        <v>301</v>
      </c>
      <c r="G310" s="47" t="n">
        <f aca="false">F310*$H$6</f>
        <v>0.549233576495965</v>
      </c>
      <c r="H310" s="48" t="n">
        <f aca="false">$H$7*G310</f>
        <v>4.18055555555556</v>
      </c>
      <c r="I310" s="49" t="n">
        <f aca="false">0.5*c_rho*'P3 Energie'!F8*'P3 Energie'!F7*(H310-c_Vv)^2+'P3 Energie'!F13+'P3 Energie'!F15+'P3 Energie'!F6*$H$7</f>
        <v>19044.3665508799</v>
      </c>
      <c r="J310" s="50" t="n">
        <f aca="false">I310*H310</f>
        <v>79616.0323863172</v>
      </c>
    </row>
    <row r="311" customFormat="false" ht="15" hidden="false" customHeight="false" outlineLevel="0" collapsed="false">
      <c r="A311" s="46" t="n">
        <v>302</v>
      </c>
      <c r="B311" s="47" t="n">
        <f aca="false">A311*$C$6</f>
        <v>0.552653926522016</v>
      </c>
      <c r="C311" s="48" t="n">
        <f aca="false">$C$7*B311</f>
        <v>4.19444444444444</v>
      </c>
      <c r="D311" s="49" t="n">
        <f aca="false">0.5*c_rho*'P3 Energie'!E8*'P3 Energie'!E7*(C311-c_Vv)^2+'P3 Energie'!E13+'P3 Energie'!E15+'P3 Energie'!E6*$C$7</f>
        <v>18187.1369729385</v>
      </c>
      <c r="E311" s="50" t="n">
        <f aca="false">D311*C311</f>
        <v>76284.9356364922</v>
      </c>
      <c r="F311" s="46" t="n">
        <v>302</v>
      </c>
      <c r="G311" s="47" t="n">
        <f aca="false">F311*$H$6</f>
        <v>0.551058272763393</v>
      </c>
      <c r="H311" s="48" t="n">
        <f aca="false">$H$7*G311</f>
        <v>4.19444444444445</v>
      </c>
      <c r="I311" s="49" t="n">
        <f aca="false">0.5*c_rho*'P3 Energie'!F8*'P3 Energie'!F7*(H311-c_Vv)^2+'P3 Energie'!F13+'P3 Energie'!F15+'P3 Energie'!F6*$H$7</f>
        <v>19044.4069185194</v>
      </c>
      <c r="J311" s="50" t="n">
        <f aca="false">I311*H311</f>
        <v>79880.7067971232</v>
      </c>
    </row>
    <row r="312" customFormat="false" ht="15" hidden="false" customHeight="false" outlineLevel="0" collapsed="false">
      <c r="A312" s="46" t="n">
        <v>303</v>
      </c>
      <c r="B312" s="47" t="n">
        <f aca="false">A312*$C$6</f>
        <v>0.554483906411162</v>
      </c>
      <c r="C312" s="48" t="n">
        <f aca="false">$C$7*B312</f>
        <v>4.20833333333333</v>
      </c>
      <c r="D312" s="49" t="n">
        <f aca="false">0.5*c_rho*'P3 Energie'!E8*'P3 Energie'!E7*(C312-c_Vv)^2+'P3 Energie'!E13+'P3 Energie'!E15+'P3 Energie'!E6*$C$7</f>
        <v>18187.1835895344</v>
      </c>
      <c r="E312" s="50" t="n">
        <f aca="false">D312*C312</f>
        <v>76537.7309392905</v>
      </c>
      <c r="F312" s="46" t="n">
        <v>303</v>
      </c>
      <c r="G312" s="47" t="n">
        <f aca="false">F312*$H$6</f>
        <v>0.552882969030822</v>
      </c>
      <c r="H312" s="48" t="n">
        <f aca="false">$H$7*G312</f>
        <v>4.20833333333333</v>
      </c>
      <c r="I312" s="49" t="n">
        <f aca="false">0.5*c_rho*'P3 Energie'!F8*'P3 Energie'!F7*(H312-c_Vv)^2+'P3 Energie'!F13+'P3 Energie'!F15+'P3 Energie'!F6*$H$7</f>
        <v>19044.4474200484</v>
      </c>
      <c r="J312" s="50" t="n">
        <f aca="false">I312*H312</f>
        <v>80145.3828927036</v>
      </c>
    </row>
    <row r="313" customFormat="false" ht="15" hidden="false" customHeight="false" outlineLevel="0" collapsed="false">
      <c r="A313" s="46" t="n">
        <v>304</v>
      </c>
      <c r="B313" s="47" t="n">
        <f aca="false">A313*$C$6</f>
        <v>0.556313886300308</v>
      </c>
      <c r="C313" s="48" t="n">
        <f aca="false">$C$7*B313</f>
        <v>4.22222222222222</v>
      </c>
      <c r="D313" s="49" t="n">
        <f aca="false">0.5*c_rho*'P3 Energie'!E8*'P3 Energie'!E7*(C313-c_Vv)^2+'P3 Energie'!E13+'P3 Energie'!E15+'P3 Energie'!E6*$C$7</f>
        <v>18187.2303602347</v>
      </c>
      <c r="E313" s="50" t="n">
        <f aca="false">D313*C313</f>
        <v>76790.5281876575</v>
      </c>
      <c r="F313" s="46" t="n">
        <v>304</v>
      </c>
      <c r="G313" s="47" t="n">
        <f aca="false">F313*$H$6</f>
        <v>0.55470766529825</v>
      </c>
      <c r="H313" s="48" t="n">
        <f aca="false">$H$7*G313</f>
        <v>4.22222222222222</v>
      </c>
      <c r="I313" s="49" t="n">
        <f aca="false">0.5*c_rho*'P3 Energie'!F8*'P3 Energie'!F7*(H313-c_Vv)^2+'P3 Energie'!F13+'P3 Energie'!F15+'P3 Energie'!F6*$H$7</f>
        <v>19044.4880554667</v>
      </c>
      <c r="J313" s="50" t="n">
        <f aca="false">I313*H313</f>
        <v>80410.060678637</v>
      </c>
    </row>
    <row r="314" customFormat="false" ht="15" hidden="false" customHeight="false" outlineLevel="0" collapsed="false">
      <c r="A314" s="46" t="n">
        <v>305</v>
      </c>
      <c r="B314" s="47" t="n">
        <f aca="false">A314*$C$6</f>
        <v>0.558143866189454</v>
      </c>
      <c r="C314" s="48" t="n">
        <f aca="false">$C$7*B314</f>
        <v>4.23611111111111</v>
      </c>
      <c r="D314" s="49" t="n">
        <f aca="false">0.5*c_rho*'P3 Energie'!E8*'P3 Energie'!E7*(C314-c_Vv)^2+'P3 Energie'!E13+'P3 Energie'!E15+'P3 Energie'!E6*$C$7</f>
        <v>18187.2772850394</v>
      </c>
      <c r="E314" s="50" t="n">
        <f aca="false">D314*C314</f>
        <v>77043.3273880142</v>
      </c>
      <c r="F314" s="46" t="n">
        <v>305</v>
      </c>
      <c r="G314" s="47" t="n">
        <f aca="false">F314*$H$6</f>
        <v>0.556532361565678</v>
      </c>
      <c r="H314" s="48" t="n">
        <f aca="false">$H$7*G314</f>
        <v>4.23611111111111</v>
      </c>
      <c r="I314" s="49" t="n">
        <f aca="false">0.5*c_rho*'P3 Energie'!F8*'P3 Energie'!F7*(H314-c_Vv)^2+'P3 Energie'!F13+'P3 Energie'!F15+'P3 Energie'!F6*$H$7</f>
        <v>19044.5288247743</v>
      </c>
      <c r="J314" s="50" t="n">
        <f aca="false">I314*H314</f>
        <v>80674.7401605023</v>
      </c>
    </row>
    <row r="315" customFormat="false" ht="15" hidden="false" customHeight="false" outlineLevel="0" collapsed="false">
      <c r="A315" s="46" t="n">
        <v>306</v>
      </c>
      <c r="B315" s="47" t="n">
        <f aca="false">A315*$C$6</f>
        <v>0.559973846078599</v>
      </c>
      <c r="C315" s="48" t="n">
        <f aca="false">$C$7*B315</f>
        <v>4.25</v>
      </c>
      <c r="D315" s="49" t="n">
        <f aca="false">0.5*c_rho*'P3 Energie'!E8*'P3 Energie'!E7*(C315-c_Vv)^2+'P3 Energie'!E13+'P3 Energie'!E15+'P3 Energie'!E6*$C$7</f>
        <v>18187.3243639486</v>
      </c>
      <c r="E315" s="50" t="n">
        <f aca="false">D315*C315</f>
        <v>77296.1285467816</v>
      </c>
      <c r="F315" s="46" t="n">
        <v>306</v>
      </c>
      <c r="G315" s="47" t="n">
        <f aca="false">F315*$H$6</f>
        <v>0.558357057833107</v>
      </c>
      <c r="H315" s="48" t="n">
        <f aca="false">$H$7*G315</f>
        <v>4.25</v>
      </c>
      <c r="I315" s="49" t="n">
        <f aca="false">0.5*c_rho*'P3 Energie'!F8*'P3 Energie'!F7*(H315-c_Vv)^2+'P3 Energie'!F13+'P3 Energie'!F15+'P3 Energie'!F6*$H$7</f>
        <v>19044.5697279713</v>
      </c>
      <c r="J315" s="50" t="n">
        <f aca="false">I315*H315</f>
        <v>80939.421343878</v>
      </c>
    </row>
    <row r="316" customFormat="false" ht="15" hidden="false" customHeight="false" outlineLevel="0" collapsed="false">
      <c r="A316" s="46" t="n">
        <v>307</v>
      </c>
      <c r="B316" s="47" t="n">
        <f aca="false">A316*$C$6</f>
        <v>0.561803825967745</v>
      </c>
      <c r="C316" s="48" t="n">
        <f aca="false">$C$7*B316</f>
        <v>4.26388888888889</v>
      </c>
      <c r="D316" s="49" t="n">
        <f aca="false">0.5*c_rho*'P3 Energie'!E8*'P3 Energie'!E7*(C316-c_Vv)^2+'P3 Energie'!E13+'P3 Energie'!E15+'P3 Energie'!E6*$C$7</f>
        <v>18187.3715969623</v>
      </c>
      <c r="E316" s="50" t="n">
        <f aca="false">D316*C316</f>
        <v>77548.9316703807</v>
      </c>
      <c r="F316" s="46" t="n">
        <v>307</v>
      </c>
      <c r="G316" s="47" t="n">
        <f aca="false">F316*$H$6</f>
        <v>0.560181754100535</v>
      </c>
      <c r="H316" s="48" t="n">
        <f aca="false">$H$7*G316</f>
        <v>4.26388888888889</v>
      </c>
      <c r="I316" s="49" t="n">
        <f aca="false">0.5*c_rho*'P3 Energie'!F8*'P3 Energie'!F7*(H316-c_Vv)^2+'P3 Energie'!F13+'P3 Energie'!F15+'P3 Energie'!F6*$H$7</f>
        <v>19044.6107650576</v>
      </c>
      <c r="J316" s="50" t="n">
        <f aca="false">I316*H316</f>
        <v>81204.104234343</v>
      </c>
    </row>
    <row r="317" customFormat="false" ht="15" hidden="false" customHeight="false" outlineLevel="0" collapsed="false">
      <c r="A317" s="46" t="n">
        <v>308</v>
      </c>
      <c r="B317" s="47" t="n">
        <f aca="false">A317*$C$6</f>
        <v>0.563633805856891</v>
      </c>
      <c r="C317" s="48" t="n">
        <f aca="false">$C$7*B317</f>
        <v>4.27777777777778</v>
      </c>
      <c r="D317" s="49" t="n">
        <f aca="false">0.5*c_rho*'P3 Energie'!E8*'P3 Energie'!E7*(C317-c_Vv)^2+'P3 Energie'!E13+'P3 Energie'!E15+'P3 Energie'!E6*$C$7</f>
        <v>18187.4189840803</v>
      </c>
      <c r="E317" s="50" t="n">
        <f aca="false">D317*C317</f>
        <v>77801.7367652326</v>
      </c>
      <c r="F317" s="46" t="n">
        <v>308</v>
      </c>
      <c r="G317" s="47" t="n">
        <f aca="false">F317*$H$6</f>
        <v>0.562006450367964</v>
      </c>
      <c r="H317" s="48" t="n">
        <f aca="false">$H$7*G317</f>
        <v>4.27777777777778</v>
      </c>
      <c r="I317" s="49" t="n">
        <f aca="false">0.5*c_rho*'P3 Energie'!F8*'P3 Energie'!F7*(H317-c_Vv)^2+'P3 Energie'!F13+'P3 Energie'!F15+'P3 Energie'!F6*$H$7</f>
        <v>19044.6519360333</v>
      </c>
      <c r="J317" s="50" t="n">
        <f aca="false">I317*H317</f>
        <v>81468.7888374759</v>
      </c>
    </row>
    <row r="318" customFormat="false" ht="15" hidden="false" customHeight="false" outlineLevel="0" collapsed="false">
      <c r="A318" s="46" t="n">
        <v>309</v>
      </c>
      <c r="B318" s="47" t="n">
        <f aca="false">A318*$C$6</f>
        <v>0.565463785746037</v>
      </c>
      <c r="C318" s="48" t="n">
        <f aca="false">$C$7*B318</f>
        <v>4.29166666666667</v>
      </c>
      <c r="D318" s="49" t="n">
        <f aca="false">0.5*c_rho*'P3 Energie'!E8*'P3 Energie'!E7*(C318-c_Vv)^2+'P3 Energie'!E13+'P3 Energie'!E15+'P3 Energie'!E6*$C$7</f>
        <v>18187.4665253029</v>
      </c>
      <c r="E318" s="50" t="n">
        <f aca="false">D318*C318</f>
        <v>78054.5438377582</v>
      </c>
      <c r="F318" s="46" t="n">
        <v>309</v>
      </c>
      <c r="G318" s="47" t="n">
        <f aca="false">F318*$H$6</f>
        <v>0.563831146635392</v>
      </c>
      <c r="H318" s="48" t="n">
        <f aca="false">$H$7*G318</f>
        <v>4.29166666666667</v>
      </c>
      <c r="I318" s="49" t="n">
        <f aca="false">0.5*c_rho*'P3 Energie'!F8*'P3 Energie'!F7*(H318-c_Vv)^2+'P3 Energie'!F13+'P3 Energie'!F15+'P3 Energie'!F6*$H$7</f>
        <v>19044.6932408984</v>
      </c>
      <c r="J318" s="50" t="n">
        <f aca="false">I318*H318</f>
        <v>81733.4751588556</v>
      </c>
    </row>
    <row r="319" customFormat="false" ht="15" hidden="false" customHeight="false" outlineLevel="0" collapsed="false">
      <c r="A319" s="46" t="n">
        <v>310</v>
      </c>
      <c r="B319" s="47" t="n">
        <f aca="false">A319*$C$6</f>
        <v>0.567293765635182</v>
      </c>
      <c r="C319" s="48" t="n">
        <f aca="false">$C$7*B319</f>
        <v>4.30555555555556</v>
      </c>
      <c r="D319" s="49" t="n">
        <f aca="false">0.5*c_rho*'P3 Energie'!E8*'P3 Energie'!E7*(C319-c_Vv)^2+'P3 Energie'!E13+'P3 Energie'!E15+'P3 Energie'!E6*$C$7</f>
        <v>18187.5142206299</v>
      </c>
      <c r="E319" s="50" t="n">
        <f aca="false">D319*C319</f>
        <v>78307.3528943786</v>
      </c>
      <c r="F319" s="46" t="n">
        <v>310</v>
      </c>
      <c r="G319" s="47" t="n">
        <f aca="false">F319*$H$6</f>
        <v>0.565655842902821</v>
      </c>
      <c r="H319" s="48" t="n">
        <f aca="false">$H$7*G319</f>
        <v>4.30555555555556</v>
      </c>
      <c r="I319" s="49" t="n">
        <f aca="false">0.5*c_rho*'P3 Energie'!F8*'P3 Energie'!F7*(H319-c_Vv)^2+'P3 Energie'!F13+'P3 Energie'!F15+'P3 Energie'!F6*$H$7</f>
        <v>19044.7346796528</v>
      </c>
      <c r="J319" s="50" t="n">
        <f aca="false">I319*H319</f>
        <v>81998.1632040606</v>
      </c>
    </row>
    <row r="320" customFormat="false" ht="15" hidden="false" customHeight="false" outlineLevel="0" collapsed="false">
      <c r="A320" s="46" t="n">
        <v>311</v>
      </c>
      <c r="B320" s="47" t="n">
        <f aca="false">A320*$C$6</f>
        <v>0.569123745524328</v>
      </c>
      <c r="C320" s="48" t="n">
        <f aca="false">$C$7*B320</f>
        <v>4.31944444444445</v>
      </c>
      <c r="D320" s="49" t="n">
        <f aca="false">0.5*c_rho*'P3 Energie'!E8*'P3 Energie'!E7*(C320-c_Vv)^2+'P3 Energie'!E13+'P3 Energie'!E15+'P3 Energie'!E6*$C$7</f>
        <v>18187.5620700613</v>
      </c>
      <c r="E320" s="50" t="n">
        <f aca="false">D320*C320</f>
        <v>78560.1639415148</v>
      </c>
      <c r="F320" s="46" t="n">
        <v>311</v>
      </c>
      <c r="G320" s="47" t="n">
        <f aca="false">F320*$H$6</f>
        <v>0.567480539170249</v>
      </c>
      <c r="H320" s="48" t="n">
        <f aca="false">$H$7*G320</f>
        <v>4.31944444444445</v>
      </c>
      <c r="I320" s="49" t="n">
        <f aca="false">0.5*c_rho*'P3 Energie'!F8*'P3 Energie'!F7*(H320-c_Vv)^2+'P3 Energie'!F13+'P3 Energie'!F15+'P3 Energie'!F6*$H$7</f>
        <v>19044.7762522965</v>
      </c>
      <c r="J320" s="50" t="n">
        <f aca="false">I320*H320</f>
        <v>82262.8529786697</v>
      </c>
    </row>
    <row r="321" customFormat="false" ht="15" hidden="false" customHeight="false" outlineLevel="0" collapsed="false">
      <c r="A321" s="46" t="n">
        <v>312</v>
      </c>
      <c r="B321" s="47" t="n">
        <f aca="false">A321*$C$6</f>
        <v>0.570953725413474</v>
      </c>
      <c r="C321" s="48" t="n">
        <f aca="false">$C$7*B321</f>
        <v>4.33333333333333</v>
      </c>
      <c r="D321" s="49" t="n">
        <f aca="false">0.5*c_rho*'P3 Energie'!E8*'P3 Energie'!E7*(C321-c_Vv)^2+'P3 Energie'!E13+'P3 Energie'!E15+'P3 Energie'!E6*$C$7</f>
        <v>18187.6100735972</v>
      </c>
      <c r="E321" s="50" t="n">
        <f aca="false">D321*C321</f>
        <v>78812.9769855878</v>
      </c>
      <c r="F321" s="46" t="n">
        <v>312</v>
      </c>
      <c r="G321" s="47" t="n">
        <f aca="false">F321*$H$6</f>
        <v>0.569305235437678</v>
      </c>
      <c r="H321" s="48" t="n">
        <f aca="false">$H$7*G321</f>
        <v>4.33333333333333</v>
      </c>
      <c r="I321" s="49" t="n">
        <f aca="false">0.5*c_rho*'P3 Energie'!F8*'P3 Energie'!F7*(H321-c_Vv)^2+'P3 Energie'!F13+'P3 Energie'!F15+'P3 Energie'!F6*$H$7</f>
        <v>19044.8179588296</v>
      </c>
      <c r="J321" s="50" t="n">
        <f aca="false">I321*H321</f>
        <v>82527.5444882617</v>
      </c>
    </row>
    <row r="322" customFormat="false" ht="15" hidden="false" customHeight="false" outlineLevel="0" collapsed="false">
      <c r="A322" s="46" t="n">
        <v>313</v>
      </c>
      <c r="B322" s="47" t="n">
        <f aca="false">A322*$C$6</f>
        <v>0.57278370530262</v>
      </c>
      <c r="C322" s="48" t="n">
        <f aca="false">$C$7*B322</f>
        <v>4.34722222222222</v>
      </c>
      <c r="D322" s="49" t="n">
        <f aca="false">0.5*c_rho*'P3 Energie'!E8*'P3 Energie'!E7*(C322-c_Vv)^2+'P3 Energie'!E13+'P3 Energie'!E15+'P3 Energie'!E6*$C$7</f>
        <v>18187.6582312375</v>
      </c>
      <c r="E322" s="50" t="n">
        <f aca="false">D322*C322</f>
        <v>79065.7920330187</v>
      </c>
      <c r="F322" s="46" t="n">
        <v>313</v>
      </c>
      <c r="G322" s="47" t="n">
        <f aca="false">F322*$H$6</f>
        <v>0.571129931705106</v>
      </c>
      <c r="H322" s="48" t="n">
        <f aca="false">$H$7*G322</f>
        <v>4.34722222222222</v>
      </c>
      <c r="I322" s="49" t="n">
        <f aca="false">0.5*c_rho*'P3 Energie'!F8*'P3 Energie'!F7*(H322-c_Vv)^2+'P3 Energie'!F13+'P3 Energie'!F15+'P3 Energie'!F6*$H$7</f>
        <v>19044.8597992521</v>
      </c>
      <c r="J322" s="50" t="n">
        <f aca="false">I322*H322</f>
        <v>82792.2377384153</v>
      </c>
    </row>
    <row r="323" customFormat="false" ht="15" hidden="false" customHeight="false" outlineLevel="0" collapsed="false">
      <c r="A323" s="46" t="n">
        <v>314</v>
      </c>
      <c r="B323" s="47" t="n">
        <f aca="false">A323*$C$6</f>
        <v>0.574613685191765</v>
      </c>
      <c r="C323" s="48" t="n">
        <f aca="false">$C$7*B323</f>
        <v>4.36111111111111</v>
      </c>
      <c r="D323" s="49" t="n">
        <f aca="false">0.5*c_rho*'P3 Energie'!E8*'P3 Energie'!E7*(C323-c_Vv)^2+'P3 Energie'!E13+'P3 Energie'!E15+'P3 Energie'!E6*$C$7</f>
        <v>18187.7065429823</v>
      </c>
      <c r="E323" s="50" t="n">
        <f aca="false">D323*C323</f>
        <v>79318.6090902284</v>
      </c>
      <c r="F323" s="46" t="n">
        <v>314</v>
      </c>
      <c r="G323" s="47" t="n">
        <f aca="false">F323*$H$6</f>
        <v>0.572954627972534</v>
      </c>
      <c r="H323" s="48" t="n">
        <f aca="false">$H$7*G323</f>
        <v>4.36111111111111</v>
      </c>
      <c r="I323" s="49" t="n">
        <f aca="false">0.5*c_rho*'P3 Energie'!F8*'P3 Energie'!F7*(H323-c_Vv)^2+'P3 Energie'!F13+'P3 Energie'!F15+'P3 Energie'!F6*$H$7</f>
        <v>19044.9017735639</v>
      </c>
      <c r="J323" s="50" t="n">
        <f aca="false">I323*H323</f>
        <v>83056.9327347092</v>
      </c>
    </row>
    <row r="324" customFormat="false" ht="15" hidden="false" customHeight="false" outlineLevel="0" collapsed="false">
      <c r="A324" s="46" t="n">
        <v>315</v>
      </c>
      <c r="B324" s="47" t="n">
        <f aca="false">A324*$C$6</f>
        <v>0.576443665080911</v>
      </c>
      <c r="C324" s="48" t="n">
        <f aca="false">$C$7*B324</f>
        <v>4.375</v>
      </c>
      <c r="D324" s="49" t="n">
        <f aca="false">0.5*c_rho*'P3 Energie'!E8*'P3 Energie'!E7*(C324-c_Vv)^2+'P3 Energie'!E13+'P3 Energie'!E15+'P3 Energie'!E6*$C$7</f>
        <v>18187.7550088315</v>
      </c>
      <c r="E324" s="50" t="n">
        <f aca="false">D324*C324</f>
        <v>79571.428163638</v>
      </c>
      <c r="F324" s="46" t="n">
        <v>315</v>
      </c>
      <c r="G324" s="47" t="n">
        <f aca="false">F324*$H$6</f>
        <v>0.574779324239963</v>
      </c>
      <c r="H324" s="48" t="n">
        <f aca="false">$H$7*G324</f>
        <v>4.375</v>
      </c>
      <c r="I324" s="49" t="n">
        <f aca="false">0.5*c_rho*'P3 Energie'!F8*'P3 Energie'!F7*(H324-c_Vv)^2+'P3 Energie'!F13+'P3 Energie'!F15+'P3 Energie'!F6*$H$7</f>
        <v>19044.943881765</v>
      </c>
      <c r="J324" s="50" t="n">
        <f aca="false">I324*H324</f>
        <v>83321.6294827221</v>
      </c>
    </row>
    <row r="325" customFormat="false" ht="15" hidden="false" customHeight="false" outlineLevel="0" collapsed="false">
      <c r="A325" s="46" t="n">
        <v>316</v>
      </c>
      <c r="B325" s="47" t="n">
        <f aca="false">A325*$C$6</f>
        <v>0.578273644970057</v>
      </c>
      <c r="C325" s="48" t="n">
        <f aca="false">$C$7*B325</f>
        <v>4.38888888888889</v>
      </c>
      <c r="D325" s="49" t="n">
        <f aca="false">0.5*c_rho*'P3 Energie'!E8*'P3 Energie'!E7*(C325-c_Vv)^2+'P3 Energie'!E13+'P3 Energie'!E15+'P3 Energie'!E6*$C$7</f>
        <v>18187.8036287852</v>
      </c>
      <c r="E325" s="50" t="n">
        <f aca="false">D325*C325</f>
        <v>79824.2492596685</v>
      </c>
      <c r="F325" s="46" t="n">
        <v>316</v>
      </c>
      <c r="G325" s="47" t="n">
        <f aca="false">F325*$H$6</f>
        <v>0.576604020507391</v>
      </c>
      <c r="H325" s="48" t="n">
        <f aca="false">$H$7*G325</f>
        <v>4.38888888888889</v>
      </c>
      <c r="I325" s="49" t="n">
        <f aca="false">0.5*c_rho*'P3 Energie'!F8*'P3 Energie'!F7*(H325-c_Vv)^2+'P3 Energie'!F13+'P3 Energie'!F15+'P3 Energie'!F6*$H$7</f>
        <v>19044.9861238556</v>
      </c>
      <c r="J325" s="50" t="n">
        <f aca="false">I325*H325</f>
        <v>83586.3279880327</v>
      </c>
    </row>
    <row r="326" customFormat="false" ht="15" hidden="false" customHeight="false" outlineLevel="0" collapsed="false">
      <c r="A326" s="46" t="n">
        <v>317</v>
      </c>
      <c r="B326" s="47" t="n">
        <f aca="false">A326*$C$6</f>
        <v>0.580103624859203</v>
      </c>
      <c r="C326" s="48" t="n">
        <f aca="false">$C$7*B326</f>
        <v>4.40277777777778</v>
      </c>
      <c r="D326" s="49" t="n">
        <f aca="false">0.5*c_rho*'P3 Energie'!E8*'P3 Energie'!E7*(C326-c_Vv)^2+'P3 Energie'!E13+'P3 Energie'!E15+'P3 Energie'!E6*$C$7</f>
        <v>18187.8524028434</v>
      </c>
      <c r="E326" s="50" t="n">
        <f aca="false">D326*C326</f>
        <v>80077.0723847409</v>
      </c>
      <c r="F326" s="46" t="n">
        <v>317</v>
      </c>
      <c r="G326" s="47" t="n">
        <f aca="false">F326*$H$6</f>
        <v>0.57842871677482</v>
      </c>
      <c r="H326" s="48" t="n">
        <f aca="false">$H$7*G326</f>
        <v>4.40277777777778</v>
      </c>
      <c r="I326" s="49" t="n">
        <f aca="false">0.5*c_rho*'P3 Energie'!F8*'P3 Energie'!F7*(H326-c_Vv)^2+'P3 Energie'!F13+'P3 Energie'!F15+'P3 Energie'!F6*$H$7</f>
        <v>19045.0284998354</v>
      </c>
      <c r="J326" s="50" t="n">
        <f aca="false">I326*H326</f>
        <v>83851.0282562198</v>
      </c>
    </row>
    <row r="327" customFormat="false" ht="15" hidden="false" customHeight="false" outlineLevel="0" collapsed="false">
      <c r="A327" s="46" t="n">
        <v>318</v>
      </c>
      <c r="B327" s="47" t="n">
        <f aca="false">A327*$C$6</f>
        <v>0.581933604748348</v>
      </c>
      <c r="C327" s="48" t="n">
        <f aca="false">$C$7*B327</f>
        <v>4.41666666666667</v>
      </c>
      <c r="D327" s="49" t="n">
        <f aca="false">0.5*c_rho*'P3 Energie'!E8*'P3 Energie'!E7*(C327-c_Vv)^2+'P3 Energie'!E13+'P3 Energie'!E15+'P3 Energie'!E6*$C$7</f>
        <v>18187.9013310059</v>
      </c>
      <c r="E327" s="50" t="n">
        <f aca="false">D327*C327</f>
        <v>80329.8975452763</v>
      </c>
      <c r="F327" s="46" t="n">
        <v>318</v>
      </c>
      <c r="G327" s="47" t="n">
        <f aca="false">F327*$H$6</f>
        <v>0.580253413042248</v>
      </c>
      <c r="H327" s="48" t="n">
        <f aca="false">$H$7*G327</f>
        <v>4.41666666666667</v>
      </c>
      <c r="I327" s="49" t="n">
        <f aca="false">0.5*c_rho*'P3 Energie'!F8*'P3 Energie'!F7*(H327-c_Vv)^2+'P3 Energie'!F13+'P3 Energie'!F15+'P3 Energie'!F6*$H$7</f>
        <v>19045.0710097046</v>
      </c>
      <c r="J327" s="50" t="n">
        <f aca="false">I327*H327</f>
        <v>84115.7302928621</v>
      </c>
    </row>
    <row r="328" customFormat="false" ht="15" hidden="false" customHeight="false" outlineLevel="0" collapsed="false">
      <c r="A328" s="46" t="n">
        <v>319</v>
      </c>
      <c r="B328" s="47" t="n">
        <f aca="false">A328*$C$6</f>
        <v>0.583763584637494</v>
      </c>
      <c r="C328" s="48" t="n">
        <f aca="false">$C$7*B328</f>
        <v>4.43055555555556</v>
      </c>
      <c r="D328" s="49" t="n">
        <f aca="false">0.5*c_rho*'P3 Energie'!E8*'P3 Energie'!E7*(C328-c_Vv)^2+'P3 Energie'!E13+'P3 Energie'!E15+'P3 Energie'!E6*$C$7</f>
        <v>18187.950413273</v>
      </c>
      <c r="E328" s="50" t="n">
        <f aca="false">D328*C328</f>
        <v>80582.7247476955</v>
      </c>
      <c r="F328" s="46" t="n">
        <v>319</v>
      </c>
      <c r="G328" s="47" t="n">
        <f aca="false">F328*$H$6</f>
        <v>0.582078109309677</v>
      </c>
      <c r="H328" s="48" t="n">
        <f aca="false">$H$7*G328</f>
        <v>4.43055555555556</v>
      </c>
      <c r="I328" s="49" t="n">
        <f aca="false">0.5*c_rho*'P3 Energie'!F8*'P3 Energie'!F7*(H328-c_Vv)^2+'P3 Energie'!F13+'P3 Energie'!F15+'P3 Energie'!F6*$H$7</f>
        <v>19045.1136534632</v>
      </c>
      <c r="J328" s="50" t="n">
        <f aca="false">I328*H328</f>
        <v>84380.4341035383</v>
      </c>
    </row>
    <row r="329" customFormat="false" ht="15" hidden="false" customHeight="false" outlineLevel="0" collapsed="false">
      <c r="A329" s="46" t="n">
        <v>320</v>
      </c>
      <c r="B329" s="47" t="n">
        <f aca="false">A329*$C$6</f>
        <v>0.58559356452664</v>
      </c>
      <c r="C329" s="48" t="n">
        <f aca="false">$C$7*B329</f>
        <v>4.44444444444445</v>
      </c>
      <c r="D329" s="49" t="n">
        <f aca="false">0.5*c_rho*'P3 Energie'!E8*'P3 Energie'!E7*(C329-c_Vv)^2+'P3 Energie'!E13+'P3 Energie'!E15+'P3 Energie'!E6*$C$7</f>
        <v>18187.9996496445</v>
      </c>
      <c r="E329" s="50" t="n">
        <f aca="false">D329*C329</f>
        <v>80835.5539984198</v>
      </c>
      <c r="F329" s="46" t="n">
        <v>320</v>
      </c>
      <c r="G329" s="47" t="n">
        <f aca="false">F329*$H$6</f>
        <v>0.583902805577105</v>
      </c>
      <c r="H329" s="48" t="n">
        <f aca="false">$H$7*G329</f>
        <v>4.44444444444445</v>
      </c>
      <c r="I329" s="49" t="n">
        <f aca="false">0.5*c_rho*'P3 Energie'!F8*'P3 Energie'!F7*(H329-c_Vv)^2+'P3 Energie'!F13+'P3 Energie'!F15+'P3 Energie'!F6*$H$7</f>
        <v>19045.1564311111</v>
      </c>
      <c r="J329" s="50" t="n">
        <f aca="false">I329*H329</f>
        <v>84645.1396938272</v>
      </c>
    </row>
    <row r="330" customFormat="false" ht="15" hidden="false" customHeight="false" outlineLevel="0" collapsed="false">
      <c r="A330" s="46" t="n">
        <v>321</v>
      </c>
      <c r="B330" s="47" t="n">
        <f aca="false">A330*$C$6</f>
        <v>0.587423544415786</v>
      </c>
      <c r="C330" s="48" t="n">
        <f aca="false">$C$7*B330</f>
        <v>4.45833333333333</v>
      </c>
      <c r="D330" s="49" t="n">
        <f aca="false">0.5*c_rho*'P3 Energie'!E8*'P3 Energie'!E7*(C330-c_Vv)^2+'P3 Energie'!E13+'P3 Energie'!E15+'P3 Energie'!E6*$C$7</f>
        <v>18188.0490401204</v>
      </c>
      <c r="E330" s="50" t="n">
        <f aca="false">D330*C330</f>
        <v>81088.38530387</v>
      </c>
      <c r="F330" s="46" t="n">
        <v>321</v>
      </c>
      <c r="G330" s="47" t="n">
        <f aca="false">F330*$H$6</f>
        <v>0.585727501844534</v>
      </c>
      <c r="H330" s="48" t="n">
        <f aca="false">$H$7*G330</f>
        <v>4.45833333333333</v>
      </c>
      <c r="I330" s="49" t="n">
        <f aca="false">0.5*c_rho*'P3 Energie'!F8*'P3 Energie'!F7*(H330-c_Vv)^2+'P3 Energie'!F13+'P3 Energie'!F15+'P3 Energie'!F6*$H$7</f>
        <v>19045.1993426484</v>
      </c>
      <c r="J330" s="50" t="n">
        <f aca="false">I330*H330</f>
        <v>84909.8470693074</v>
      </c>
    </row>
    <row r="331" customFormat="false" ht="15" hidden="false" customHeight="false" outlineLevel="0" collapsed="false">
      <c r="A331" s="46" t="n">
        <v>322</v>
      </c>
      <c r="B331" s="47" t="n">
        <f aca="false">A331*$C$6</f>
        <v>0.589253524304931</v>
      </c>
      <c r="C331" s="48" t="n">
        <f aca="false">$C$7*B331</f>
        <v>4.47222222222222</v>
      </c>
      <c r="D331" s="49" t="n">
        <f aca="false">0.5*c_rho*'P3 Energie'!E8*'P3 Energie'!E7*(C331-c_Vv)^2+'P3 Energie'!E13+'P3 Energie'!E15+'P3 Energie'!E6*$C$7</f>
        <v>18188.0985847008</v>
      </c>
      <c r="E331" s="50" t="n">
        <f aca="false">D331*C331</f>
        <v>81341.2186704673</v>
      </c>
      <c r="F331" s="46" t="n">
        <v>322</v>
      </c>
      <c r="G331" s="47" t="n">
        <f aca="false">F331*$H$6</f>
        <v>0.587552198111962</v>
      </c>
      <c r="H331" s="48" t="n">
        <f aca="false">$H$7*G331</f>
        <v>4.47222222222222</v>
      </c>
      <c r="I331" s="49" t="n">
        <f aca="false">0.5*c_rho*'P3 Energie'!F8*'P3 Energie'!F7*(H331-c_Vv)^2+'P3 Energie'!F13+'P3 Energie'!F15+'P3 Energie'!F6*$H$7</f>
        <v>19045.242388075</v>
      </c>
      <c r="J331" s="50" t="n">
        <f aca="false">I331*H331</f>
        <v>85174.5562355576</v>
      </c>
    </row>
    <row r="332" customFormat="false" ht="15" hidden="false" customHeight="false" outlineLevel="0" collapsed="false">
      <c r="A332" s="46" t="n">
        <v>323</v>
      </c>
      <c r="B332" s="47" t="n">
        <f aca="false">A332*$C$6</f>
        <v>0.591083504194077</v>
      </c>
      <c r="C332" s="48" t="n">
        <f aca="false">$C$7*B332</f>
        <v>4.48611111111111</v>
      </c>
      <c r="D332" s="49" t="n">
        <f aca="false">0.5*c_rho*'P3 Energie'!E8*'P3 Energie'!E7*(C332-c_Vv)^2+'P3 Energie'!E13+'P3 Energie'!E15+'P3 Energie'!E6*$C$7</f>
        <v>18188.1482833856</v>
      </c>
      <c r="E332" s="50" t="n">
        <f aca="false">D332*C332</f>
        <v>81594.0541046326</v>
      </c>
      <c r="F332" s="46" t="n">
        <v>323</v>
      </c>
      <c r="G332" s="47" t="n">
        <f aca="false">F332*$H$6</f>
        <v>0.58937689437939</v>
      </c>
      <c r="H332" s="48" t="n">
        <f aca="false">$H$7*G332</f>
        <v>4.48611111111111</v>
      </c>
      <c r="I332" s="49" t="n">
        <f aca="false">0.5*c_rho*'P3 Energie'!F8*'P3 Energie'!F7*(H332-c_Vv)^2+'P3 Energie'!F13+'P3 Energie'!F15+'P3 Energie'!F6*$H$7</f>
        <v>19045.285567391</v>
      </c>
      <c r="J332" s="50" t="n">
        <f aca="false">I332*H332</f>
        <v>85439.2671981567</v>
      </c>
    </row>
    <row r="333" customFormat="false" ht="15" hidden="false" customHeight="false" outlineLevel="0" collapsed="false">
      <c r="A333" s="46" t="n">
        <v>324</v>
      </c>
      <c r="B333" s="47" t="n">
        <f aca="false">A333*$C$6</f>
        <v>0.592913484083223</v>
      </c>
      <c r="C333" s="48" t="n">
        <f aca="false">$C$7*B333</f>
        <v>4.5</v>
      </c>
      <c r="D333" s="49" t="n">
        <f aca="false">0.5*c_rho*'P3 Energie'!E8*'P3 Energie'!E7*(C333-c_Vv)^2+'P3 Energie'!E13+'P3 Energie'!E15+'P3 Energie'!E6*$C$7</f>
        <v>18188.1981361749</v>
      </c>
      <c r="E333" s="50" t="n">
        <f aca="false">D333*C333</f>
        <v>81846.8916127869</v>
      </c>
      <c r="F333" s="46" t="n">
        <v>324</v>
      </c>
      <c r="G333" s="47" t="n">
        <f aca="false">F333*$H$6</f>
        <v>0.591201590646819</v>
      </c>
      <c r="H333" s="48" t="n">
        <f aca="false">$H$7*G333</f>
        <v>4.5</v>
      </c>
      <c r="I333" s="49" t="n">
        <f aca="false">0.5*c_rho*'P3 Energie'!F8*'P3 Energie'!F7*(H333-c_Vv)^2+'P3 Energie'!F13+'P3 Energie'!F15+'P3 Energie'!F6*$H$7</f>
        <v>19045.3288805963</v>
      </c>
      <c r="J333" s="50" t="n">
        <f aca="false">I333*H333</f>
        <v>85703.9799626834</v>
      </c>
    </row>
    <row r="334" customFormat="false" ht="15" hidden="false" customHeight="false" outlineLevel="0" collapsed="false">
      <c r="A334" s="46" t="n">
        <v>325</v>
      </c>
      <c r="B334" s="47" t="n">
        <f aca="false">A334*$C$6</f>
        <v>0.594743463972369</v>
      </c>
      <c r="C334" s="48" t="n">
        <f aca="false">$C$7*B334</f>
        <v>4.51388888888889</v>
      </c>
      <c r="D334" s="49" t="n">
        <f aca="false">0.5*c_rho*'P3 Energie'!E8*'P3 Energie'!E7*(C334-c_Vv)^2+'P3 Energie'!E13+'P3 Energie'!E15+'P3 Energie'!E6*$C$7</f>
        <v>18188.2481430686</v>
      </c>
      <c r="E334" s="50" t="n">
        <f aca="false">D334*C334</f>
        <v>82099.7312013512</v>
      </c>
      <c r="F334" s="46" t="n">
        <v>325</v>
      </c>
      <c r="G334" s="47" t="n">
        <f aca="false">F334*$H$6</f>
        <v>0.593026286914247</v>
      </c>
      <c r="H334" s="48" t="n">
        <f aca="false">$H$7*G334</f>
        <v>4.51388888888889</v>
      </c>
      <c r="I334" s="49" t="n">
        <f aca="false">0.5*c_rho*'P3 Energie'!F8*'P3 Energie'!F7*(H334-c_Vv)^2+'P3 Energie'!F13+'P3 Energie'!F15+'P3 Energie'!F6*$H$7</f>
        <v>19045.372327691</v>
      </c>
      <c r="J334" s="50" t="n">
        <f aca="false">I334*H334</f>
        <v>85968.6945347162</v>
      </c>
    </row>
    <row r="335" customFormat="false" ht="15" hidden="false" customHeight="false" outlineLevel="0" collapsed="false">
      <c r="A335" s="46" t="n">
        <v>326</v>
      </c>
      <c r="B335" s="47" t="n">
        <f aca="false">A335*$C$6</f>
        <v>0.596573443861514</v>
      </c>
      <c r="C335" s="48" t="n">
        <f aca="false">$C$7*B335</f>
        <v>4.52777777777778</v>
      </c>
      <c r="D335" s="49" t="n">
        <f aca="false">0.5*c_rho*'P3 Energie'!E8*'P3 Energie'!E7*(C335-c_Vv)^2+'P3 Energie'!E13+'P3 Energie'!E15+'P3 Energie'!E6*$C$7</f>
        <v>18188.2983040668</v>
      </c>
      <c r="E335" s="50" t="n">
        <f aca="false">D335*C335</f>
        <v>82352.5728767467</v>
      </c>
      <c r="F335" s="46" t="n">
        <v>326</v>
      </c>
      <c r="G335" s="47" t="n">
        <f aca="false">F335*$H$6</f>
        <v>0.594850983181676</v>
      </c>
      <c r="H335" s="48" t="n">
        <f aca="false">$H$7*G335</f>
        <v>4.52777777777778</v>
      </c>
      <c r="I335" s="49" t="n">
        <f aca="false">0.5*c_rho*'P3 Energie'!F8*'P3 Energie'!F7*(H335-c_Vv)^2+'P3 Energie'!F13+'P3 Energie'!F15+'P3 Energie'!F6*$H$7</f>
        <v>19045.415908675</v>
      </c>
      <c r="J335" s="50" t="n">
        <f aca="false">I335*H335</f>
        <v>86233.410919834</v>
      </c>
    </row>
    <row r="336" customFormat="false" ht="15" hidden="false" customHeight="false" outlineLevel="0" collapsed="false">
      <c r="A336" s="46" t="n">
        <v>327</v>
      </c>
      <c r="B336" s="47" t="n">
        <f aca="false">A336*$C$6</f>
        <v>0.59840342375066</v>
      </c>
      <c r="C336" s="48" t="n">
        <f aca="false">$C$7*B336</f>
        <v>4.54166666666667</v>
      </c>
      <c r="D336" s="49" t="n">
        <f aca="false">0.5*c_rho*'P3 Energie'!E8*'P3 Energie'!E7*(C336-c_Vv)^2+'P3 Energie'!E13+'P3 Energie'!E15+'P3 Energie'!E6*$C$7</f>
        <v>18188.3486191694</v>
      </c>
      <c r="E336" s="50" t="n">
        <f aca="false">D336*C336</f>
        <v>82605.4166453943</v>
      </c>
      <c r="F336" s="46" t="n">
        <v>327</v>
      </c>
      <c r="G336" s="47" t="n">
        <f aca="false">F336*$H$6</f>
        <v>0.596675679449104</v>
      </c>
      <c r="H336" s="48" t="n">
        <f aca="false">$H$7*G336</f>
        <v>4.54166666666667</v>
      </c>
      <c r="I336" s="49" t="n">
        <f aca="false">0.5*c_rho*'P3 Energie'!F8*'P3 Energie'!F7*(H336-c_Vv)^2+'P3 Energie'!F13+'P3 Energie'!F15+'P3 Energie'!F6*$H$7</f>
        <v>19045.4596235484</v>
      </c>
      <c r="J336" s="50" t="n">
        <f aca="false">I336*H336</f>
        <v>86498.1291236156</v>
      </c>
    </row>
    <row r="337" customFormat="false" ht="15" hidden="false" customHeight="false" outlineLevel="0" collapsed="false">
      <c r="A337" s="46" t="n">
        <v>328</v>
      </c>
      <c r="B337" s="47" t="n">
        <f aca="false">A337*$C$6</f>
        <v>0.600233403639806</v>
      </c>
      <c r="C337" s="48" t="n">
        <f aca="false">$C$7*B337</f>
        <v>4.55555555555556</v>
      </c>
      <c r="D337" s="49" t="n">
        <f aca="false">0.5*c_rho*'P3 Energie'!E8*'P3 Energie'!E7*(C337-c_Vv)^2+'P3 Energie'!E13+'P3 Energie'!E15+'P3 Energie'!E6*$C$7</f>
        <v>18188.3990883765</v>
      </c>
      <c r="E337" s="50" t="n">
        <f aca="false">D337*C337</f>
        <v>82858.2625137149</v>
      </c>
      <c r="F337" s="46" t="n">
        <v>328</v>
      </c>
      <c r="G337" s="47" t="n">
        <f aca="false">F337*$H$6</f>
        <v>0.598500375716533</v>
      </c>
      <c r="H337" s="48" t="n">
        <f aca="false">$H$7*G337</f>
        <v>4.55555555555556</v>
      </c>
      <c r="I337" s="49" t="n">
        <f aca="false">0.5*c_rho*'P3 Energie'!F8*'P3 Energie'!F7*(H337-c_Vv)^2+'P3 Energie'!F13+'P3 Energie'!F15+'P3 Energie'!F6*$H$7</f>
        <v>19045.5034723111</v>
      </c>
      <c r="J337" s="50" t="n">
        <f aca="false">I337*H337</f>
        <v>86762.8491516395</v>
      </c>
    </row>
    <row r="338" customFormat="false" ht="15" hidden="false" customHeight="false" outlineLevel="0" collapsed="false">
      <c r="A338" s="46" t="n">
        <v>329</v>
      </c>
      <c r="B338" s="47" t="n">
        <f aca="false">A338*$C$6</f>
        <v>0.602063383528952</v>
      </c>
      <c r="C338" s="48" t="n">
        <f aca="false">$C$7*B338</f>
        <v>4.56944444444445</v>
      </c>
      <c r="D338" s="49" t="n">
        <f aca="false">0.5*c_rho*'P3 Energie'!E8*'P3 Energie'!E7*(C338-c_Vv)^2+'P3 Energie'!E13+'P3 Energie'!E15+'P3 Energie'!E6*$C$7</f>
        <v>18188.449711688</v>
      </c>
      <c r="E338" s="50" t="n">
        <f aca="false">D338*C338</f>
        <v>83111.1104881298</v>
      </c>
      <c r="F338" s="46" t="n">
        <v>329</v>
      </c>
      <c r="G338" s="47" t="n">
        <f aca="false">F338*$H$6</f>
        <v>0.600325071983961</v>
      </c>
      <c r="H338" s="48" t="n">
        <f aca="false">$H$7*G338</f>
        <v>4.56944444444445</v>
      </c>
      <c r="I338" s="49" t="n">
        <f aca="false">0.5*c_rho*'P3 Energie'!F8*'P3 Energie'!F7*(H338-c_Vv)^2+'P3 Energie'!F13+'P3 Energie'!F15+'P3 Energie'!F6*$H$7</f>
        <v>19045.5474549632</v>
      </c>
      <c r="J338" s="50" t="n">
        <f aca="false">I338*H338</f>
        <v>87027.5710094846</v>
      </c>
    </row>
    <row r="339" customFormat="false" ht="15" hidden="false" customHeight="false" outlineLevel="0" collapsed="false">
      <c r="A339" s="46" t="n">
        <v>330</v>
      </c>
      <c r="B339" s="47" t="n">
        <f aca="false">A339*$C$6</f>
        <v>0.603893363418097</v>
      </c>
      <c r="C339" s="48" t="n">
        <f aca="false">$C$7*B339</f>
        <v>4.58333333333333</v>
      </c>
      <c r="D339" s="49" t="n">
        <f aca="false">0.5*c_rho*'P3 Energie'!E8*'P3 Energie'!E7*(C339-c_Vv)^2+'P3 Energie'!E13+'P3 Energie'!E15+'P3 Energie'!E6*$C$7</f>
        <v>18188.5004891039</v>
      </c>
      <c r="E339" s="50" t="n">
        <f aca="false">D339*C339</f>
        <v>83363.9605750597</v>
      </c>
      <c r="F339" s="46" t="n">
        <v>330</v>
      </c>
      <c r="G339" s="47" t="n">
        <f aca="false">F339*$H$6</f>
        <v>0.60214976825139</v>
      </c>
      <c r="H339" s="48" t="n">
        <f aca="false">$H$7*G339</f>
        <v>4.58333333333333</v>
      </c>
      <c r="I339" s="49" t="n">
        <f aca="false">0.5*c_rho*'P3 Energie'!F8*'P3 Energie'!F7*(H339-c_Vv)^2+'P3 Energie'!F13+'P3 Energie'!F15+'P3 Energie'!F6*$H$7</f>
        <v>19045.5915715046</v>
      </c>
      <c r="J339" s="50" t="n">
        <f aca="false">I339*H339</f>
        <v>87292.2947027296</v>
      </c>
    </row>
    <row r="340" customFormat="false" ht="15" hidden="false" customHeight="false" outlineLevel="0" collapsed="false">
      <c r="A340" s="46" t="n">
        <v>331</v>
      </c>
      <c r="B340" s="47" t="n">
        <f aca="false">A340*$C$6</f>
        <v>0.605723343307243</v>
      </c>
      <c r="C340" s="48" t="n">
        <f aca="false">$C$7*B340</f>
        <v>4.59722222222222</v>
      </c>
      <c r="D340" s="49" t="n">
        <f aca="false">0.5*c_rho*'P3 Energie'!E8*'P3 Energie'!E7*(C340-c_Vv)^2+'P3 Energie'!E13+'P3 Energie'!E15+'P3 Energie'!E6*$C$7</f>
        <v>18188.5514206244</v>
      </c>
      <c r="E340" s="50" t="n">
        <f aca="false">D340*C340</f>
        <v>83616.8127809259</v>
      </c>
      <c r="F340" s="46" t="n">
        <v>331</v>
      </c>
      <c r="G340" s="47" t="n">
        <f aca="false">F340*$H$6</f>
        <v>0.603974464518818</v>
      </c>
      <c r="H340" s="48" t="n">
        <f aca="false">$H$7*G340</f>
        <v>4.59722222222222</v>
      </c>
      <c r="I340" s="49" t="n">
        <f aca="false">0.5*c_rho*'P3 Energie'!F8*'P3 Energie'!F7*(H340-c_Vv)^2+'P3 Energie'!F13+'P3 Energie'!F15+'P3 Energie'!F6*$H$7</f>
        <v>19045.6358219354</v>
      </c>
      <c r="J340" s="50" t="n">
        <f aca="false">I340*H340</f>
        <v>87557.0202369531</v>
      </c>
    </row>
    <row r="341" customFormat="false" ht="15" hidden="false" customHeight="false" outlineLevel="0" collapsed="false">
      <c r="A341" s="46" t="n">
        <v>332</v>
      </c>
      <c r="B341" s="47" t="n">
        <f aca="false">A341*$C$6</f>
        <v>0.607553323196389</v>
      </c>
      <c r="C341" s="48" t="n">
        <f aca="false">$C$7*B341</f>
        <v>4.61111111111111</v>
      </c>
      <c r="D341" s="49" t="n">
        <f aca="false">0.5*c_rho*'P3 Energie'!E8*'P3 Energie'!E7*(C341-c_Vv)^2+'P3 Energie'!E13+'P3 Energie'!E15+'P3 Energie'!E6*$C$7</f>
        <v>18188.6025062492</v>
      </c>
      <c r="E341" s="50" t="n">
        <f aca="false">D341*C341</f>
        <v>83869.6671121492</v>
      </c>
      <c r="F341" s="46" t="n">
        <v>332</v>
      </c>
      <c r="G341" s="47" t="n">
        <f aca="false">F341*$H$6</f>
        <v>0.605799160786247</v>
      </c>
      <c r="H341" s="48" t="n">
        <f aca="false">$H$7*G341</f>
        <v>4.61111111111111</v>
      </c>
      <c r="I341" s="49" t="n">
        <f aca="false">0.5*c_rho*'P3 Energie'!F8*'P3 Energie'!F7*(H341-c_Vv)^2+'P3 Energie'!F13+'P3 Energie'!F15+'P3 Energie'!F6*$H$7</f>
        <v>19045.6802062556</v>
      </c>
      <c r="J341" s="50" t="n">
        <f aca="false">I341*H341</f>
        <v>87821.7476177339</v>
      </c>
    </row>
    <row r="342" customFormat="false" ht="15" hidden="false" customHeight="false" outlineLevel="0" collapsed="false">
      <c r="A342" s="46" t="n">
        <v>333</v>
      </c>
      <c r="B342" s="47" t="n">
        <f aca="false">A342*$C$6</f>
        <v>0.609383303085535</v>
      </c>
      <c r="C342" s="48" t="n">
        <f aca="false">$C$7*B342</f>
        <v>4.625</v>
      </c>
      <c r="D342" s="49" t="n">
        <f aca="false">0.5*c_rho*'P3 Energie'!E8*'P3 Energie'!E7*(C342-c_Vv)^2+'P3 Energie'!E13+'P3 Energie'!E15+'P3 Energie'!E6*$C$7</f>
        <v>18188.6537459785</v>
      </c>
      <c r="E342" s="50" t="n">
        <f aca="false">D342*C342</f>
        <v>84122.5235751508</v>
      </c>
      <c r="F342" s="46" t="n">
        <v>333</v>
      </c>
      <c r="G342" s="47" t="n">
        <f aca="false">F342*$H$6</f>
        <v>0.607623857053675</v>
      </c>
      <c r="H342" s="48" t="n">
        <f aca="false">$H$7*G342</f>
        <v>4.625</v>
      </c>
      <c r="I342" s="49" t="n">
        <f aca="false">0.5*c_rho*'P3 Energie'!F8*'P3 Energie'!F7*(H342-c_Vv)^2+'P3 Energie'!F13+'P3 Energie'!F15+'P3 Energie'!F6*$H$7</f>
        <v>19045.724724465</v>
      </c>
      <c r="J342" s="50" t="n">
        <f aca="false">I342*H342</f>
        <v>88086.4768506509</v>
      </c>
    </row>
    <row r="343" customFormat="false" ht="15" hidden="false" customHeight="false" outlineLevel="0" collapsed="false">
      <c r="A343" s="46" t="n">
        <v>334</v>
      </c>
      <c r="B343" s="47" t="n">
        <f aca="false">A343*$C$6</f>
        <v>0.61121328297468</v>
      </c>
      <c r="C343" s="48" t="n">
        <f aca="false">$C$7*B343</f>
        <v>4.63888888888889</v>
      </c>
      <c r="D343" s="49" t="n">
        <f aca="false">0.5*c_rho*'P3 Energie'!E8*'P3 Energie'!E7*(C343-c_Vv)^2+'P3 Energie'!E13+'P3 Energie'!E15+'P3 Energie'!E6*$C$7</f>
        <v>18188.7051398123</v>
      </c>
      <c r="E343" s="50" t="n">
        <f aca="false">D343*C343</f>
        <v>84375.3821763516</v>
      </c>
      <c r="F343" s="46" t="n">
        <v>334</v>
      </c>
      <c r="G343" s="47" t="n">
        <f aca="false">F343*$H$6</f>
        <v>0.609448553321104</v>
      </c>
      <c r="H343" s="48" t="n">
        <f aca="false">$H$7*G343</f>
        <v>4.63888888888889</v>
      </c>
      <c r="I343" s="49" t="n">
        <f aca="false">0.5*c_rho*'P3 Energie'!F8*'P3 Energie'!F7*(H343-c_Vv)^2+'P3 Energie'!F13+'P3 Energie'!F15+'P3 Energie'!F6*$H$7</f>
        <v>19045.7693765639</v>
      </c>
      <c r="J343" s="50" t="n">
        <f aca="false">I343*H343</f>
        <v>88351.2079412825</v>
      </c>
    </row>
    <row r="344" customFormat="false" ht="15" hidden="false" customHeight="false" outlineLevel="0" collapsed="false">
      <c r="A344" s="46" t="n">
        <v>335</v>
      </c>
      <c r="B344" s="47" t="n">
        <f aca="false">A344*$C$6</f>
        <v>0.613043262863826</v>
      </c>
      <c r="C344" s="48" t="n">
        <f aca="false">$C$7*B344</f>
        <v>4.65277777777778</v>
      </c>
      <c r="D344" s="49" t="n">
        <f aca="false">0.5*c_rho*'P3 Energie'!E8*'P3 Energie'!E7*(C344-c_Vv)^2+'P3 Energie'!E13+'P3 Energie'!E15+'P3 Energie'!E6*$C$7</f>
        <v>18188.7566877505</v>
      </c>
      <c r="E344" s="50" t="n">
        <f aca="false">D344*C344</f>
        <v>84628.2429221726</v>
      </c>
      <c r="F344" s="46" t="n">
        <v>335</v>
      </c>
      <c r="G344" s="47" t="n">
        <f aca="false">F344*$H$6</f>
        <v>0.611273249588532</v>
      </c>
      <c r="H344" s="48" t="n">
        <f aca="false">$H$7*G344</f>
        <v>4.65277777777778</v>
      </c>
      <c r="I344" s="49" t="n">
        <f aca="false">0.5*c_rho*'P3 Energie'!F8*'P3 Energie'!F7*(H344-c_Vv)^2+'P3 Energie'!F13+'P3 Energie'!F15+'P3 Energie'!F6*$H$7</f>
        <v>19045.8141625521</v>
      </c>
      <c r="J344" s="50" t="n">
        <f aca="false">I344*H344</f>
        <v>88615.9408952076</v>
      </c>
    </row>
    <row r="345" customFormat="false" ht="15" hidden="false" customHeight="false" outlineLevel="0" collapsed="false">
      <c r="A345" s="46" t="n">
        <v>336</v>
      </c>
      <c r="B345" s="47" t="n">
        <f aca="false">A345*$C$6</f>
        <v>0.614873242752972</v>
      </c>
      <c r="C345" s="48" t="n">
        <f aca="false">$C$7*B345</f>
        <v>4.66666666666667</v>
      </c>
      <c r="D345" s="49" t="n">
        <f aca="false">0.5*c_rho*'P3 Energie'!E8*'P3 Energie'!E7*(C345-c_Vv)^2+'P3 Energie'!E13+'P3 Energie'!E15+'P3 Energie'!E6*$C$7</f>
        <v>18188.8083897932</v>
      </c>
      <c r="E345" s="50" t="n">
        <f aca="false">D345*C345</f>
        <v>84881.1058190349</v>
      </c>
      <c r="F345" s="46" t="n">
        <v>336</v>
      </c>
      <c r="G345" s="47" t="n">
        <f aca="false">F345*$H$6</f>
        <v>0.61309794585596</v>
      </c>
      <c r="H345" s="48" t="n">
        <f aca="false">$H$7*G345</f>
        <v>4.66666666666667</v>
      </c>
      <c r="I345" s="49" t="n">
        <f aca="false">0.5*c_rho*'P3 Energie'!F8*'P3 Energie'!F7*(H345-c_Vv)^2+'P3 Energie'!F13+'P3 Energie'!F15+'P3 Energie'!F6*$H$7</f>
        <v>19045.8590824296</v>
      </c>
      <c r="J345" s="50" t="n">
        <f aca="false">I345*H345</f>
        <v>88880.675718005</v>
      </c>
    </row>
    <row r="346" customFormat="false" ht="15" hidden="false" customHeight="false" outlineLevel="0" collapsed="false">
      <c r="A346" s="46" t="n">
        <v>337</v>
      </c>
      <c r="B346" s="47" t="n">
        <f aca="false">A346*$C$6</f>
        <v>0.616703222642118</v>
      </c>
      <c r="C346" s="48" t="n">
        <f aca="false">$C$7*B346</f>
        <v>4.68055555555556</v>
      </c>
      <c r="D346" s="49" t="n">
        <f aca="false">0.5*c_rho*'P3 Energie'!E8*'P3 Energie'!E7*(C346-c_Vv)^2+'P3 Energie'!E13+'P3 Energie'!E15+'P3 Energie'!E6*$C$7</f>
        <v>18188.8602459403</v>
      </c>
      <c r="E346" s="50" t="n">
        <f aca="false">D346*C346</f>
        <v>85133.9708733595</v>
      </c>
      <c r="F346" s="46" t="n">
        <v>337</v>
      </c>
      <c r="G346" s="47" t="n">
        <f aca="false">F346*$H$6</f>
        <v>0.614922642123389</v>
      </c>
      <c r="H346" s="48" t="n">
        <f aca="false">$H$7*G346</f>
        <v>4.68055555555556</v>
      </c>
      <c r="I346" s="49" t="n">
        <f aca="false">0.5*c_rho*'P3 Energie'!F8*'P3 Energie'!F7*(H346-c_Vv)^2+'P3 Energie'!F13+'P3 Energie'!F15+'P3 Energie'!F6*$H$7</f>
        <v>19045.9041361965</v>
      </c>
      <c r="J346" s="50" t="n">
        <f aca="false">I346*H346</f>
        <v>89145.4124152532</v>
      </c>
    </row>
    <row r="347" customFormat="false" ht="15" hidden="false" customHeight="false" outlineLevel="0" collapsed="false">
      <c r="A347" s="46" t="n">
        <v>338</v>
      </c>
      <c r="B347" s="47" t="n">
        <f aca="false">A347*$C$6</f>
        <v>0.618533202531263</v>
      </c>
      <c r="C347" s="48" t="n">
        <f aca="false">$C$7*B347</f>
        <v>4.69444444444445</v>
      </c>
      <c r="D347" s="49" t="n">
        <f aca="false">0.5*c_rho*'P3 Energie'!E8*'P3 Energie'!E7*(C347-c_Vv)^2+'P3 Energie'!E13+'P3 Energie'!E15+'P3 Energie'!E6*$C$7</f>
        <v>18188.9122561919</v>
      </c>
      <c r="E347" s="50" t="n">
        <f aca="false">D347*C347</f>
        <v>85386.8380915674</v>
      </c>
      <c r="F347" s="46" t="n">
        <v>338</v>
      </c>
      <c r="G347" s="47" t="n">
        <f aca="false">F347*$H$6</f>
        <v>0.616747338390817</v>
      </c>
      <c r="H347" s="48" t="n">
        <f aca="false">$H$7*G347</f>
        <v>4.69444444444445</v>
      </c>
      <c r="I347" s="49" t="n">
        <f aca="false">0.5*c_rho*'P3 Energie'!F8*'P3 Energie'!F7*(H347-c_Vv)^2+'P3 Energie'!F13+'P3 Energie'!F15+'P3 Energie'!F6*$H$7</f>
        <v>19045.9493238528</v>
      </c>
      <c r="J347" s="50" t="n">
        <f aca="false">I347*H347</f>
        <v>89410.1509925311</v>
      </c>
    </row>
    <row r="348" customFormat="false" ht="15" hidden="false" customHeight="false" outlineLevel="0" collapsed="false">
      <c r="A348" s="46" t="n">
        <v>339</v>
      </c>
      <c r="B348" s="47" t="n">
        <f aca="false">A348*$C$6</f>
        <v>0.620363182420409</v>
      </c>
      <c r="C348" s="48" t="n">
        <f aca="false">$C$7*B348</f>
        <v>4.70833333333333</v>
      </c>
      <c r="D348" s="49" t="n">
        <f aca="false">0.5*c_rho*'P3 Energie'!E8*'P3 Energie'!E7*(C348-c_Vv)^2+'P3 Energie'!E13+'P3 Energie'!E15+'P3 Energie'!E6*$C$7</f>
        <v>18188.9644205479</v>
      </c>
      <c r="E348" s="50" t="n">
        <f aca="false">D348*C348</f>
        <v>85639.7074800796</v>
      </c>
      <c r="F348" s="46" t="n">
        <v>339</v>
      </c>
      <c r="G348" s="47" t="n">
        <f aca="false">F348*$H$6</f>
        <v>0.618572034658246</v>
      </c>
      <c r="H348" s="48" t="n">
        <f aca="false">$H$7*G348</f>
        <v>4.70833333333333</v>
      </c>
      <c r="I348" s="49" t="n">
        <f aca="false">0.5*c_rho*'P3 Energie'!F8*'P3 Energie'!F7*(H348-c_Vv)^2+'P3 Energie'!F13+'P3 Energie'!F15+'P3 Energie'!F6*$H$7</f>
        <v>19045.9946453984</v>
      </c>
      <c r="J348" s="50" t="n">
        <f aca="false">I348*H348</f>
        <v>89674.8914554174</v>
      </c>
    </row>
    <row r="349" customFormat="false" ht="15" hidden="false" customHeight="false" outlineLevel="0" collapsed="false">
      <c r="A349" s="46" t="n">
        <v>340</v>
      </c>
      <c r="B349" s="47" t="n">
        <f aca="false">A349*$C$6</f>
        <v>0.622193162309555</v>
      </c>
      <c r="C349" s="48" t="n">
        <f aca="false">$C$7*B349</f>
        <v>4.72222222222222</v>
      </c>
      <c r="D349" s="49" t="n">
        <f aca="false">0.5*c_rho*'P3 Energie'!E8*'P3 Energie'!E7*(C349-c_Vv)^2+'P3 Energie'!E13+'P3 Energie'!E15+'P3 Energie'!E6*$C$7</f>
        <v>18189.0167390083</v>
      </c>
      <c r="E349" s="50" t="n">
        <f aca="false">D349*C349</f>
        <v>85892.5790453172</v>
      </c>
      <c r="F349" s="46" t="n">
        <v>340</v>
      </c>
      <c r="G349" s="47" t="n">
        <f aca="false">F349*$H$6</f>
        <v>0.620396730925674</v>
      </c>
      <c r="H349" s="48" t="n">
        <f aca="false">$H$7*G349</f>
        <v>4.72222222222222</v>
      </c>
      <c r="I349" s="49" t="n">
        <f aca="false">0.5*c_rho*'P3 Energie'!F8*'P3 Energie'!F7*(H349-c_Vv)^2+'P3 Energie'!F13+'P3 Energie'!F15+'P3 Energie'!F6*$H$7</f>
        <v>19046.0401008333</v>
      </c>
      <c r="J349" s="50" t="n">
        <f aca="false">I349*H349</f>
        <v>89939.6338094908</v>
      </c>
    </row>
    <row r="350" customFormat="false" ht="15" hidden="false" customHeight="false" outlineLevel="0" collapsed="false">
      <c r="A350" s="46" t="n">
        <v>341</v>
      </c>
      <c r="B350" s="47" t="n">
        <f aca="false">A350*$C$6</f>
        <v>0.624023142198701</v>
      </c>
      <c r="C350" s="48" t="n">
        <f aca="false">$C$7*B350</f>
        <v>4.73611111111111</v>
      </c>
      <c r="D350" s="49" t="n">
        <f aca="false">0.5*c_rho*'P3 Energie'!E8*'P3 Energie'!E7*(C350-c_Vv)^2+'P3 Energie'!E13+'P3 Energie'!E15+'P3 Energie'!E6*$C$7</f>
        <v>18189.0692115733</v>
      </c>
      <c r="E350" s="50" t="n">
        <f aca="false">D350*C350</f>
        <v>86145.4527937011</v>
      </c>
      <c r="F350" s="46" t="n">
        <v>341</v>
      </c>
      <c r="G350" s="47" t="n">
        <f aca="false">F350*$H$6</f>
        <v>0.622221427193103</v>
      </c>
      <c r="H350" s="48" t="n">
        <f aca="false">$H$7*G350</f>
        <v>4.73611111111111</v>
      </c>
      <c r="I350" s="49" t="n">
        <f aca="false">0.5*c_rho*'P3 Energie'!F8*'P3 Energie'!F7*(H350-c_Vv)^2+'P3 Energie'!F13+'P3 Energie'!F15+'P3 Energie'!F6*$H$7</f>
        <v>19046.0856901576</v>
      </c>
      <c r="J350" s="50" t="n">
        <f aca="false">I350*H350</f>
        <v>90204.37806033</v>
      </c>
    </row>
    <row r="351" customFormat="false" ht="15" hidden="false" customHeight="false" outlineLevel="0" collapsed="false">
      <c r="A351" s="46" t="n">
        <v>342</v>
      </c>
      <c r="B351" s="47" t="n">
        <f aca="false">A351*$C$6</f>
        <v>0.625853122087846</v>
      </c>
      <c r="C351" s="48" t="n">
        <f aca="false">$C$7*B351</f>
        <v>4.75</v>
      </c>
      <c r="D351" s="49" t="n">
        <f aca="false">0.5*c_rho*'P3 Energie'!E8*'P3 Energie'!E7*(C351-c_Vv)^2+'P3 Energie'!E13+'P3 Energie'!E15+'P3 Energie'!E6*$C$7</f>
        <v>18189.1218382426</v>
      </c>
      <c r="E351" s="50" t="n">
        <f aca="false">D351*C351</f>
        <v>86398.3287316524</v>
      </c>
      <c r="F351" s="46" t="n">
        <v>342</v>
      </c>
      <c r="G351" s="47" t="n">
        <f aca="false">F351*$H$6</f>
        <v>0.624046123460531</v>
      </c>
      <c r="H351" s="48" t="n">
        <f aca="false">$H$7*G351</f>
        <v>4.75</v>
      </c>
      <c r="I351" s="49" t="n">
        <f aca="false">0.5*c_rho*'P3 Energie'!F8*'P3 Energie'!F7*(H351-c_Vv)^2+'P3 Energie'!F13+'P3 Energie'!F15+'P3 Energie'!F6*$H$7</f>
        <v>19046.1314133713</v>
      </c>
      <c r="J351" s="50" t="n">
        <f aca="false">I351*H351</f>
        <v>90469.1242135137</v>
      </c>
    </row>
    <row r="352" customFormat="false" ht="15" hidden="false" customHeight="false" outlineLevel="0" collapsed="false">
      <c r="A352" s="46" t="n">
        <v>343</v>
      </c>
      <c r="B352" s="47" t="n">
        <f aca="false">A352*$C$6</f>
        <v>0.627683101976992</v>
      </c>
      <c r="C352" s="48" t="n">
        <f aca="false">$C$7*B352</f>
        <v>4.76388888888889</v>
      </c>
      <c r="D352" s="49" t="n">
        <f aca="false">0.5*c_rho*'P3 Energie'!E8*'P3 Energie'!E7*(C352-c_Vv)^2+'P3 Energie'!E13+'P3 Energie'!E15+'P3 Energie'!E6*$C$7</f>
        <v>18189.1746190164</v>
      </c>
      <c r="E352" s="50" t="n">
        <f aca="false">D352*C352</f>
        <v>86651.2068655921</v>
      </c>
      <c r="F352" s="46" t="n">
        <v>343</v>
      </c>
      <c r="G352" s="47" t="n">
        <f aca="false">F352*$H$6</f>
        <v>0.62587081972796</v>
      </c>
      <c r="H352" s="48" t="n">
        <f aca="false">$H$7*G352</f>
        <v>4.76388888888889</v>
      </c>
      <c r="I352" s="49" t="n">
        <f aca="false">0.5*c_rho*'P3 Energie'!F8*'P3 Energie'!F7*(H352-c_Vv)^2+'P3 Energie'!F13+'P3 Energie'!F15+'P3 Energie'!F6*$H$7</f>
        <v>19046.1772704743</v>
      </c>
      <c r="J352" s="50" t="n">
        <f aca="false">I352*H352</f>
        <v>90733.8722746207</v>
      </c>
    </row>
    <row r="353" customFormat="false" ht="15" hidden="false" customHeight="false" outlineLevel="0" collapsed="false">
      <c r="A353" s="46" t="n">
        <v>344</v>
      </c>
      <c r="B353" s="47" t="n">
        <f aca="false">A353*$C$6</f>
        <v>0.629513081866138</v>
      </c>
      <c r="C353" s="48" t="n">
        <f aca="false">$C$7*B353</f>
        <v>4.77777777777778</v>
      </c>
      <c r="D353" s="49" t="n">
        <f aca="false">0.5*c_rho*'P3 Energie'!E8*'P3 Energie'!E7*(C353-c_Vv)^2+'P3 Energie'!E13+'P3 Energie'!E15+'P3 Energie'!E6*$C$7</f>
        <v>18189.2275538947</v>
      </c>
      <c r="E353" s="50" t="n">
        <f aca="false">D353*C353</f>
        <v>86904.0872019412</v>
      </c>
      <c r="F353" s="46" t="n">
        <v>344</v>
      </c>
      <c r="G353" s="47" t="n">
        <f aca="false">F353*$H$6</f>
        <v>0.627695515995388</v>
      </c>
      <c r="H353" s="48" t="n">
        <f aca="false">$H$7*G353</f>
        <v>4.77777777777778</v>
      </c>
      <c r="I353" s="49" t="n">
        <f aca="false">0.5*c_rho*'P3 Energie'!F8*'P3 Energie'!F7*(H353-c_Vv)^2+'P3 Energie'!F13+'P3 Energie'!F15+'P3 Energie'!F6*$H$7</f>
        <v>19046.2232614667</v>
      </c>
      <c r="J353" s="50" t="n">
        <f aca="false">I353*H353</f>
        <v>90998.6222492296</v>
      </c>
    </row>
    <row r="354" customFormat="false" ht="15" hidden="false" customHeight="false" outlineLevel="0" collapsed="false">
      <c r="A354" s="46" t="n">
        <v>345</v>
      </c>
      <c r="B354" s="47" t="n">
        <f aca="false">A354*$C$6</f>
        <v>0.631343061755284</v>
      </c>
      <c r="C354" s="48" t="n">
        <f aca="false">$C$7*B354</f>
        <v>4.79166666666667</v>
      </c>
      <c r="D354" s="49" t="n">
        <f aca="false">0.5*c_rho*'P3 Energie'!E8*'P3 Energie'!E7*(C354-c_Vv)^2+'P3 Energie'!E13+'P3 Energie'!E15+'P3 Energie'!E6*$C$7</f>
        <v>18189.2806428774</v>
      </c>
      <c r="E354" s="50" t="n">
        <f aca="false">D354*C354</f>
        <v>87156.9697471208</v>
      </c>
      <c r="F354" s="46" t="n">
        <v>345</v>
      </c>
      <c r="G354" s="47" t="n">
        <f aca="false">F354*$H$6</f>
        <v>0.629520212262817</v>
      </c>
      <c r="H354" s="48" t="n">
        <f aca="false">$H$7*G354</f>
        <v>4.79166666666667</v>
      </c>
      <c r="I354" s="49" t="n">
        <f aca="false">0.5*c_rho*'P3 Energie'!F8*'P3 Energie'!F7*(H354-c_Vv)^2+'P3 Energie'!F13+'P3 Energie'!F15+'P3 Energie'!F6*$H$7</f>
        <v>19046.2693863484</v>
      </c>
      <c r="J354" s="50" t="n">
        <f aca="false">I354*H354</f>
        <v>91263.3741429194</v>
      </c>
    </row>
    <row r="355" customFormat="false" ht="15" hidden="false" customHeight="false" outlineLevel="0" collapsed="false">
      <c r="A355" s="46" t="n">
        <v>346</v>
      </c>
      <c r="B355" s="47" t="n">
        <f aca="false">A355*$C$6</f>
        <v>0.633173041644429</v>
      </c>
      <c r="C355" s="48" t="n">
        <f aca="false">$C$7*B355</f>
        <v>4.80555555555556</v>
      </c>
      <c r="D355" s="49" t="n">
        <f aca="false">0.5*c_rho*'P3 Energie'!E8*'P3 Energie'!E7*(C355-c_Vv)^2+'P3 Energie'!E13+'P3 Energie'!E15+'P3 Energie'!E6*$C$7</f>
        <v>18189.3338859645</v>
      </c>
      <c r="E355" s="50" t="n">
        <f aca="false">D355*C355</f>
        <v>87409.8545075518</v>
      </c>
      <c r="F355" s="46" t="n">
        <v>346</v>
      </c>
      <c r="G355" s="47" t="n">
        <f aca="false">F355*$H$6</f>
        <v>0.631344908530245</v>
      </c>
      <c r="H355" s="48" t="n">
        <f aca="false">$H$7*G355</f>
        <v>4.80555555555556</v>
      </c>
      <c r="I355" s="49" t="n">
        <f aca="false">0.5*c_rho*'P3 Energie'!F8*'P3 Energie'!F7*(H355-c_Vv)^2+'P3 Energie'!F13+'P3 Energie'!F15+'P3 Energie'!F6*$H$7</f>
        <v>19046.3156451194</v>
      </c>
      <c r="J355" s="50" t="n">
        <f aca="false">I355*H355</f>
        <v>91528.1279612685</v>
      </c>
    </row>
    <row r="356" customFormat="false" ht="15" hidden="false" customHeight="false" outlineLevel="0" collapsed="false">
      <c r="A356" s="46" t="n">
        <v>347</v>
      </c>
      <c r="B356" s="47" t="n">
        <f aca="false">A356*$C$6</f>
        <v>0.635003021533575</v>
      </c>
      <c r="C356" s="48" t="n">
        <f aca="false">$C$7*B356</f>
        <v>4.81944444444445</v>
      </c>
      <c r="D356" s="49" t="n">
        <f aca="false">0.5*c_rho*'P3 Energie'!E8*'P3 Energie'!E7*(C356-c_Vv)^2+'P3 Energie'!E13+'P3 Energie'!E15+'P3 Energie'!E6*$C$7</f>
        <v>18189.3872831561</v>
      </c>
      <c r="E356" s="50" t="n">
        <f aca="false">D356*C356</f>
        <v>87662.7414896553</v>
      </c>
      <c r="F356" s="46" t="n">
        <v>347</v>
      </c>
      <c r="G356" s="47" t="n">
        <f aca="false">F356*$H$6</f>
        <v>0.633169604797673</v>
      </c>
      <c r="H356" s="48" t="n">
        <f aca="false">$H$7*G356</f>
        <v>4.81944444444445</v>
      </c>
      <c r="I356" s="49" t="n">
        <f aca="false">0.5*c_rho*'P3 Energie'!F8*'P3 Energie'!F7*(H356-c_Vv)^2+'P3 Energie'!F13+'P3 Energie'!F15+'P3 Energie'!F6*$H$7</f>
        <v>19046.3620377799</v>
      </c>
      <c r="J356" s="50" t="n">
        <f aca="false">I356*H356</f>
        <v>91792.8837098557</v>
      </c>
    </row>
    <row r="357" customFormat="false" ht="15" hidden="false" customHeight="false" outlineLevel="0" collapsed="false">
      <c r="A357" s="46" t="n">
        <v>348</v>
      </c>
      <c r="B357" s="47" t="n">
        <f aca="false">A357*$C$6</f>
        <v>0.636833001422721</v>
      </c>
      <c r="C357" s="48" t="n">
        <f aca="false">$C$7*B357</f>
        <v>4.83333333333333</v>
      </c>
      <c r="D357" s="49" t="n">
        <f aca="false">0.5*c_rho*'P3 Energie'!E8*'P3 Energie'!E7*(C357-c_Vv)^2+'P3 Energie'!E13+'P3 Energie'!E15+'P3 Energie'!E6*$C$7</f>
        <v>18189.4408344522</v>
      </c>
      <c r="E357" s="50" t="n">
        <f aca="false">D357*C357</f>
        <v>87915.6306998523</v>
      </c>
      <c r="F357" s="46" t="n">
        <v>348</v>
      </c>
      <c r="G357" s="47" t="n">
        <f aca="false">F357*$H$6</f>
        <v>0.634994301065102</v>
      </c>
      <c r="H357" s="48" t="n">
        <f aca="false">$H$7*G357</f>
        <v>4.83333333333333</v>
      </c>
      <c r="I357" s="49" t="n">
        <f aca="false">0.5*c_rho*'P3 Energie'!F8*'P3 Energie'!F7*(H357-c_Vv)^2+'P3 Energie'!F13+'P3 Energie'!F15+'P3 Energie'!F6*$H$7</f>
        <v>19046.4085643296</v>
      </c>
      <c r="J357" s="50" t="n">
        <f aca="false">I357*H357</f>
        <v>92057.6413942599</v>
      </c>
    </row>
    <row r="358" customFormat="false" ht="15" hidden="false" customHeight="false" outlineLevel="0" collapsed="false">
      <c r="A358" s="46" t="n">
        <v>349</v>
      </c>
      <c r="B358" s="47" t="n">
        <f aca="false">A358*$C$6</f>
        <v>0.638662981311867</v>
      </c>
      <c r="C358" s="48" t="n">
        <f aca="false">$C$7*B358</f>
        <v>4.84722222222222</v>
      </c>
      <c r="D358" s="49" t="n">
        <f aca="false">0.5*c_rho*'P3 Energie'!E8*'P3 Energie'!E7*(C358-c_Vv)^2+'P3 Energie'!E13+'P3 Energie'!E15+'P3 Energie'!E6*$C$7</f>
        <v>18189.4945398527</v>
      </c>
      <c r="E358" s="50" t="n">
        <f aca="false">D358*C358</f>
        <v>88168.5221445638</v>
      </c>
      <c r="F358" s="46" t="n">
        <v>349</v>
      </c>
      <c r="G358" s="47" t="n">
        <f aca="false">F358*$H$6</f>
        <v>0.63681899733253</v>
      </c>
      <c r="H358" s="48" t="n">
        <f aca="false">$H$7*G358</f>
        <v>4.84722222222222</v>
      </c>
      <c r="I358" s="49" t="n">
        <f aca="false">0.5*c_rho*'P3 Energie'!F8*'P3 Energie'!F7*(H358-c_Vv)^2+'P3 Energie'!F13+'P3 Energie'!F15+'P3 Energie'!F6*$H$7</f>
        <v>19046.4552247688</v>
      </c>
      <c r="J358" s="50" t="n">
        <f aca="false">I358*H358</f>
        <v>92322.4010200596</v>
      </c>
    </row>
    <row r="359" customFormat="false" ht="15" hidden="false" customHeight="false" outlineLevel="0" collapsed="false">
      <c r="A359" s="46" t="n">
        <v>350</v>
      </c>
      <c r="B359" s="47" t="n">
        <f aca="false">A359*$C$6</f>
        <v>0.640492961201012</v>
      </c>
      <c r="C359" s="48" t="n">
        <f aca="false">$C$7*B359</f>
        <v>4.86111111111111</v>
      </c>
      <c r="D359" s="49" t="n">
        <f aca="false">0.5*c_rho*'P3 Energie'!E8*'P3 Energie'!E7*(C359-c_Vv)^2+'P3 Energie'!E13+'P3 Energie'!E15+'P3 Energie'!E6*$C$7</f>
        <v>18189.5483993576</v>
      </c>
      <c r="E359" s="50" t="n">
        <f aca="false">D359*C359</f>
        <v>88421.4158302108</v>
      </c>
      <c r="F359" s="46" t="n">
        <v>350</v>
      </c>
      <c r="G359" s="47" t="n">
        <f aca="false">F359*$H$6</f>
        <v>0.638643693599959</v>
      </c>
      <c r="H359" s="48" t="n">
        <f aca="false">$H$7*G359</f>
        <v>4.86111111111111</v>
      </c>
      <c r="I359" s="49" t="n">
        <f aca="false">0.5*c_rho*'P3 Energie'!F8*'P3 Energie'!F7*(H359-c_Vv)^2+'P3 Energie'!F13+'P3 Energie'!F15+'P3 Energie'!F6*$H$7</f>
        <v>19046.5020190972</v>
      </c>
      <c r="J359" s="50" t="n">
        <f aca="false">I359*H359</f>
        <v>92587.1625928338</v>
      </c>
    </row>
    <row r="360" customFormat="false" ht="15" hidden="false" customHeight="false" outlineLevel="0" collapsed="false">
      <c r="A360" s="46" t="n">
        <v>351</v>
      </c>
      <c r="B360" s="47" t="n">
        <f aca="false">A360*$C$6</f>
        <v>0.642322941090158</v>
      </c>
      <c r="C360" s="48" t="n">
        <f aca="false">$C$7*B360</f>
        <v>4.875</v>
      </c>
      <c r="D360" s="49" t="n">
        <f aca="false">0.5*c_rho*'P3 Energie'!E8*'P3 Energie'!E7*(C360-c_Vv)^2+'P3 Energie'!E13+'P3 Energie'!E15+'P3 Energie'!E6*$C$7</f>
        <v>18189.602412967</v>
      </c>
      <c r="E360" s="50" t="n">
        <f aca="false">D360*C360</f>
        <v>88674.3117632144</v>
      </c>
      <c r="F360" s="46" t="n">
        <v>351</v>
      </c>
      <c r="G360" s="47" t="n">
        <f aca="false">F360*$H$6</f>
        <v>0.640468389867387</v>
      </c>
      <c r="H360" s="48" t="n">
        <f aca="false">$H$7*G360</f>
        <v>4.875</v>
      </c>
      <c r="I360" s="49" t="n">
        <f aca="false">0.5*c_rho*'P3 Energie'!F8*'P3 Energie'!F7*(H360-c_Vv)^2+'P3 Energie'!F13+'P3 Energie'!F15+'P3 Energie'!F6*$H$7</f>
        <v>19046.5489473151</v>
      </c>
      <c r="J360" s="50" t="n">
        <f aca="false">I360*H360</f>
        <v>92851.9261181609</v>
      </c>
    </row>
    <row r="361" customFormat="false" ht="15" hidden="false" customHeight="false" outlineLevel="0" collapsed="false">
      <c r="A361" s="46" t="n">
        <v>352</v>
      </c>
      <c r="B361" s="47" t="n">
        <f aca="false">A361*$C$6</f>
        <v>0.644152920979304</v>
      </c>
      <c r="C361" s="48" t="n">
        <f aca="false">$C$7*B361</f>
        <v>4.88888888888889</v>
      </c>
      <c r="D361" s="49" t="n">
        <f aca="false">0.5*c_rho*'P3 Energie'!E8*'P3 Energie'!E7*(C361-c_Vv)^2+'P3 Energie'!E13+'P3 Energie'!E15+'P3 Energie'!E6*$C$7</f>
        <v>18189.6565806809</v>
      </c>
      <c r="E361" s="50" t="n">
        <f aca="false">D361*C361</f>
        <v>88927.2099499955</v>
      </c>
      <c r="F361" s="46" t="n">
        <v>352</v>
      </c>
      <c r="G361" s="47" t="n">
        <f aca="false">F361*$H$6</f>
        <v>0.642293086134816</v>
      </c>
      <c r="H361" s="48" t="n">
        <f aca="false">$H$7*G361</f>
        <v>4.88888888888889</v>
      </c>
      <c r="I361" s="49" t="n">
        <f aca="false">0.5*c_rho*'P3 Energie'!F8*'P3 Energie'!F7*(H361-c_Vv)^2+'P3 Energie'!F13+'P3 Energie'!F15+'P3 Energie'!F6*$H$7</f>
        <v>19046.5960094222</v>
      </c>
      <c r="J361" s="50" t="n">
        <f aca="false">I361*H361</f>
        <v>93116.6916016198</v>
      </c>
    </row>
    <row r="362" customFormat="false" ht="15" hidden="false" customHeight="false" outlineLevel="0" collapsed="false">
      <c r="A362" s="46" t="n">
        <v>353</v>
      </c>
      <c r="B362" s="47" t="n">
        <f aca="false">A362*$C$6</f>
        <v>0.64598290086845</v>
      </c>
      <c r="C362" s="48" t="n">
        <f aca="false">$C$7*B362</f>
        <v>4.90277777777778</v>
      </c>
      <c r="D362" s="49" t="n">
        <f aca="false">0.5*c_rho*'P3 Energie'!E8*'P3 Energie'!E7*(C362-c_Vv)^2+'P3 Energie'!E13+'P3 Energie'!E15+'P3 Energie'!E6*$C$7</f>
        <v>18189.7109024992</v>
      </c>
      <c r="E362" s="50" t="n">
        <f aca="false">D362*C362</f>
        <v>89180.1103969752</v>
      </c>
      <c r="F362" s="46" t="n">
        <v>353</v>
      </c>
      <c r="G362" s="47" t="n">
        <f aca="false">F362*$H$6</f>
        <v>0.644117782402244</v>
      </c>
      <c r="H362" s="48" t="n">
        <f aca="false">$H$7*G362</f>
        <v>4.90277777777778</v>
      </c>
      <c r="I362" s="49" t="n">
        <f aca="false">0.5*c_rho*'P3 Energie'!F8*'P3 Energie'!F7*(H362-c_Vv)^2+'P3 Energie'!F13+'P3 Energie'!F15+'P3 Energie'!F6*$H$7</f>
        <v>19046.6432054188</v>
      </c>
      <c r="J362" s="50" t="n">
        <f aca="false">I362*H362</f>
        <v>93381.4590487891</v>
      </c>
    </row>
    <row r="363" customFormat="false" ht="15" hidden="false" customHeight="false" outlineLevel="0" collapsed="false">
      <c r="A363" s="46" t="n">
        <v>354</v>
      </c>
      <c r="B363" s="47" t="n">
        <f aca="false">A363*$C$6</f>
        <v>0.647812880757595</v>
      </c>
      <c r="C363" s="48" t="n">
        <f aca="false">$C$7*B363</f>
        <v>4.91666666666667</v>
      </c>
      <c r="D363" s="49" t="n">
        <f aca="false">0.5*c_rho*'P3 Energie'!E8*'P3 Energie'!E7*(C363-c_Vv)^2+'P3 Energie'!E13+'P3 Energie'!E15+'P3 Energie'!E6*$C$7</f>
        <v>18189.7653784219</v>
      </c>
      <c r="E363" s="50" t="n">
        <f aca="false">D363*C363</f>
        <v>89433.0131105746</v>
      </c>
      <c r="F363" s="46" t="n">
        <v>354</v>
      </c>
      <c r="G363" s="47" t="n">
        <f aca="false">F363*$H$6</f>
        <v>0.645942478669673</v>
      </c>
      <c r="H363" s="48" t="n">
        <f aca="false">$H$7*G363</f>
        <v>4.91666666666667</v>
      </c>
      <c r="I363" s="49" t="n">
        <f aca="false">0.5*c_rho*'P3 Energie'!F8*'P3 Energie'!F7*(H363-c_Vv)^2+'P3 Energie'!F13+'P3 Energie'!F15+'P3 Energie'!F6*$H$7</f>
        <v>19046.6905353046</v>
      </c>
      <c r="J363" s="50" t="n">
        <f aca="false">I363*H363</f>
        <v>93646.2284652478</v>
      </c>
    </row>
    <row r="364" customFormat="false" ht="15" hidden="false" customHeight="false" outlineLevel="0" collapsed="false">
      <c r="A364" s="46" t="n">
        <v>355</v>
      </c>
      <c r="B364" s="47" t="n">
        <f aca="false">A364*$C$6</f>
        <v>0.649642860646741</v>
      </c>
      <c r="C364" s="48" t="n">
        <f aca="false">$C$7*B364</f>
        <v>4.93055555555556</v>
      </c>
      <c r="D364" s="49" t="n">
        <f aca="false">0.5*c_rho*'P3 Energie'!E8*'P3 Energie'!E7*(C364-c_Vv)^2+'P3 Energie'!E13+'P3 Energie'!E15+'P3 Energie'!E6*$C$7</f>
        <v>18189.8200084491</v>
      </c>
      <c r="E364" s="50" t="n">
        <f aca="false">D364*C364</f>
        <v>89685.9180972145</v>
      </c>
      <c r="F364" s="46" t="n">
        <v>355</v>
      </c>
      <c r="G364" s="47" t="n">
        <f aca="false">F364*$H$6</f>
        <v>0.647767174937101</v>
      </c>
      <c r="H364" s="48" t="n">
        <f aca="false">$H$7*G364</f>
        <v>4.93055555555556</v>
      </c>
      <c r="I364" s="49" t="n">
        <f aca="false">0.5*c_rho*'P3 Energie'!F8*'P3 Energie'!F7*(H364-c_Vv)^2+'P3 Energie'!F13+'P3 Energie'!F15+'P3 Energie'!F6*$H$7</f>
        <v>19046.7379990799</v>
      </c>
      <c r="J364" s="50" t="n">
        <f aca="false">I364*H364</f>
        <v>93910.9998565743</v>
      </c>
    </row>
    <row r="365" customFormat="false" ht="15" hidden="false" customHeight="false" outlineLevel="0" collapsed="false">
      <c r="A365" s="46" t="n">
        <v>356</v>
      </c>
      <c r="B365" s="47" t="n">
        <f aca="false">A365*$C$6</f>
        <v>0.651472840535887</v>
      </c>
      <c r="C365" s="48" t="n">
        <f aca="false">$C$7*B365</f>
        <v>4.94444444444445</v>
      </c>
      <c r="D365" s="49" t="n">
        <f aca="false">0.5*c_rho*'P3 Energie'!E8*'P3 Energie'!E7*(C365-c_Vv)^2+'P3 Energie'!E13+'P3 Energie'!E15+'P3 Energie'!E6*$C$7</f>
        <v>18189.8747925808</v>
      </c>
      <c r="E365" s="50" t="n">
        <f aca="false">D365*C365</f>
        <v>89938.8253633161</v>
      </c>
      <c r="F365" s="46" t="n">
        <v>356</v>
      </c>
      <c r="G365" s="47" t="n">
        <f aca="false">F365*$H$6</f>
        <v>0.649591871204529</v>
      </c>
      <c r="H365" s="48" t="n">
        <f aca="false">$H$7*G365</f>
        <v>4.94444444444445</v>
      </c>
      <c r="I365" s="49" t="n">
        <f aca="false">0.5*c_rho*'P3 Energie'!F8*'P3 Energie'!F7*(H365-c_Vv)^2+'P3 Energie'!F13+'P3 Energie'!F15+'P3 Energie'!F6*$H$7</f>
        <v>19046.7855967444</v>
      </c>
      <c r="J365" s="50" t="n">
        <f aca="false">I365*H365</f>
        <v>94175.7732283475</v>
      </c>
    </row>
    <row r="366" customFormat="false" ht="15" hidden="false" customHeight="false" outlineLevel="0" collapsed="false">
      <c r="A366" s="46" t="n">
        <v>357</v>
      </c>
      <c r="B366" s="47" t="n">
        <f aca="false">A366*$C$6</f>
        <v>0.653302820425033</v>
      </c>
      <c r="C366" s="48" t="n">
        <f aca="false">$C$7*B366</f>
        <v>4.95833333333333</v>
      </c>
      <c r="D366" s="49" t="n">
        <f aca="false">0.5*c_rho*'P3 Energie'!E8*'P3 Energie'!E7*(C366-c_Vv)^2+'P3 Energie'!E13+'P3 Energie'!E15+'P3 Energie'!E6*$C$7</f>
        <v>18189.9297308169</v>
      </c>
      <c r="E366" s="50" t="n">
        <f aca="false">D366*C366</f>
        <v>90191.7349153004</v>
      </c>
      <c r="F366" s="46" t="n">
        <v>357</v>
      </c>
      <c r="G366" s="47" t="n">
        <f aca="false">F366*$H$6</f>
        <v>0.651416567471958</v>
      </c>
      <c r="H366" s="48" t="n">
        <f aca="false">$H$7*G366</f>
        <v>4.95833333333333</v>
      </c>
      <c r="I366" s="49" t="n">
        <f aca="false">0.5*c_rho*'P3 Energie'!F8*'P3 Energie'!F7*(H366-c_Vv)^2+'P3 Energie'!F13+'P3 Energie'!F15+'P3 Energie'!F6*$H$7</f>
        <v>19046.8333282984</v>
      </c>
      <c r="J366" s="50" t="n">
        <f aca="false">I366*H366</f>
        <v>94440.5485861461</v>
      </c>
    </row>
    <row r="367" customFormat="false" ht="15" hidden="false" customHeight="false" outlineLevel="0" collapsed="false">
      <c r="A367" s="46" t="n">
        <v>358</v>
      </c>
      <c r="B367" s="47" t="n">
        <f aca="false">A367*$C$6</f>
        <v>0.655132800314178</v>
      </c>
      <c r="C367" s="48" t="n">
        <f aca="false">$C$7*B367</f>
        <v>4.97222222222222</v>
      </c>
      <c r="D367" s="49" t="n">
        <f aca="false">0.5*c_rho*'P3 Energie'!E8*'P3 Energie'!E7*(C367-c_Vv)^2+'P3 Energie'!E13+'P3 Energie'!E15+'P3 Energie'!E6*$C$7</f>
        <v>18189.9848231574</v>
      </c>
      <c r="E367" s="50" t="n">
        <f aca="false">D367*C367</f>
        <v>90444.6467595883</v>
      </c>
      <c r="F367" s="46" t="n">
        <v>358</v>
      </c>
      <c r="G367" s="47" t="n">
        <f aca="false">F367*$H$6</f>
        <v>0.653241263739386</v>
      </c>
      <c r="H367" s="48" t="n">
        <f aca="false">$H$7*G367</f>
        <v>4.97222222222222</v>
      </c>
      <c r="I367" s="49" t="n">
        <f aca="false">0.5*c_rho*'P3 Energie'!F8*'P3 Energie'!F7*(H367-c_Vv)^2+'P3 Energie'!F13+'P3 Energie'!F15+'P3 Energie'!F6*$H$7</f>
        <v>19046.8811937417</v>
      </c>
      <c r="J367" s="50" t="n">
        <f aca="false">I367*H367</f>
        <v>94705.3259355489</v>
      </c>
    </row>
    <row r="368" customFormat="false" ht="15" hidden="false" customHeight="false" outlineLevel="0" collapsed="false">
      <c r="A368" s="46" t="n">
        <v>359</v>
      </c>
      <c r="B368" s="47" t="n">
        <f aca="false">A368*$C$6</f>
        <v>0.656962780203324</v>
      </c>
      <c r="C368" s="48" t="n">
        <f aca="false">$C$7*B368</f>
        <v>4.98611111111111</v>
      </c>
      <c r="D368" s="49" t="n">
        <f aca="false">0.5*c_rho*'P3 Energie'!E8*'P3 Energie'!E7*(C368-c_Vv)^2+'P3 Energie'!E13+'P3 Energie'!E15+'P3 Energie'!E6*$C$7</f>
        <v>18190.0400696024</v>
      </c>
      <c r="E368" s="50" t="n">
        <f aca="false">D368*C368</f>
        <v>90697.560902601</v>
      </c>
      <c r="F368" s="46" t="n">
        <v>359</v>
      </c>
      <c r="G368" s="47" t="n">
        <f aca="false">F368*$H$6</f>
        <v>0.655065960006815</v>
      </c>
      <c r="H368" s="48" t="n">
        <f aca="false">$H$7*G368</f>
        <v>4.98611111111111</v>
      </c>
      <c r="I368" s="49" t="n">
        <f aca="false">0.5*c_rho*'P3 Energie'!F8*'P3 Energie'!F7*(H368-c_Vv)^2+'P3 Energie'!F13+'P3 Energie'!F15+'P3 Energie'!F6*$H$7</f>
        <v>19046.9291930743</v>
      </c>
      <c r="J368" s="50" t="n">
        <f aca="false">I368*H368</f>
        <v>94970.1052821344</v>
      </c>
    </row>
    <row r="369" customFormat="false" ht="15" hidden="false" customHeight="false" outlineLevel="0" collapsed="false">
      <c r="A369" s="46" t="n">
        <v>360</v>
      </c>
      <c r="B369" s="47" t="n">
        <f aca="false">A369*$C$6</f>
        <v>0.65879276009247</v>
      </c>
      <c r="C369" s="48" t="n">
        <f aca="false">$C$7*B369</f>
        <v>5</v>
      </c>
      <c r="D369" s="49" t="n">
        <f aca="false">0.5*c_rho*'P3 Energie'!E8*'P3 Energie'!E7*(C369-c_Vv)^2+'P3 Energie'!E13+'P3 Energie'!E15+'P3 Energie'!E6*$C$7</f>
        <v>18190.0954701519</v>
      </c>
      <c r="E369" s="50" t="n">
        <f aca="false">D369*C369</f>
        <v>90950.4773507593</v>
      </c>
      <c r="F369" s="46" t="n">
        <v>360</v>
      </c>
      <c r="G369" s="47" t="n">
        <f aca="false">F369*$H$6</f>
        <v>0.656890656274243</v>
      </c>
      <c r="H369" s="48" t="n">
        <f aca="false">$H$7*G369</f>
        <v>5</v>
      </c>
      <c r="I369" s="49" t="n">
        <f aca="false">0.5*c_rho*'P3 Energie'!F8*'P3 Energie'!F7*(H369-c_Vv)^2+'P3 Energie'!F13+'P3 Energie'!F15+'P3 Energie'!F6*$H$7</f>
        <v>19046.9773262963</v>
      </c>
      <c r="J369" s="50" t="n">
        <f aca="false">I369*H369</f>
        <v>95234.8866314815</v>
      </c>
    </row>
    <row r="370" customFormat="false" ht="15" hidden="false" customHeight="false" outlineLevel="0" collapsed="false">
      <c r="A370" s="46" t="n">
        <v>361</v>
      </c>
      <c r="B370" s="47" t="n">
        <f aca="false">A370*$C$6</f>
        <v>0.660622739981616</v>
      </c>
      <c r="C370" s="48" t="n">
        <f aca="false">$C$7*B370</f>
        <v>5.01388888888889</v>
      </c>
      <c r="D370" s="49" t="n">
        <f aca="false">0.5*c_rho*'P3 Energie'!E8*'P3 Energie'!E7*(C370-c_Vv)^2+'P3 Energie'!E13+'P3 Energie'!E15+'P3 Energie'!E6*$C$7</f>
        <v>18190.1510248058</v>
      </c>
      <c r="E370" s="50" t="n">
        <f aca="false">D370*C370</f>
        <v>91203.3961104844</v>
      </c>
      <c r="F370" s="46" t="n">
        <v>361</v>
      </c>
      <c r="G370" s="47" t="n">
        <f aca="false">F370*$H$6</f>
        <v>0.658715352541672</v>
      </c>
      <c r="H370" s="48" t="n">
        <f aca="false">$H$7*G370</f>
        <v>5.01388888888889</v>
      </c>
      <c r="I370" s="49" t="n">
        <f aca="false">0.5*c_rho*'P3 Energie'!F8*'P3 Energie'!F7*(H370-c_Vv)^2+'P3 Energie'!F13+'P3 Energie'!F15+'P3 Energie'!F6*$H$7</f>
        <v>19047.0255934076</v>
      </c>
      <c r="J370" s="50" t="n">
        <f aca="false">I370*H370</f>
        <v>95499.6699891689</v>
      </c>
    </row>
    <row r="371" customFormat="false" ht="15" hidden="false" customHeight="false" outlineLevel="0" collapsed="false">
      <c r="A371" s="46" t="n">
        <v>362</v>
      </c>
      <c r="B371" s="47" t="n">
        <f aca="false">A371*$C$6</f>
        <v>0.662452719870761</v>
      </c>
      <c r="C371" s="48" t="n">
        <f aca="false">$C$7*B371</f>
        <v>5.02777777777778</v>
      </c>
      <c r="D371" s="49" t="n">
        <f aca="false">0.5*c_rho*'P3 Energie'!E8*'P3 Energie'!E7*(C371-c_Vv)^2+'P3 Energie'!E13+'P3 Energie'!E15+'P3 Energie'!E6*$C$7</f>
        <v>18190.2067335641</v>
      </c>
      <c r="E371" s="50" t="n">
        <f aca="false">D371*C371</f>
        <v>91456.3171881972</v>
      </c>
      <c r="F371" s="46" t="n">
        <v>362</v>
      </c>
      <c r="G371" s="47" t="n">
        <f aca="false">F371*$H$6</f>
        <v>0.6605400488091</v>
      </c>
      <c r="H371" s="48" t="n">
        <f aca="false">$H$7*G371</f>
        <v>5.02777777777778</v>
      </c>
      <c r="I371" s="49" t="n">
        <f aca="false">0.5*c_rho*'P3 Energie'!F8*'P3 Energie'!F7*(H371-c_Vv)^2+'P3 Energie'!F13+'P3 Energie'!F15+'P3 Energie'!F6*$H$7</f>
        <v>19047.0739944083</v>
      </c>
      <c r="J371" s="50" t="n">
        <f aca="false">I371*H371</f>
        <v>95764.4553607753</v>
      </c>
    </row>
    <row r="372" customFormat="false" ht="15" hidden="false" customHeight="false" outlineLevel="0" collapsed="false">
      <c r="A372" s="46" t="n">
        <v>363</v>
      </c>
      <c r="B372" s="47" t="n">
        <f aca="false">A372*$C$6</f>
        <v>0.664282699759907</v>
      </c>
      <c r="C372" s="48" t="n">
        <f aca="false">$C$7*B372</f>
        <v>5.04166666666667</v>
      </c>
      <c r="D372" s="49" t="n">
        <f aca="false">0.5*c_rho*'P3 Energie'!E8*'P3 Energie'!E7*(C372-c_Vv)^2+'P3 Energie'!E13+'P3 Energie'!E15+'P3 Energie'!E6*$C$7</f>
        <v>18190.2625964269</v>
      </c>
      <c r="E372" s="50" t="n">
        <f aca="false">D372*C372</f>
        <v>91709.2405903189</v>
      </c>
      <c r="F372" s="46" t="n">
        <v>363</v>
      </c>
      <c r="G372" s="47" t="n">
        <f aca="false">F372*$H$6</f>
        <v>0.662364745076529</v>
      </c>
      <c r="H372" s="48" t="n">
        <f aca="false">$H$7*G372</f>
        <v>5.04166666666667</v>
      </c>
      <c r="I372" s="49" t="n">
        <f aca="false">0.5*c_rho*'P3 Energie'!F8*'P3 Energie'!F7*(H372-c_Vv)^2+'P3 Energie'!F13+'P3 Energie'!F15+'P3 Energie'!F6*$H$7</f>
        <v>19047.1225292984</v>
      </c>
      <c r="J372" s="50" t="n">
        <f aca="false">I372*H372</f>
        <v>96029.2427518793</v>
      </c>
    </row>
    <row r="373" customFormat="false" ht="15" hidden="false" customHeight="false" outlineLevel="0" collapsed="false">
      <c r="A373" s="46" t="n">
        <v>364</v>
      </c>
      <c r="B373" s="47" t="n">
        <f aca="false">A373*$C$6</f>
        <v>0.666112679649053</v>
      </c>
      <c r="C373" s="48" t="n">
        <f aca="false">$C$7*B373</f>
        <v>5.05555555555556</v>
      </c>
      <c r="D373" s="49" t="n">
        <f aca="false">0.5*c_rho*'P3 Energie'!E8*'P3 Energie'!E7*(C373-c_Vv)^2+'P3 Energie'!E13+'P3 Energie'!E15+'P3 Energie'!E6*$C$7</f>
        <v>18190.3186133941</v>
      </c>
      <c r="E373" s="50" t="n">
        <f aca="false">D373*C373</f>
        <v>91962.1663232703</v>
      </c>
      <c r="F373" s="46" t="n">
        <v>364</v>
      </c>
      <c r="G373" s="47" t="n">
        <f aca="false">F373*$H$6</f>
        <v>0.664189441343957</v>
      </c>
      <c r="H373" s="48" t="n">
        <f aca="false">$H$7*G373</f>
        <v>5.05555555555556</v>
      </c>
      <c r="I373" s="49" t="n">
        <f aca="false">0.5*c_rho*'P3 Energie'!F8*'P3 Energie'!F7*(H373-c_Vv)^2+'P3 Energie'!F13+'P3 Energie'!F15+'P3 Energie'!F6*$H$7</f>
        <v>19047.1711980778</v>
      </c>
      <c r="J373" s="50" t="n">
        <f aca="false">I373*H373</f>
        <v>96294.0321680599</v>
      </c>
    </row>
    <row r="374" customFormat="false" ht="15" hidden="false" customHeight="false" outlineLevel="0" collapsed="false">
      <c r="A374" s="46" t="n">
        <v>365</v>
      </c>
      <c r="B374" s="47" t="n">
        <f aca="false">A374*$C$6</f>
        <v>0.667942659538199</v>
      </c>
      <c r="C374" s="48" t="n">
        <f aca="false">$C$7*B374</f>
        <v>5.06944444444445</v>
      </c>
      <c r="D374" s="49" t="n">
        <f aca="false">0.5*c_rho*'P3 Energie'!E8*'P3 Energie'!E7*(C374-c_Vv)^2+'P3 Energie'!E13+'P3 Energie'!E15+'P3 Energie'!E6*$C$7</f>
        <v>18190.3747844658</v>
      </c>
      <c r="E374" s="50" t="n">
        <f aca="false">D374*C374</f>
        <v>92215.0943934725</v>
      </c>
      <c r="F374" s="46" t="n">
        <v>365</v>
      </c>
      <c r="G374" s="47" t="n">
        <f aca="false">F374*$H$6</f>
        <v>0.666014137611386</v>
      </c>
      <c r="H374" s="48" t="n">
        <f aca="false">$H$7*G374</f>
        <v>5.06944444444445</v>
      </c>
      <c r="I374" s="49" t="n">
        <f aca="false">0.5*c_rho*'P3 Energie'!F8*'P3 Energie'!F7*(H374-c_Vv)^2+'P3 Energie'!F13+'P3 Energie'!F15+'P3 Energie'!F6*$H$7</f>
        <v>19047.2200007465</v>
      </c>
      <c r="J374" s="50" t="n">
        <f aca="false">I374*H374</f>
        <v>96558.8236148956</v>
      </c>
    </row>
    <row r="375" customFormat="false" ht="15" hidden="false" customHeight="false" outlineLevel="0" collapsed="false">
      <c r="A375" s="46" t="n">
        <v>366</v>
      </c>
      <c r="B375" s="47" t="n">
        <f aca="false">A375*$C$6</f>
        <v>0.669772639427344</v>
      </c>
      <c r="C375" s="48" t="n">
        <f aca="false">$C$7*B375</f>
        <v>5.08333333333333</v>
      </c>
      <c r="D375" s="49" t="n">
        <f aca="false">0.5*c_rho*'P3 Energie'!E8*'P3 Energie'!E7*(C375-c_Vv)^2+'P3 Energie'!E13+'P3 Energie'!E15+'P3 Energie'!E6*$C$7</f>
        <v>18190.4311096419</v>
      </c>
      <c r="E375" s="50" t="n">
        <f aca="false">D375*C375</f>
        <v>92468.0248073466</v>
      </c>
      <c r="F375" s="46" t="n">
        <v>366</v>
      </c>
      <c r="G375" s="47" t="n">
        <f aca="false">F375*$H$6</f>
        <v>0.667838833878814</v>
      </c>
      <c r="H375" s="48" t="n">
        <f aca="false">$H$7*G375</f>
        <v>5.08333333333333</v>
      </c>
      <c r="I375" s="49" t="n">
        <f aca="false">0.5*c_rho*'P3 Energie'!F8*'P3 Energie'!F7*(H375-c_Vv)^2+'P3 Energie'!F13+'P3 Energie'!F15+'P3 Energie'!F6*$H$7</f>
        <v>19047.2689373046</v>
      </c>
      <c r="J375" s="50" t="n">
        <f aca="false">I375*H375</f>
        <v>96823.6170979652</v>
      </c>
    </row>
    <row r="376" customFormat="false" ht="15" hidden="false" customHeight="false" outlineLevel="0" collapsed="false">
      <c r="A376" s="46" t="n">
        <v>367</v>
      </c>
      <c r="B376" s="47" t="n">
        <f aca="false">A376*$C$6</f>
        <v>0.67160261931649</v>
      </c>
      <c r="C376" s="48" t="n">
        <f aca="false">$C$7*B376</f>
        <v>5.09722222222222</v>
      </c>
      <c r="D376" s="49" t="n">
        <f aca="false">0.5*c_rho*'P3 Energie'!E8*'P3 Energie'!E7*(C376-c_Vv)^2+'P3 Energie'!E13+'P3 Energie'!E15+'P3 Energie'!E6*$C$7</f>
        <v>18190.4875889225</v>
      </c>
      <c r="E376" s="50" t="n">
        <f aca="false">D376*C376</f>
        <v>92720.9575713135</v>
      </c>
      <c r="F376" s="46" t="n">
        <v>367</v>
      </c>
      <c r="G376" s="47" t="n">
        <f aca="false">F376*$H$6</f>
        <v>0.669663530146243</v>
      </c>
      <c r="H376" s="48" t="n">
        <f aca="false">$H$7*G376</f>
        <v>5.09722222222222</v>
      </c>
      <c r="I376" s="49" t="n">
        <f aca="false">0.5*c_rho*'P3 Energie'!F8*'P3 Energie'!F7*(H376-c_Vv)^2+'P3 Energie'!F13+'P3 Energie'!F15+'P3 Energie'!F6*$H$7</f>
        <v>19047.3180077521</v>
      </c>
      <c r="J376" s="50" t="n">
        <f aca="false">I376*H376</f>
        <v>97088.4126228475</v>
      </c>
    </row>
    <row r="377" customFormat="false" ht="15" hidden="false" customHeight="false" outlineLevel="0" collapsed="false">
      <c r="A377" s="46" t="n">
        <v>368</v>
      </c>
      <c r="B377" s="47" t="n">
        <f aca="false">A377*$C$6</f>
        <v>0.673432599205636</v>
      </c>
      <c r="C377" s="48" t="n">
        <f aca="false">$C$7*B377</f>
        <v>5.11111111111111</v>
      </c>
      <c r="D377" s="49" t="n">
        <f aca="false">0.5*c_rho*'P3 Energie'!E8*'P3 Energie'!E7*(C377-c_Vv)^2+'P3 Energie'!E13+'P3 Energie'!E15+'P3 Energie'!E6*$C$7</f>
        <v>18190.5442223076</v>
      </c>
      <c r="E377" s="50" t="n">
        <f aca="false">D377*C377</f>
        <v>92973.8926917942</v>
      </c>
      <c r="F377" s="46" t="n">
        <v>368</v>
      </c>
      <c r="G377" s="47" t="n">
        <f aca="false">F377*$H$6</f>
        <v>0.671488226413671</v>
      </c>
      <c r="H377" s="48" t="n">
        <f aca="false">$H$7*G377</f>
        <v>5.11111111111111</v>
      </c>
      <c r="I377" s="49" t="n">
        <f aca="false">0.5*c_rho*'P3 Energie'!F8*'P3 Energie'!F7*(H377-c_Vv)^2+'P3 Energie'!F13+'P3 Energie'!F15+'P3 Energie'!F6*$H$7</f>
        <v>19047.3672120889</v>
      </c>
      <c r="J377" s="50" t="n">
        <f aca="false">I377*H377</f>
        <v>97353.210195121</v>
      </c>
    </row>
    <row r="378" customFormat="false" ht="15" hidden="false" customHeight="false" outlineLevel="0" collapsed="false">
      <c r="A378" s="46" t="n">
        <v>369</v>
      </c>
      <c r="B378" s="47" t="n">
        <f aca="false">A378*$C$6</f>
        <v>0.675262579094782</v>
      </c>
      <c r="C378" s="48" t="n">
        <f aca="false">$C$7*B378</f>
        <v>5.125</v>
      </c>
      <c r="D378" s="49" t="n">
        <f aca="false">0.5*c_rho*'P3 Energie'!E8*'P3 Energie'!E7*(C378-c_Vv)^2+'P3 Energie'!E13+'P3 Energie'!E15+'P3 Energie'!E6*$C$7</f>
        <v>18190.601009797</v>
      </c>
      <c r="E378" s="50" t="n">
        <f aca="false">D378*C378</f>
        <v>93226.8301752099</v>
      </c>
      <c r="F378" s="46" t="n">
        <v>369</v>
      </c>
      <c r="G378" s="47" t="n">
        <f aca="false">F378*$H$6</f>
        <v>0.673312922681099</v>
      </c>
      <c r="H378" s="48" t="n">
        <f aca="false">$H$7*G378</f>
        <v>5.125</v>
      </c>
      <c r="I378" s="49" t="n">
        <f aca="false">0.5*c_rho*'P3 Energie'!F8*'P3 Energie'!F7*(H378-c_Vv)^2+'P3 Energie'!F13+'P3 Energie'!F15+'P3 Energie'!F6*$H$7</f>
        <v>19047.416550315</v>
      </c>
      <c r="J378" s="50" t="n">
        <f aca="false">I378*H378</f>
        <v>97618.0098203646</v>
      </c>
    </row>
    <row r="379" customFormat="false" ht="15" hidden="false" customHeight="false" outlineLevel="0" collapsed="false">
      <c r="A379" s="46" t="n">
        <v>370</v>
      </c>
      <c r="B379" s="47" t="n">
        <f aca="false">A379*$C$6</f>
        <v>0.677092558983927</v>
      </c>
      <c r="C379" s="48" t="n">
        <f aca="false">$C$7*B379</f>
        <v>5.13888888888889</v>
      </c>
      <c r="D379" s="49" t="n">
        <f aca="false">0.5*c_rho*'P3 Energie'!E8*'P3 Energie'!E7*(C379-c_Vv)^2+'P3 Energie'!E13+'P3 Energie'!E15+'P3 Energie'!E6*$C$7</f>
        <v>18190.657951391</v>
      </c>
      <c r="E379" s="50" t="n">
        <f aca="false">D379*C379</f>
        <v>93479.7700279814</v>
      </c>
      <c r="F379" s="46" t="n">
        <v>370</v>
      </c>
      <c r="G379" s="47" t="n">
        <f aca="false">F379*$H$6</f>
        <v>0.675137618948528</v>
      </c>
      <c r="H379" s="48" t="n">
        <f aca="false">$H$7*G379</f>
        <v>5.13888888888889</v>
      </c>
      <c r="I379" s="49" t="n">
        <f aca="false">0.5*c_rho*'P3 Energie'!F8*'P3 Energie'!F7*(H379-c_Vv)^2+'P3 Energie'!F13+'P3 Energie'!F15+'P3 Energie'!F6*$H$7</f>
        <v>19047.4660224306</v>
      </c>
      <c r="J379" s="50" t="n">
        <f aca="false">I379*H379</f>
        <v>97882.811504157</v>
      </c>
    </row>
    <row r="380" customFormat="false" ht="15" hidden="false" customHeight="false" outlineLevel="0" collapsed="false">
      <c r="A380" s="46" t="n">
        <v>371</v>
      </c>
      <c r="B380" s="47" t="n">
        <f aca="false">A380*$C$6</f>
        <v>0.678922538873073</v>
      </c>
      <c r="C380" s="48" t="n">
        <f aca="false">$C$7*B380</f>
        <v>5.15277777777778</v>
      </c>
      <c r="D380" s="49" t="n">
        <f aca="false">0.5*c_rho*'P3 Energie'!E8*'P3 Energie'!E7*(C380-c_Vv)^2+'P3 Energie'!E13+'P3 Energie'!E15+'P3 Energie'!E6*$C$7</f>
        <v>18190.7150470894</v>
      </c>
      <c r="E380" s="50" t="n">
        <f aca="false">D380*C380</f>
        <v>93732.7122565299</v>
      </c>
      <c r="F380" s="46" t="n">
        <v>371</v>
      </c>
      <c r="G380" s="47" t="n">
        <f aca="false">F380*$H$6</f>
        <v>0.676962315215956</v>
      </c>
      <c r="H380" s="48" t="n">
        <f aca="false">$H$7*G380</f>
        <v>5.15277777777778</v>
      </c>
      <c r="I380" s="49" t="n">
        <f aca="false">0.5*c_rho*'P3 Energie'!F8*'P3 Energie'!F7*(H380-c_Vv)^2+'P3 Energie'!F13+'P3 Energie'!F15+'P3 Energie'!F6*$H$7</f>
        <v>19047.5156284354</v>
      </c>
      <c r="J380" s="50" t="n">
        <f aca="false">I380*H380</f>
        <v>98147.615252077</v>
      </c>
    </row>
    <row r="381" customFormat="false" ht="15" hidden="false" customHeight="false" outlineLevel="0" collapsed="false">
      <c r="A381" s="46" t="n">
        <v>372</v>
      </c>
      <c r="B381" s="47" t="n">
        <f aca="false">A381*$C$6</f>
        <v>0.680752518762219</v>
      </c>
      <c r="C381" s="48" t="n">
        <f aca="false">$C$7*B381</f>
        <v>5.16666666666667</v>
      </c>
      <c r="D381" s="49" t="n">
        <f aca="false">0.5*c_rho*'P3 Energie'!E8*'P3 Energie'!E7*(C381-c_Vv)^2+'P3 Energie'!E13+'P3 Energie'!E15+'P3 Energie'!E6*$C$7</f>
        <v>18190.7722968922</v>
      </c>
      <c r="E381" s="50" t="n">
        <f aca="false">D381*C381</f>
        <v>93985.6568672763</v>
      </c>
      <c r="F381" s="46" t="n">
        <v>372</v>
      </c>
      <c r="G381" s="47" t="n">
        <f aca="false">F381*$H$6</f>
        <v>0.678787011483385</v>
      </c>
      <c r="H381" s="48" t="n">
        <f aca="false">$H$7*G381</f>
        <v>5.16666666666667</v>
      </c>
      <c r="I381" s="49" t="n">
        <f aca="false">0.5*c_rho*'P3 Energie'!F8*'P3 Energie'!F7*(H381-c_Vv)^2+'P3 Energie'!F13+'P3 Energie'!F15+'P3 Energie'!F6*$H$7</f>
        <v>19047.5653683296</v>
      </c>
      <c r="J381" s="50" t="n">
        <f aca="false">I381*H381</f>
        <v>98412.4210697031</v>
      </c>
    </row>
    <row r="382" customFormat="false" ht="15" hidden="false" customHeight="false" outlineLevel="0" collapsed="false">
      <c r="A382" s="46" t="n">
        <v>373</v>
      </c>
      <c r="B382" s="47" t="n">
        <f aca="false">A382*$C$6</f>
        <v>0.682582498651365</v>
      </c>
      <c r="C382" s="48" t="n">
        <f aca="false">$C$7*B382</f>
        <v>5.18055555555556</v>
      </c>
      <c r="D382" s="49" t="n">
        <f aca="false">0.5*c_rho*'P3 Energie'!E8*'P3 Energie'!E7*(C382-c_Vv)^2+'P3 Energie'!E13+'P3 Energie'!E15+'P3 Energie'!E6*$C$7</f>
        <v>18190.8297007995</v>
      </c>
      <c r="E382" s="50" t="n">
        <f aca="false">D382*C382</f>
        <v>94238.6038666417</v>
      </c>
      <c r="F382" s="46" t="n">
        <v>373</v>
      </c>
      <c r="G382" s="47" t="n">
        <f aca="false">F382*$H$6</f>
        <v>0.680611707750813</v>
      </c>
      <c r="H382" s="48" t="n">
        <f aca="false">$H$7*G382</f>
        <v>5.18055555555556</v>
      </c>
      <c r="I382" s="49" t="n">
        <f aca="false">0.5*c_rho*'P3 Energie'!F8*'P3 Energie'!F7*(H382-c_Vv)^2+'P3 Energie'!F13+'P3 Energie'!F15+'P3 Energie'!F6*$H$7</f>
        <v>19047.6152421132</v>
      </c>
      <c r="J382" s="50" t="n">
        <f aca="false">I382*H382</f>
        <v>98677.2289626142</v>
      </c>
    </row>
    <row r="383" customFormat="false" ht="15" hidden="false" customHeight="false" outlineLevel="0" collapsed="false">
      <c r="A383" s="46" t="n">
        <v>374</v>
      </c>
      <c r="B383" s="47" t="n">
        <f aca="false">A383*$C$6</f>
        <v>0.68441247854051</v>
      </c>
      <c r="C383" s="48" t="n">
        <f aca="false">$C$7*B383</f>
        <v>5.19444444444445</v>
      </c>
      <c r="D383" s="49" t="n">
        <f aca="false">0.5*c_rho*'P3 Energie'!E8*'P3 Energie'!E7*(C383-c_Vv)^2+'P3 Energie'!E13+'P3 Energie'!E15+'P3 Energie'!E6*$C$7</f>
        <v>18190.8872588112</v>
      </c>
      <c r="E383" s="50" t="n">
        <f aca="false">D383*C383</f>
        <v>94491.5532610471</v>
      </c>
      <c r="F383" s="46" t="n">
        <v>374</v>
      </c>
      <c r="G383" s="47" t="n">
        <f aca="false">F383*$H$6</f>
        <v>0.682436404018242</v>
      </c>
      <c r="H383" s="48" t="n">
        <f aca="false">$H$7*G383</f>
        <v>5.19444444444445</v>
      </c>
      <c r="I383" s="49" t="n">
        <f aca="false">0.5*c_rho*'P3 Energie'!F8*'P3 Energie'!F7*(H383-c_Vv)^2+'P3 Energie'!F13+'P3 Energie'!F15+'P3 Energie'!F6*$H$7</f>
        <v>19047.6652497861</v>
      </c>
      <c r="J383" s="50" t="n">
        <f aca="false">I383*H383</f>
        <v>98942.038936389</v>
      </c>
    </row>
    <row r="384" customFormat="false" ht="15" hidden="false" customHeight="false" outlineLevel="0" collapsed="false">
      <c r="A384" s="46" t="n">
        <v>375</v>
      </c>
      <c r="B384" s="47" t="n">
        <f aca="false">A384*$C$6</f>
        <v>0.686242458429656</v>
      </c>
      <c r="C384" s="48" t="n">
        <f aca="false">$C$7*B384</f>
        <v>5.20833333333333</v>
      </c>
      <c r="D384" s="49" t="n">
        <f aca="false">0.5*c_rho*'P3 Energie'!E8*'P3 Energie'!E7*(C384-c_Vv)^2+'P3 Energie'!E13+'P3 Energie'!E15+'P3 Energie'!E6*$C$7</f>
        <v>18190.9449709274</v>
      </c>
      <c r="E384" s="50" t="n">
        <f aca="false">D384*C384</f>
        <v>94744.5050569134</v>
      </c>
      <c r="F384" s="46" t="n">
        <v>375</v>
      </c>
      <c r="G384" s="47" t="n">
        <f aca="false">F384*$H$6</f>
        <v>0.68426110028567</v>
      </c>
      <c r="H384" s="48" t="n">
        <f aca="false">$H$7*G384</f>
        <v>5.20833333333333</v>
      </c>
      <c r="I384" s="49" t="n">
        <f aca="false">0.5*c_rho*'P3 Energie'!F8*'P3 Energie'!F7*(H384-c_Vv)^2+'P3 Energie'!F13+'P3 Energie'!F15+'P3 Energie'!F6*$H$7</f>
        <v>19047.7153913484</v>
      </c>
      <c r="J384" s="50" t="n">
        <f aca="false">I384*H384</f>
        <v>99206.8509966062</v>
      </c>
    </row>
    <row r="385" customFormat="false" ht="15" hidden="false" customHeight="false" outlineLevel="0" collapsed="false">
      <c r="A385" s="46" t="n">
        <v>376</v>
      </c>
      <c r="B385" s="47" t="n">
        <f aca="false">A385*$C$6</f>
        <v>0.688072438318802</v>
      </c>
      <c r="C385" s="48" t="n">
        <f aca="false">$C$7*B385</f>
        <v>5.22222222222222</v>
      </c>
      <c r="D385" s="49" t="n">
        <f aca="false">0.5*c_rho*'P3 Energie'!E8*'P3 Energie'!E7*(C385-c_Vv)^2+'P3 Energie'!E13+'P3 Energie'!E15+'P3 Energie'!E6*$C$7</f>
        <v>18191.002837148</v>
      </c>
      <c r="E385" s="50" t="n">
        <f aca="false">D385*C385</f>
        <v>94997.4592606618</v>
      </c>
      <c r="F385" s="46" t="n">
        <v>376</v>
      </c>
      <c r="G385" s="47" t="n">
        <f aca="false">F385*$H$6</f>
        <v>0.686085796553099</v>
      </c>
      <c r="H385" s="48" t="n">
        <f aca="false">$H$7*G385</f>
        <v>5.22222222222222</v>
      </c>
      <c r="I385" s="49" t="n">
        <f aca="false">0.5*c_rho*'P3 Energie'!F8*'P3 Energie'!F7*(H385-c_Vv)^2+'P3 Energie'!F13+'P3 Energie'!F15+'P3 Energie'!F6*$H$7</f>
        <v>19047.7656668</v>
      </c>
      <c r="J385" s="50" t="n">
        <f aca="false">I385*H385</f>
        <v>99471.6651488445</v>
      </c>
    </row>
    <row r="386" customFormat="false" ht="15" hidden="false" customHeight="false" outlineLevel="0" collapsed="false">
      <c r="A386" s="46" t="n">
        <v>377</v>
      </c>
      <c r="B386" s="47" t="n">
        <f aca="false">A386*$C$6</f>
        <v>0.689902418207948</v>
      </c>
      <c r="C386" s="48" t="n">
        <f aca="false">$C$7*B386</f>
        <v>5.23611111111111</v>
      </c>
      <c r="D386" s="49" t="n">
        <f aca="false">0.5*c_rho*'P3 Energie'!E8*'P3 Energie'!E7*(C386-c_Vv)^2+'P3 Energie'!E13+'P3 Energie'!E15+'P3 Energie'!E6*$C$7</f>
        <v>18191.0608574731</v>
      </c>
      <c r="E386" s="50" t="n">
        <f aca="false">D386*C386</f>
        <v>95250.4158787132</v>
      </c>
      <c r="F386" s="46" t="n">
        <v>377</v>
      </c>
      <c r="G386" s="47" t="n">
        <f aca="false">F386*$H$6</f>
        <v>0.687910492820527</v>
      </c>
      <c r="H386" s="48" t="n">
        <f aca="false">$H$7*G386</f>
        <v>5.23611111111111</v>
      </c>
      <c r="I386" s="49" t="n">
        <f aca="false">0.5*c_rho*'P3 Energie'!F8*'P3 Energie'!F7*(H386-c_Vv)^2+'P3 Energie'!F13+'P3 Energie'!F15+'P3 Energie'!F6*$H$7</f>
        <v>19047.816076141</v>
      </c>
      <c r="J386" s="50" t="n">
        <f aca="false">I386*H386</f>
        <v>99736.4813986826</v>
      </c>
    </row>
    <row r="387" customFormat="false" ht="15" hidden="false" customHeight="false" outlineLevel="0" collapsed="false">
      <c r="A387" s="46" t="n">
        <v>378</v>
      </c>
      <c r="B387" s="47" t="n">
        <f aca="false">A387*$C$6</f>
        <v>0.691732398097093</v>
      </c>
      <c r="C387" s="48" t="n">
        <f aca="false">$C$7*B387</f>
        <v>5.25</v>
      </c>
      <c r="D387" s="49" t="n">
        <f aca="false">0.5*c_rho*'P3 Energie'!E8*'P3 Energie'!E7*(C387-c_Vv)^2+'P3 Energie'!E13+'P3 Energie'!E15+'P3 Energie'!E6*$C$7</f>
        <v>18191.1190319026</v>
      </c>
      <c r="E387" s="50" t="n">
        <f aca="false">D387*C387</f>
        <v>95503.3749174887</v>
      </c>
      <c r="F387" s="46" t="n">
        <v>378</v>
      </c>
      <c r="G387" s="47" t="n">
        <f aca="false">F387*$H$6</f>
        <v>0.689735189087955</v>
      </c>
      <c r="H387" s="48" t="n">
        <f aca="false">$H$7*G387</f>
        <v>5.25</v>
      </c>
      <c r="I387" s="49" t="n">
        <f aca="false">0.5*c_rho*'P3 Energie'!F8*'P3 Energie'!F7*(H387-c_Vv)^2+'P3 Energie'!F13+'P3 Energie'!F15+'P3 Energie'!F6*$H$7</f>
        <v>19047.8666193713</v>
      </c>
      <c r="J387" s="50" t="n">
        <f aca="false">I387*H387</f>
        <v>100001.299751699</v>
      </c>
    </row>
    <row r="388" customFormat="false" ht="15" hidden="false" customHeight="false" outlineLevel="0" collapsed="false">
      <c r="A388" s="46" t="n">
        <v>379</v>
      </c>
      <c r="B388" s="47" t="n">
        <f aca="false">A388*$C$6</f>
        <v>0.693562377986239</v>
      </c>
      <c r="C388" s="48" t="n">
        <f aca="false">$C$7*B388</f>
        <v>5.26388888888889</v>
      </c>
      <c r="D388" s="49" t="n">
        <f aca="false">0.5*c_rho*'P3 Energie'!E8*'P3 Energie'!E7*(C388-c_Vv)^2+'P3 Energie'!E13+'P3 Energie'!E15+'P3 Energie'!E6*$C$7</f>
        <v>18191.1773604366</v>
      </c>
      <c r="E388" s="50" t="n">
        <f aca="false">D388*C388</f>
        <v>95756.3363834093</v>
      </c>
      <c r="F388" s="46" t="n">
        <v>379</v>
      </c>
      <c r="G388" s="47" t="n">
        <f aca="false">F388*$H$6</f>
        <v>0.691559885355384</v>
      </c>
      <c r="H388" s="48" t="n">
        <f aca="false">$H$7*G388</f>
        <v>5.26388888888889</v>
      </c>
      <c r="I388" s="49" t="n">
        <f aca="false">0.5*c_rho*'P3 Energie'!F8*'P3 Energie'!F7*(H388-c_Vv)^2+'P3 Energie'!F13+'P3 Energie'!F15+'P3 Energie'!F6*$H$7</f>
        <v>19047.917296491</v>
      </c>
      <c r="J388" s="50" t="n">
        <f aca="false">I388*H388</f>
        <v>100266.120213473</v>
      </c>
    </row>
    <row r="389" customFormat="false" ht="15" hidden="false" customHeight="false" outlineLevel="0" collapsed="false">
      <c r="A389" s="46" t="n">
        <v>380</v>
      </c>
      <c r="B389" s="47" t="n">
        <f aca="false">A389*$C$6</f>
        <v>0.695392357875385</v>
      </c>
      <c r="C389" s="48" t="n">
        <f aca="false">$C$7*B389</f>
        <v>5.27777777777778</v>
      </c>
      <c r="D389" s="49" t="n">
        <f aca="false">0.5*c_rho*'P3 Energie'!E8*'P3 Energie'!E7*(C389-c_Vv)^2+'P3 Energie'!E13+'P3 Energie'!E15+'P3 Energie'!E6*$C$7</f>
        <v>18191.235843075</v>
      </c>
      <c r="E389" s="50" t="n">
        <f aca="false">D389*C389</f>
        <v>96009.3002828959</v>
      </c>
      <c r="F389" s="46" t="n">
        <v>380</v>
      </c>
      <c r="G389" s="47" t="n">
        <f aca="false">F389*$H$6</f>
        <v>0.693384581622812</v>
      </c>
      <c r="H389" s="48" t="n">
        <f aca="false">$H$7*G389</f>
        <v>5.27777777777778</v>
      </c>
      <c r="I389" s="49" t="n">
        <f aca="false">0.5*c_rho*'P3 Energie'!F8*'P3 Energie'!F7*(H389-c_Vv)^2+'P3 Energie'!F13+'P3 Energie'!F15+'P3 Energie'!F6*$H$7</f>
        <v>19047.9681075</v>
      </c>
      <c r="J389" s="50" t="n">
        <f aca="false">I389*H389</f>
        <v>100530.942789583</v>
      </c>
    </row>
    <row r="390" customFormat="false" ht="15" hidden="false" customHeight="false" outlineLevel="0" collapsed="false">
      <c r="A390" s="46" t="n">
        <v>381</v>
      </c>
      <c r="B390" s="47" t="n">
        <f aca="false">A390*$C$6</f>
        <v>0.697222337764531</v>
      </c>
      <c r="C390" s="48" t="n">
        <f aca="false">$C$7*B390</f>
        <v>5.29166666666667</v>
      </c>
      <c r="D390" s="49" t="n">
        <f aca="false">0.5*c_rho*'P3 Energie'!E8*'P3 Energie'!E7*(C390-c_Vv)^2+'P3 Energie'!E13+'P3 Energie'!E15+'P3 Energie'!E6*$C$7</f>
        <v>18191.2944798179</v>
      </c>
      <c r="E390" s="50" t="n">
        <f aca="false">D390*C390</f>
        <v>96262.2666223696</v>
      </c>
      <c r="F390" s="46" t="n">
        <v>381</v>
      </c>
      <c r="G390" s="47" t="n">
        <f aca="false">F390*$H$6</f>
        <v>0.695209277890241</v>
      </c>
      <c r="H390" s="48" t="n">
        <f aca="false">$H$7*G390</f>
        <v>5.29166666666667</v>
      </c>
      <c r="I390" s="49" t="n">
        <f aca="false">0.5*c_rho*'P3 Energie'!F8*'P3 Energie'!F7*(H390-c_Vv)^2+'P3 Energie'!F13+'P3 Energie'!F15+'P3 Energie'!F6*$H$7</f>
        <v>19048.0190523984</v>
      </c>
      <c r="J390" s="50" t="n">
        <f aca="false">I390*H390</f>
        <v>100795.767485608</v>
      </c>
    </row>
    <row r="391" customFormat="false" ht="15" hidden="false" customHeight="false" outlineLevel="0" collapsed="false">
      <c r="A391" s="46" t="n">
        <v>382</v>
      </c>
      <c r="B391" s="47" t="n">
        <f aca="false">A391*$C$6</f>
        <v>0.699052317653676</v>
      </c>
      <c r="C391" s="48" t="n">
        <f aca="false">$C$7*B391</f>
        <v>5.30555555555556</v>
      </c>
      <c r="D391" s="49" t="n">
        <f aca="false">0.5*c_rho*'P3 Energie'!E8*'P3 Energie'!E7*(C391-c_Vv)^2+'P3 Energie'!E13+'P3 Energie'!E15+'P3 Energie'!E6*$C$7</f>
        <v>18191.3532706652</v>
      </c>
      <c r="E391" s="50" t="n">
        <f aca="false">D391*C391</f>
        <v>96515.2354082515</v>
      </c>
      <c r="F391" s="46" t="n">
        <v>382</v>
      </c>
      <c r="G391" s="47" t="n">
        <f aca="false">F391*$H$6</f>
        <v>0.697033974157669</v>
      </c>
      <c r="H391" s="48" t="n">
        <f aca="false">$H$7*G391</f>
        <v>5.30555555555556</v>
      </c>
      <c r="I391" s="49" t="n">
        <f aca="false">0.5*c_rho*'P3 Energie'!F8*'P3 Energie'!F7*(H391-c_Vv)^2+'P3 Energie'!F13+'P3 Energie'!F15+'P3 Energie'!F6*$H$7</f>
        <v>19048.0701311861</v>
      </c>
      <c r="J391" s="50" t="n">
        <f aca="false">I391*H391</f>
        <v>101060.594307126</v>
      </c>
    </row>
    <row r="392" customFormat="false" ht="15" hidden="false" customHeight="false" outlineLevel="0" collapsed="false">
      <c r="A392" s="46" t="n">
        <v>383</v>
      </c>
      <c r="B392" s="47" t="n">
        <f aca="false">A392*$C$6</f>
        <v>0.700882297542822</v>
      </c>
      <c r="C392" s="48" t="n">
        <f aca="false">$C$7*B392</f>
        <v>5.31944444444445</v>
      </c>
      <c r="D392" s="49" t="n">
        <f aca="false">0.5*c_rho*'P3 Energie'!E8*'P3 Energie'!E7*(C392-c_Vv)^2+'P3 Energie'!E13+'P3 Energie'!E15+'P3 Energie'!E6*$C$7</f>
        <v>18191.412215617</v>
      </c>
      <c r="E392" s="50" t="n">
        <f aca="false">D392*C392</f>
        <v>96768.2066469625</v>
      </c>
      <c r="F392" s="46" t="n">
        <v>383</v>
      </c>
      <c r="G392" s="47" t="n">
        <f aca="false">F392*$H$6</f>
        <v>0.698858670425098</v>
      </c>
      <c r="H392" s="48" t="n">
        <f aca="false">$H$7*G392</f>
        <v>5.31944444444445</v>
      </c>
      <c r="I392" s="49" t="n">
        <f aca="false">0.5*c_rho*'P3 Energie'!F8*'P3 Energie'!F7*(H392-c_Vv)^2+'P3 Energie'!F13+'P3 Energie'!F15+'P3 Energie'!F6*$H$7</f>
        <v>19048.1213438632</v>
      </c>
      <c r="J392" s="50" t="n">
        <f aca="false">I392*H392</f>
        <v>101325.423259717</v>
      </c>
    </row>
    <row r="393" customFormat="false" ht="15" hidden="false" customHeight="false" outlineLevel="0" collapsed="false">
      <c r="A393" s="46" t="n">
        <v>384</v>
      </c>
      <c r="B393" s="47" t="n">
        <f aca="false">A393*$C$6</f>
        <v>0.702712277431968</v>
      </c>
      <c r="C393" s="48" t="n">
        <f aca="false">$C$7*B393</f>
        <v>5.33333333333333</v>
      </c>
      <c r="D393" s="49" t="n">
        <f aca="false">0.5*c_rho*'P3 Energie'!E8*'P3 Energie'!E7*(C393-c_Vv)^2+'P3 Energie'!E13+'P3 Energie'!E15+'P3 Energie'!E6*$C$7</f>
        <v>18191.4713146732</v>
      </c>
      <c r="E393" s="50" t="n">
        <f aca="false">D393*C393</f>
        <v>97021.1803449237</v>
      </c>
      <c r="F393" s="46" t="n">
        <v>384</v>
      </c>
      <c r="G393" s="47" t="n">
        <f aca="false">F393*$H$6</f>
        <v>0.700683366692526</v>
      </c>
      <c r="H393" s="48" t="n">
        <f aca="false">$H$7*G393</f>
        <v>5.33333333333333</v>
      </c>
      <c r="I393" s="49" t="n">
        <f aca="false">0.5*c_rho*'P3 Energie'!F8*'P3 Energie'!F7*(H393-c_Vv)^2+'P3 Energie'!F13+'P3 Energie'!F15+'P3 Energie'!F6*$H$7</f>
        <v>19048.1726904296</v>
      </c>
      <c r="J393" s="50" t="n">
        <f aca="false">I393*H393</f>
        <v>101590.254348958</v>
      </c>
    </row>
    <row r="394" customFormat="false" ht="15" hidden="false" customHeight="false" outlineLevel="0" collapsed="false">
      <c r="A394" s="46" t="n">
        <v>385</v>
      </c>
      <c r="B394" s="47" t="n">
        <f aca="false">A394*$C$6</f>
        <v>0.704542257321114</v>
      </c>
      <c r="C394" s="48" t="n">
        <f aca="false">$C$7*B394</f>
        <v>5.34722222222222</v>
      </c>
      <c r="D394" s="49" t="n">
        <f aca="false">0.5*c_rho*'P3 Energie'!E8*'P3 Energie'!E7*(C394-c_Vv)^2+'P3 Energie'!E13+'P3 Energie'!E15+'P3 Energie'!E6*$C$7</f>
        <v>18191.5305678339</v>
      </c>
      <c r="E394" s="50" t="n">
        <f aca="false">D394*C394</f>
        <v>97274.1565085561</v>
      </c>
      <c r="F394" s="46" t="n">
        <v>385</v>
      </c>
      <c r="G394" s="47" t="n">
        <f aca="false">F394*$H$6</f>
        <v>0.702508062959955</v>
      </c>
      <c r="H394" s="48" t="n">
        <f aca="false">$H$7*G394</f>
        <v>5.34722222222222</v>
      </c>
      <c r="I394" s="49" t="n">
        <f aca="false">0.5*c_rho*'P3 Energie'!F8*'P3 Energie'!F7*(H394-c_Vv)^2+'P3 Energie'!F13+'P3 Energie'!F15+'P3 Energie'!F6*$H$7</f>
        <v>19048.2241708854</v>
      </c>
      <c r="J394" s="50" t="n">
        <f aca="false">I394*H394</f>
        <v>101855.087580429</v>
      </c>
    </row>
    <row r="395" customFormat="false" ht="15" hidden="false" customHeight="false" outlineLevel="0" collapsed="false">
      <c r="A395" s="46" t="n">
        <v>386</v>
      </c>
      <c r="B395" s="47" t="n">
        <f aca="false">A395*$C$6</f>
        <v>0.706372237210259</v>
      </c>
      <c r="C395" s="48" t="n">
        <f aca="false">$C$7*B395</f>
        <v>5.36111111111111</v>
      </c>
      <c r="D395" s="49" t="n">
        <f aca="false">0.5*c_rho*'P3 Energie'!E8*'P3 Energie'!E7*(C395-c_Vv)^2+'P3 Energie'!E13+'P3 Energie'!E15+'P3 Energie'!E6*$C$7</f>
        <v>18191.589975099</v>
      </c>
      <c r="E395" s="50" t="n">
        <f aca="false">D395*C395</f>
        <v>97527.1351442806</v>
      </c>
      <c r="F395" s="46" t="n">
        <v>386</v>
      </c>
      <c r="G395" s="47" t="n">
        <f aca="false">F395*$H$6</f>
        <v>0.704332759227383</v>
      </c>
      <c r="H395" s="48" t="n">
        <f aca="false">$H$7*G395</f>
        <v>5.36111111111111</v>
      </c>
      <c r="I395" s="49" t="n">
        <f aca="false">0.5*c_rho*'P3 Energie'!F8*'P3 Energie'!F7*(H395-c_Vv)^2+'P3 Energie'!F13+'P3 Energie'!F15+'P3 Energie'!F6*$H$7</f>
        <v>19048.2757852306</v>
      </c>
      <c r="J395" s="50" t="n">
        <f aca="false">I395*H395</f>
        <v>102119.922959708</v>
      </c>
    </row>
    <row r="396" customFormat="false" ht="15" hidden="false" customHeight="false" outlineLevel="0" collapsed="false">
      <c r="A396" s="46" t="n">
        <v>387</v>
      </c>
      <c r="B396" s="47" t="n">
        <f aca="false">A396*$C$6</f>
        <v>0.708202217099405</v>
      </c>
      <c r="C396" s="48" t="n">
        <f aca="false">$C$7*B396</f>
        <v>5.375</v>
      </c>
      <c r="D396" s="49" t="n">
        <f aca="false">0.5*c_rho*'P3 Energie'!E8*'P3 Energie'!E7*(C396-c_Vv)^2+'P3 Energie'!E13+'P3 Energie'!E15+'P3 Energie'!E6*$C$7</f>
        <v>18191.6495364685</v>
      </c>
      <c r="E396" s="50" t="n">
        <f aca="false">D396*C396</f>
        <v>97780.1162585184</v>
      </c>
      <c r="F396" s="46" t="n">
        <v>387</v>
      </c>
      <c r="G396" s="47" t="n">
        <f aca="false">F396*$H$6</f>
        <v>0.706157455494812</v>
      </c>
      <c r="H396" s="48" t="n">
        <f aca="false">$H$7*G396</f>
        <v>5.375</v>
      </c>
      <c r="I396" s="49" t="n">
        <f aca="false">0.5*c_rho*'P3 Energie'!F8*'P3 Energie'!F7*(H396-c_Vv)^2+'P3 Energie'!F13+'P3 Energie'!F15+'P3 Energie'!F6*$H$7</f>
        <v>19048.327533465</v>
      </c>
      <c r="J396" s="50" t="n">
        <f aca="false">I396*H396</f>
        <v>102384.760492375</v>
      </c>
    </row>
    <row r="397" customFormat="false" ht="15" hidden="false" customHeight="false" outlineLevel="0" collapsed="false">
      <c r="A397" s="46" t="n">
        <v>388</v>
      </c>
      <c r="B397" s="47" t="n">
        <f aca="false">A397*$C$6</f>
        <v>0.710032196988551</v>
      </c>
      <c r="C397" s="48" t="n">
        <f aca="false">$C$7*B397</f>
        <v>5.38888888888889</v>
      </c>
      <c r="D397" s="49" t="n">
        <f aca="false">0.5*c_rho*'P3 Energie'!E8*'P3 Energie'!E7*(C397-c_Vv)^2+'P3 Energie'!E13+'P3 Energie'!E15+'P3 Energie'!E6*$C$7</f>
        <v>18191.7092519426</v>
      </c>
      <c r="E397" s="50" t="n">
        <f aca="false">D397*C397</f>
        <v>98033.0998576905</v>
      </c>
      <c r="F397" s="46" t="n">
        <v>388</v>
      </c>
      <c r="G397" s="47" t="n">
        <f aca="false">F397*$H$6</f>
        <v>0.70798215176224</v>
      </c>
      <c r="H397" s="48" t="n">
        <f aca="false">$H$7*G397</f>
        <v>5.38888888888889</v>
      </c>
      <c r="I397" s="49" t="n">
        <f aca="false">0.5*c_rho*'P3 Energie'!F8*'P3 Energie'!F7*(H397-c_Vv)^2+'P3 Energie'!F13+'P3 Energie'!F15+'P3 Energie'!F6*$H$7</f>
        <v>19048.3794155889</v>
      </c>
      <c r="J397" s="50" t="n">
        <f aca="false">I397*H397</f>
        <v>102649.600184007</v>
      </c>
    </row>
    <row r="398" customFormat="false" ht="15" hidden="false" customHeight="false" outlineLevel="0" collapsed="false">
      <c r="A398" s="46" t="n">
        <v>389</v>
      </c>
      <c r="B398" s="47" t="n">
        <f aca="false">A398*$C$6</f>
        <v>0.711862176877697</v>
      </c>
      <c r="C398" s="48" t="n">
        <f aca="false">$C$7*B398</f>
        <v>5.40277777777778</v>
      </c>
      <c r="D398" s="49" t="n">
        <f aca="false">0.5*c_rho*'P3 Energie'!E8*'P3 Energie'!E7*(C398-c_Vv)^2+'P3 Energie'!E13+'P3 Energie'!E15+'P3 Energie'!E6*$C$7</f>
        <v>18191.769121521</v>
      </c>
      <c r="E398" s="50" t="n">
        <f aca="false">D398*C398</f>
        <v>98286.0859482178</v>
      </c>
      <c r="F398" s="46" t="n">
        <v>389</v>
      </c>
      <c r="G398" s="47" t="n">
        <f aca="false">F398*$H$6</f>
        <v>0.709806848029668</v>
      </c>
      <c r="H398" s="48" t="n">
        <f aca="false">$H$7*G398</f>
        <v>5.40277777777778</v>
      </c>
      <c r="I398" s="49" t="n">
        <f aca="false">0.5*c_rho*'P3 Energie'!F8*'P3 Energie'!F7*(H398-c_Vv)^2+'P3 Energie'!F13+'P3 Energie'!F15+'P3 Energie'!F6*$H$7</f>
        <v>19048.4314316021</v>
      </c>
      <c r="J398" s="50" t="n">
        <f aca="false">I398*H398</f>
        <v>102914.442040184</v>
      </c>
    </row>
    <row r="399" customFormat="false" ht="15" hidden="false" customHeight="false" outlineLevel="0" collapsed="false">
      <c r="A399" s="46" t="n">
        <v>390</v>
      </c>
      <c r="B399" s="47" t="n">
        <f aca="false">A399*$C$6</f>
        <v>0.713692156766842</v>
      </c>
      <c r="C399" s="48" t="n">
        <f aca="false">$C$7*B399</f>
        <v>5.41666666666667</v>
      </c>
      <c r="D399" s="49" t="n">
        <f aca="false">0.5*c_rho*'P3 Energie'!E8*'P3 Energie'!E7*(C399-c_Vv)^2+'P3 Energie'!E13+'P3 Energie'!E15+'P3 Energie'!E6*$C$7</f>
        <v>18191.8291452039</v>
      </c>
      <c r="E399" s="50" t="n">
        <f aca="false">D399*C399</f>
        <v>98539.0745365214</v>
      </c>
      <c r="F399" s="46" t="n">
        <v>390</v>
      </c>
      <c r="G399" s="47" t="n">
        <f aca="false">F399*$H$6</f>
        <v>0.711631544297097</v>
      </c>
      <c r="H399" s="48" t="n">
        <f aca="false">$H$7*G399</f>
        <v>5.41666666666667</v>
      </c>
      <c r="I399" s="49" t="n">
        <f aca="false">0.5*c_rho*'P3 Energie'!F8*'P3 Energie'!F7*(H399-c_Vv)^2+'P3 Energie'!F13+'P3 Energie'!F15+'P3 Energie'!F6*$H$7</f>
        <v>19048.4835815046</v>
      </c>
      <c r="J399" s="50" t="n">
        <f aca="false">I399*H399</f>
        <v>103179.286066483</v>
      </c>
    </row>
    <row r="400" customFormat="false" ht="15" hidden="false" customHeight="false" outlineLevel="0" collapsed="false">
      <c r="A400" s="46" t="n">
        <v>391</v>
      </c>
      <c r="B400" s="47" t="n">
        <f aca="false">A400*$C$6</f>
        <v>0.715522136655988</v>
      </c>
      <c r="C400" s="48" t="n">
        <f aca="false">$C$7*B400</f>
        <v>5.43055555555556</v>
      </c>
      <c r="D400" s="49" t="n">
        <f aca="false">0.5*c_rho*'P3 Energie'!E8*'P3 Energie'!E7*(C400-c_Vv)^2+'P3 Energie'!E13+'P3 Energie'!E15+'P3 Energie'!E6*$C$7</f>
        <v>18191.8893229913</v>
      </c>
      <c r="E400" s="50" t="n">
        <f aca="false">D400*C400</f>
        <v>98792.0656290222</v>
      </c>
      <c r="F400" s="46" t="n">
        <v>391</v>
      </c>
      <c r="G400" s="47" t="n">
        <f aca="false">F400*$H$6</f>
        <v>0.713456240564525</v>
      </c>
      <c r="H400" s="48" t="n">
        <f aca="false">$H$7*G400</f>
        <v>5.43055555555556</v>
      </c>
      <c r="I400" s="49" t="n">
        <f aca="false">0.5*c_rho*'P3 Energie'!F8*'P3 Energie'!F7*(H400-c_Vv)^2+'P3 Energie'!F13+'P3 Energie'!F15+'P3 Energie'!F6*$H$7</f>
        <v>19048.5358652965</v>
      </c>
      <c r="J400" s="50" t="n">
        <f aca="false">I400*H400</f>
        <v>103444.132268485</v>
      </c>
    </row>
    <row r="401" customFormat="false" ht="15" hidden="false" customHeight="false" outlineLevel="0" collapsed="false">
      <c r="A401" s="46" t="n">
        <v>392</v>
      </c>
      <c r="B401" s="47" t="n">
        <f aca="false">A401*$C$6</f>
        <v>0.717352116545134</v>
      </c>
      <c r="C401" s="48" t="n">
        <f aca="false">$C$7*B401</f>
        <v>5.44444444444445</v>
      </c>
      <c r="D401" s="49" t="n">
        <f aca="false">0.5*c_rho*'P3 Energie'!E8*'P3 Energie'!E7*(C401-c_Vv)^2+'P3 Energie'!E13+'P3 Energie'!E15+'P3 Energie'!E6*$C$7</f>
        <v>18191.9496548831</v>
      </c>
      <c r="E401" s="50" t="n">
        <f aca="false">D401*C401</f>
        <v>99045.0592321414</v>
      </c>
      <c r="F401" s="46" t="n">
        <v>392</v>
      </c>
      <c r="G401" s="47" t="n">
        <f aca="false">F401*$H$6</f>
        <v>0.715280936831954</v>
      </c>
      <c r="H401" s="48" t="n">
        <f aca="false">$H$7*G401</f>
        <v>5.44444444444445</v>
      </c>
      <c r="I401" s="49" t="n">
        <f aca="false">0.5*c_rho*'P3 Energie'!F8*'P3 Energie'!F7*(H401-c_Vv)^2+'P3 Energie'!F13+'P3 Energie'!F15+'P3 Energie'!F6*$H$7</f>
        <v>19048.5882829778</v>
      </c>
      <c r="J401" s="50" t="n">
        <f aca="false">I401*H401</f>
        <v>103708.980651768</v>
      </c>
    </row>
    <row r="402" customFormat="false" ht="15" hidden="false" customHeight="false" outlineLevel="0" collapsed="false">
      <c r="A402" s="46" t="n">
        <v>393</v>
      </c>
      <c r="B402" s="47" t="n">
        <f aca="false">A402*$C$6</f>
        <v>0.71918209643428</v>
      </c>
      <c r="C402" s="48" t="n">
        <f aca="false">$C$7*B402</f>
        <v>5.45833333333333</v>
      </c>
      <c r="D402" s="49" t="n">
        <f aca="false">0.5*c_rho*'P3 Energie'!E8*'P3 Energie'!E7*(C402-c_Vv)^2+'P3 Energie'!E13+'P3 Energie'!E15+'P3 Energie'!E6*$C$7</f>
        <v>18192.0101408794</v>
      </c>
      <c r="E402" s="50" t="n">
        <f aca="false">D402*C402</f>
        <v>99298.0553523</v>
      </c>
      <c r="F402" s="46" t="n">
        <v>393</v>
      </c>
      <c r="G402" s="47" t="n">
        <f aca="false">F402*$H$6</f>
        <v>0.717105633099382</v>
      </c>
      <c r="H402" s="48" t="n">
        <f aca="false">$H$7*G402</f>
        <v>5.45833333333333</v>
      </c>
      <c r="I402" s="49" t="n">
        <f aca="false">0.5*c_rho*'P3 Energie'!F8*'P3 Energie'!F7*(H402-c_Vv)^2+'P3 Energie'!F13+'P3 Energie'!F15+'P3 Energie'!F6*$H$7</f>
        <v>19048.6408345484</v>
      </c>
      <c r="J402" s="50" t="n">
        <f aca="false">I402*H402</f>
        <v>103973.83122191</v>
      </c>
    </row>
    <row r="403" customFormat="false" ht="15" hidden="false" customHeight="false" outlineLevel="0" collapsed="false">
      <c r="A403" s="46" t="n">
        <v>394</v>
      </c>
      <c r="B403" s="47" t="n">
        <f aca="false">A403*$C$6</f>
        <v>0.721012076323425</v>
      </c>
      <c r="C403" s="48" t="n">
        <f aca="false">$C$7*B403</f>
        <v>5.47222222222222</v>
      </c>
      <c r="D403" s="49" t="n">
        <f aca="false">0.5*c_rho*'P3 Energie'!E8*'P3 Energie'!E7*(C403-c_Vv)^2+'P3 Energie'!E13+'P3 Energie'!E15+'P3 Energie'!E6*$C$7</f>
        <v>18192.0707809801</v>
      </c>
      <c r="E403" s="50" t="n">
        <f aca="false">D403*C403</f>
        <v>99551.0539959188</v>
      </c>
      <c r="F403" s="46" t="n">
        <v>394</v>
      </c>
      <c r="G403" s="47" t="n">
        <f aca="false">F403*$H$6</f>
        <v>0.718930329366811</v>
      </c>
      <c r="H403" s="48" t="n">
        <f aca="false">$H$7*G403</f>
        <v>5.47222222222222</v>
      </c>
      <c r="I403" s="49" t="n">
        <f aca="false">0.5*c_rho*'P3 Energie'!F8*'P3 Energie'!F7*(H403-c_Vv)^2+'P3 Energie'!F13+'P3 Energie'!F15+'P3 Energie'!F6*$H$7</f>
        <v>19048.6935200083</v>
      </c>
      <c r="J403" s="50" t="n">
        <f aca="false">I403*H403</f>
        <v>104238.68398449</v>
      </c>
    </row>
    <row r="404" customFormat="false" ht="15" hidden="false" customHeight="false" outlineLevel="0" collapsed="false">
      <c r="A404" s="46" t="n">
        <v>395</v>
      </c>
      <c r="B404" s="47" t="n">
        <f aca="false">A404*$C$6</f>
        <v>0.722842056212571</v>
      </c>
      <c r="C404" s="48" t="n">
        <f aca="false">$C$7*B404</f>
        <v>5.48611111111111</v>
      </c>
      <c r="D404" s="49" t="n">
        <f aca="false">0.5*c_rho*'P3 Energie'!E8*'P3 Energie'!E7*(C404-c_Vv)^2+'P3 Energie'!E13+'P3 Energie'!E15+'P3 Energie'!E6*$C$7</f>
        <v>18192.1315751853</v>
      </c>
      <c r="E404" s="50" t="n">
        <f aca="false">D404*C404</f>
        <v>99804.0551694191</v>
      </c>
      <c r="F404" s="46" t="n">
        <v>395</v>
      </c>
      <c r="G404" s="47" t="n">
        <f aca="false">F404*$H$6</f>
        <v>0.720755025634239</v>
      </c>
      <c r="H404" s="48" t="n">
        <f aca="false">$H$7*G404</f>
        <v>5.48611111111111</v>
      </c>
      <c r="I404" s="49" t="n">
        <f aca="false">0.5*c_rho*'P3 Energie'!F8*'P3 Energie'!F7*(H404-c_Vv)^2+'P3 Energie'!F13+'P3 Energie'!F15+'P3 Energie'!F6*$H$7</f>
        <v>19048.7463393576</v>
      </c>
      <c r="J404" s="50" t="n">
        <f aca="false">I404*H404</f>
        <v>104503.538945087</v>
      </c>
    </row>
    <row r="405" customFormat="false" ht="15" hidden="false" customHeight="false" outlineLevel="0" collapsed="false">
      <c r="A405" s="46" t="n">
        <v>396</v>
      </c>
      <c r="B405" s="47" t="n">
        <f aca="false">A405*$C$6</f>
        <v>0.724672036101717</v>
      </c>
      <c r="C405" s="48" t="n">
        <f aca="false">$C$7*B405</f>
        <v>5.5</v>
      </c>
      <c r="D405" s="49" t="n">
        <f aca="false">0.5*c_rho*'P3 Energie'!E8*'P3 Energie'!E7*(C405-c_Vv)^2+'P3 Energie'!E13+'P3 Energie'!E15+'P3 Energie'!E6*$C$7</f>
        <v>18192.1925234949</v>
      </c>
      <c r="E405" s="50" t="n">
        <f aca="false">D405*C405</f>
        <v>100057.058879222</v>
      </c>
      <c r="F405" s="46" t="n">
        <v>396</v>
      </c>
      <c r="G405" s="47" t="n">
        <f aca="false">F405*$H$6</f>
        <v>0.722579721901668</v>
      </c>
      <c r="H405" s="48" t="n">
        <f aca="false">$H$7*G405</f>
        <v>5.5</v>
      </c>
      <c r="I405" s="49" t="n">
        <f aca="false">0.5*c_rho*'P3 Energie'!F8*'P3 Energie'!F7*(H405-c_Vv)^2+'P3 Energie'!F13+'P3 Energie'!F15+'P3 Energie'!F6*$H$7</f>
        <v>19048.7992925963</v>
      </c>
      <c r="J405" s="50" t="n">
        <f aca="false">I405*H405</f>
        <v>104768.39610928</v>
      </c>
    </row>
    <row r="406" customFormat="false" ht="15" hidden="false" customHeight="false" outlineLevel="0" collapsed="false">
      <c r="A406" s="46" t="n">
        <v>397</v>
      </c>
      <c r="B406" s="47" t="n">
        <f aca="false">A406*$C$6</f>
        <v>0.726502015990863</v>
      </c>
      <c r="C406" s="48" t="n">
        <f aca="false">$C$7*B406</f>
        <v>5.51388888888889</v>
      </c>
      <c r="D406" s="49" t="n">
        <f aca="false">0.5*c_rho*'P3 Energie'!E8*'P3 Energie'!E7*(C406-c_Vv)^2+'P3 Energie'!E13+'P3 Energie'!E15+'P3 Energie'!E6*$C$7</f>
        <v>18192.2536259089</v>
      </c>
      <c r="E406" s="50" t="n">
        <f aca="false">D406*C406</f>
        <v>100310.065131748</v>
      </c>
      <c r="F406" s="46" t="n">
        <v>397</v>
      </c>
      <c r="G406" s="47" t="n">
        <f aca="false">F406*$H$6</f>
        <v>0.724404418169096</v>
      </c>
      <c r="H406" s="48" t="n">
        <f aca="false">$H$7*G406</f>
        <v>5.51388888888889</v>
      </c>
      <c r="I406" s="49" t="n">
        <f aca="false">0.5*c_rho*'P3 Energie'!F8*'P3 Energie'!F7*(H406-c_Vv)^2+'P3 Energie'!F13+'P3 Energie'!F15+'P3 Energie'!F6*$H$7</f>
        <v>19048.8523797243</v>
      </c>
      <c r="J406" s="50" t="n">
        <f aca="false">I406*H406</f>
        <v>105033.255482647</v>
      </c>
    </row>
    <row r="407" customFormat="false" ht="15" hidden="false" customHeight="false" outlineLevel="0" collapsed="false">
      <c r="A407" s="46" t="n">
        <v>398</v>
      </c>
      <c r="B407" s="47" t="n">
        <f aca="false">A407*$C$6</f>
        <v>0.728331995880008</v>
      </c>
      <c r="C407" s="48" t="n">
        <f aca="false">$C$7*B407</f>
        <v>5.52777777777778</v>
      </c>
      <c r="D407" s="49" t="n">
        <f aca="false">0.5*c_rho*'P3 Energie'!E8*'P3 Energie'!E7*(C407-c_Vv)^2+'P3 Energie'!E13+'P3 Energie'!E15+'P3 Energie'!E6*$C$7</f>
        <v>18192.3148824274</v>
      </c>
      <c r="E407" s="50" t="n">
        <f aca="false">D407*C407</f>
        <v>100563.073933418</v>
      </c>
      <c r="F407" s="46" t="n">
        <v>398</v>
      </c>
      <c r="G407" s="47" t="n">
        <f aca="false">F407*$H$6</f>
        <v>0.726229114436525</v>
      </c>
      <c r="H407" s="48" t="n">
        <f aca="false">$H$7*G407</f>
        <v>5.52777777777778</v>
      </c>
      <c r="I407" s="49" t="n">
        <f aca="false">0.5*c_rho*'P3 Energie'!F8*'P3 Energie'!F7*(H407-c_Vv)^2+'P3 Energie'!F13+'P3 Energie'!F15+'P3 Energie'!F6*$H$7</f>
        <v>19048.9056007417</v>
      </c>
      <c r="J407" s="50" t="n">
        <f aca="false">I407*H407</f>
        <v>105298.117070766</v>
      </c>
    </row>
    <row r="408" customFormat="false" ht="15" hidden="false" customHeight="false" outlineLevel="0" collapsed="false">
      <c r="A408" s="46" t="n">
        <v>399</v>
      </c>
      <c r="B408" s="47" t="n">
        <f aca="false">A408*$C$6</f>
        <v>0.730161975769154</v>
      </c>
      <c r="C408" s="48" t="n">
        <f aca="false">$C$7*B408</f>
        <v>5.54166666666667</v>
      </c>
      <c r="D408" s="49" t="n">
        <f aca="false">0.5*c_rho*'P3 Energie'!E8*'P3 Energie'!E7*(C408-c_Vv)^2+'P3 Energie'!E13+'P3 Energie'!E15+'P3 Energie'!E6*$C$7</f>
        <v>18192.3762930504</v>
      </c>
      <c r="E408" s="50" t="n">
        <f aca="false">D408*C408</f>
        <v>100816.085290654</v>
      </c>
      <c r="F408" s="46" t="n">
        <v>399</v>
      </c>
      <c r="G408" s="47" t="n">
        <f aca="false">F408*$H$6</f>
        <v>0.728053810703953</v>
      </c>
      <c r="H408" s="48" t="n">
        <f aca="false">$H$7*G408</f>
        <v>5.54166666666667</v>
      </c>
      <c r="I408" s="49" t="n">
        <f aca="false">0.5*c_rho*'P3 Energie'!F8*'P3 Energie'!F7*(H408-c_Vv)^2+'P3 Energie'!F13+'P3 Energie'!F15+'P3 Energie'!F6*$H$7</f>
        <v>19048.9589556484</v>
      </c>
      <c r="J408" s="50" t="n">
        <f aca="false">I408*H408</f>
        <v>105562.980879218</v>
      </c>
    </row>
    <row r="409" customFormat="false" ht="15" hidden="false" customHeight="false" outlineLevel="0" collapsed="false">
      <c r="A409" s="46" t="n">
        <v>400</v>
      </c>
      <c r="B409" s="47" t="n">
        <f aca="false">A409*$C$6</f>
        <v>0.7319919556583</v>
      </c>
      <c r="C409" s="48" t="n">
        <f aca="false">$C$7*B409</f>
        <v>5.55555555555556</v>
      </c>
      <c r="D409" s="49" t="n">
        <f aca="false">0.5*c_rho*'P3 Energie'!E8*'P3 Energie'!E7*(C409-c_Vv)^2+'P3 Energie'!E13+'P3 Energie'!E15+'P3 Energie'!E6*$C$7</f>
        <v>18192.4378577778</v>
      </c>
      <c r="E409" s="50" t="n">
        <f aca="false">D409*C409</f>
        <v>101069.099209877</v>
      </c>
      <c r="F409" s="46" t="n">
        <v>400</v>
      </c>
      <c r="G409" s="47" t="n">
        <f aca="false">F409*$H$6</f>
        <v>0.729878506971382</v>
      </c>
      <c r="H409" s="48" t="n">
        <f aca="false">$H$7*G409</f>
        <v>5.55555555555556</v>
      </c>
      <c r="I409" s="49" t="n">
        <f aca="false">0.5*c_rho*'P3 Energie'!F8*'P3 Energie'!F7*(H409-c_Vv)^2+'P3 Energie'!F13+'P3 Energie'!F15+'P3 Energie'!F6*$H$7</f>
        <v>19049.0124444444</v>
      </c>
      <c r="J409" s="50" t="n">
        <f aca="false">I409*H409</f>
        <v>105827.84691358</v>
      </c>
    </row>
    <row r="410" customFormat="false" ht="15" hidden="false" customHeight="false" outlineLevel="0" collapsed="false">
      <c r="A410" s="46" t="n">
        <v>401</v>
      </c>
      <c r="B410" s="47" t="n">
        <f aca="false">A410*$C$6</f>
        <v>0.733821935547446</v>
      </c>
      <c r="C410" s="48" t="n">
        <f aca="false">$C$7*B410</f>
        <v>5.56944444444445</v>
      </c>
      <c r="D410" s="49" t="n">
        <f aca="false">0.5*c_rho*'P3 Energie'!E8*'P3 Energie'!E7*(C410-c_Vv)^2+'P3 Energie'!E13+'P3 Energie'!E15+'P3 Energie'!E6*$C$7</f>
        <v>18192.4995766096</v>
      </c>
      <c r="E410" s="50" t="n">
        <f aca="false">D410*C410</f>
        <v>101322.115697506</v>
      </c>
      <c r="F410" s="46" t="n">
        <v>401</v>
      </c>
      <c r="G410" s="47" t="n">
        <f aca="false">F410*$H$6</f>
        <v>0.73170320323881</v>
      </c>
      <c r="H410" s="48" t="n">
        <f aca="false">$H$7*G410</f>
        <v>5.56944444444445</v>
      </c>
      <c r="I410" s="49" t="n">
        <f aca="false">0.5*c_rho*'P3 Energie'!F8*'P3 Energie'!F7*(H410-c_Vv)^2+'P3 Energie'!F13+'P3 Energie'!F15+'P3 Energie'!F6*$H$7</f>
        <v>19049.0660671299</v>
      </c>
      <c r="J410" s="50" t="n">
        <f aca="false">I410*H410</f>
        <v>106092.715179432</v>
      </c>
    </row>
    <row r="411" customFormat="false" ht="15" hidden="false" customHeight="false" outlineLevel="0" collapsed="false">
      <c r="A411" s="46" t="n">
        <v>402</v>
      </c>
      <c r="B411" s="47" t="n">
        <f aca="false">A411*$C$6</f>
        <v>0.735651915436591</v>
      </c>
      <c r="C411" s="48" t="n">
        <f aca="false">$C$7*B411</f>
        <v>5.58333333333333</v>
      </c>
      <c r="D411" s="49" t="n">
        <f aca="false">0.5*c_rho*'P3 Energie'!E8*'P3 Energie'!E7*(C411-c_Vv)^2+'P3 Energie'!E13+'P3 Energie'!E15+'P3 Energie'!E6*$C$7</f>
        <v>18192.5614495459</v>
      </c>
      <c r="E411" s="50" t="n">
        <f aca="false">D411*C411</f>
        <v>101575.134759965</v>
      </c>
      <c r="F411" s="46" t="n">
        <v>402</v>
      </c>
      <c r="G411" s="47" t="n">
        <f aca="false">F411*$H$6</f>
        <v>0.733527899506238</v>
      </c>
      <c r="H411" s="48" t="n">
        <f aca="false">$H$7*G411</f>
        <v>5.58333333333333</v>
      </c>
      <c r="I411" s="49" t="n">
        <f aca="false">0.5*c_rho*'P3 Energie'!F8*'P3 Energie'!F7*(H411-c_Vv)^2+'P3 Energie'!F13+'P3 Energie'!F15+'P3 Energie'!F6*$H$7</f>
        <v>19049.1198237046</v>
      </c>
      <c r="J411" s="50" t="n">
        <f aca="false">I411*H411</f>
        <v>106357.585682351</v>
      </c>
    </row>
    <row r="412" customFormat="false" ht="15" hidden="false" customHeight="false" outlineLevel="0" collapsed="false">
      <c r="A412" s="46" t="n">
        <v>403</v>
      </c>
      <c r="B412" s="47" t="n">
        <f aca="false">A412*$C$6</f>
        <v>0.737481895325737</v>
      </c>
      <c r="C412" s="48" t="n">
        <f aca="false">$C$7*B412</f>
        <v>5.59722222222222</v>
      </c>
      <c r="D412" s="49" t="n">
        <f aca="false">0.5*c_rho*'P3 Energie'!E8*'P3 Energie'!E7*(C412-c_Vv)^2+'P3 Energie'!E13+'P3 Energie'!E15+'P3 Energie'!E6*$C$7</f>
        <v>18192.6234765867</v>
      </c>
      <c r="E412" s="50" t="n">
        <f aca="false">D412*C412</f>
        <v>101828.156403673</v>
      </c>
      <c r="F412" s="46" t="n">
        <v>403</v>
      </c>
      <c r="G412" s="47" t="n">
        <f aca="false">F412*$H$6</f>
        <v>0.735352595773667</v>
      </c>
      <c r="H412" s="48" t="n">
        <f aca="false">$H$7*G412</f>
        <v>5.59722222222222</v>
      </c>
      <c r="I412" s="49" t="n">
        <f aca="false">0.5*c_rho*'P3 Energie'!F8*'P3 Energie'!F7*(H412-c_Vv)^2+'P3 Energie'!F13+'P3 Energie'!F15+'P3 Energie'!F6*$H$7</f>
        <v>19049.1737141688</v>
      </c>
      <c r="J412" s="50" t="n">
        <f aca="false">I412*H412</f>
        <v>106622.458427917</v>
      </c>
    </row>
    <row r="413" customFormat="false" ht="15" hidden="false" customHeight="false" outlineLevel="0" collapsed="false">
      <c r="A413" s="46" t="n">
        <v>404</v>
      </c>
      <c r="B413" s="47" t="n">
        <f aca="false">A413*$C$6</f>
        <v>0.739311875214883</v>
      </c>
      <c r="C413" s="48" t="n">
        <f aca="false">$C$7*B413</f>
        <v>5.61111111111111</v>
      </c>
      <c r="D413" s="49" t="n">
        <f aca="false">0.5*c_rho*'P3 Energie'!E8*'P3 Energie'!E7*(C413-c_Vv)^2+'P3 Energie'!E13+'P3 Energie'!E15+'P3 Energie'!E6*$C$7</f>
        <v>18192.6856577319</v>
      </c>
      <c r="E413" s="50" t="n">
        <f aca="false">D413*C413</f>
        <v>102081.180635051</v>
      </c>
      <c r="F413" s="46" t="n">
        <v>404</v>
      </c>
      <c r="G413" s="47" t="n">
        <f aca="false">F413*$H$6</f>
        <v>0.737177292041095</v>
      </c>
      <c r="H413" s="48" t="n">
        <f aca="false">$H$7*G413</f>
        <v>5.61111111111111</v>
      </c>
      <c r="I413" s="49" t="n">
        <f aca="false">0.5*c_rho*'P3 Energie'!F8*'P3 Energie'!F7*(H413-c_Vv)^2+'P3 Energie'!F13+'P3 Energie'!F15+'P3 Energie'!F6*$H$7</f>
        <v>19049.2277385222</v>
      </c>
      <c r="J413" s="50" t="n">
        <f aca="false">I413*H413</f>
        <v>106887.333421708</v>
      </c>
    </row>
    <row r="414" customFormat="false" ht="15" hidden="false" customHeight="false" outlineLevel="0" collapsed="false">
      <c r="A414" s="46" t="n">
        <v>405</v>
      </c>
      <c r="B414" s="47" t="n">
        <f aca="false">A414*$C$6</f>
        <v>0.741141855104029</v>
      </c>
      <c r="C414" s="48" t="n">
        <f aca="false">$C$7*B414</f>
        <v>5.625</v>
      </c>
      <c r="D414" s="49" t="n">
        <f aca="false">0.5*c_rho*'P3 Energie'!E8*'P3 Energie'!E7*(C414-c_Vv)^2+'P3 Energie'!E13+'P3 Energie'!E15+'P3 Energie'!E6*$C$7</f>
        <v>18192.7479929815</v>
      </c>
      <c r="E414" s="50" t="n">
        <f aca="false">D414*C414</f>
        <v>102334.207460521</v>
      </c>
      <c r="F414" s="46" t="n">
        <v>405</v>
      </c>
      <c r="G414" s="47" t="n">
        <f aca="false">F414*$H$6</f>
        <v>0.739001988308524</v>
      </c>
      <c r="H414" s="48" t="n">
        <f aca="false">$H$7*G414</f>
        <v>5.625</v>
      </c>
      <c r="I414" s="49" t="n">
        <f aca="false">0.5*c_rho*'P3 Energie'!F8*'P3 Energie'!F7*(H414-c_Vv)^2+'P3 Energie'!F13+'P3 Energie'!F15+'P3 Energie'!F6*$H$7</f>
        <v>19049.281896765</v>
      </c>
      <c r="J414" s="50" t="n">
        <f aca="false">I414*H414</f>
        <v>107152.210669303</v>
      </c>
    </row>
    <row r="415" customFormat="false" ht="15" hidden="false" customHeight="false" outlineLevel="0" collapsed="false">
      <c r="A415" s="46" t="n">
        <v>406</v>
      </c>
      <c r="B415" s="47" t="n">
        <f aca="false">A415*$C$6</f>
        <v>0.742971834993174</v>
      </c>
      <c r="C415" s="48" t="n">
        <f aca="false">$C$7*B415</f>
        <v>5.63888888888889</v>
      </c>
      <c r="D415" s="49" t="n">
        <f aca="false">0.5*c_rho*'P3 Energie'!E8*'P3 Energie'!E7*(C415-c_Vv)^2+'P3 Energie'!E13+'P3 Energie'!E15+'P3 Energie'!E6*$C$7</f>
        <v>18192.8104823356</v>
      </c>
      <c r="E415" s="50" t="n">
        <f aca="false">D415*C415</f>
        <v>102587.236886504</v>
      </c>
      <c r="F415" s="46" t="n">
        <v>406</v>
      </c>
      <c r="G415" s="47" t="n">
        <f aca="false">F415*$H$6</f>
        <v>0.740826684575952</v>
      </c>
      <c r="H415" s="48" t="n">
        <f aca="false">$H$7*G415</f>
        <v>5.63888888888889</v>
      </c>
      <c r="I415" s="49" t="n">
        <f aca="false">0.5*c_rho*'P3 Energie'!F8*'P3 Energie'!F7*(H415-c_Vv)^2+'P3 Energie'!F13+'P3 Energie'!F15+'P3 Energie'!F6*$H$7</f>
        <v>19049.3361888972</v>
      </c>
      <c r="J415" s="50" t="n">
        <f aca="false">I415*H415</f>
        <v>107417.090176282</v>
      </c>
    </row>
    <row r="416" customFormat="false" ht="15" hidden="false" customHeight="false" outlineLevel="0" collapsed="false">
      <c r="A416" s="46" t="n">
        <v>407</v>
      </c>
      <c r="B416" s="47" t="n">
        <f aca="false">A416*$C$6</f>
        <v>0.74480181488232</v>
      </c>
      <c r="C416" s="48" t="n">
        <f aca="false">$C$7*B416</f>
        <v>5.65277777777778</v>
      </c>
      <c r="D416" s="49" t="n">
        <f aca="false">0.5*c_rho*'P3 Energie'!E8*'P3 Energie'!E7*(C416-c_Vv)^2+'P3 Energie'!E13+'P3 Energie'!E15+'P3 Energie'!E6*$C$7</f>
        <v>18192.8731257942</v>
      </c>
      <c r="E416" s="50" t="n">
        <f aca="false">D416*C416</f>
        <v>102840.26891942</v>
      </c>
      <c r="F416" s="46" t="n">
        <v>407</v>
      </c>
      <c r="G416" s="47" t="n">
        <f aca="false">F416*$H$6</f>
        <v>0.742651380843381</v>
      </c>
      <c r="H416" s="48" t="n">
        <f aca="false">$H$7*G416</f>
        <v>5.65277777777778</v>
      </c>
      <c r="I416" s="49" t="n">
        <f aca="false">0.5*c_rho*'P3 Energie'!F8*'P3 Energie'!F7*(H416-c_Vv)^2+'P3 Energie'!F13+'P3 Energie'!F15+'P3 Energie'!F6*$H$7</f>
        <v>19049.3906149188</v>
      </c>
      <c r="J416" s="50" t="n">
        <f aca="false">I416*H416</f>
        <v>107681.971948221</v>
      </c>
    </row>
    <row r="417" customFormat="false" ht="15" hidden="false" customHeight="false" outlineLevel="0" collapsed="false">
      <c r="A417" s="46" t="n">
        <v>408</v>
      </c>
      <c r="B417" s="47" t="n">
        <f aca="false">A417*$C$6</f>
        <v>0.746631794771466</v>
      </c>
      <c r="C417" s="48" t="n">
        <f aca="false">$C$7*B417</f>
        <v>5.66666666666667</v>
      </c>
      <c r="D417" s="49" t="n">
        <f aca="false">0.5*c_rho*'P3 Energie'!E8*'P3 Energie'!E7*(C417-c_Vv)^2+'P3 Energie'!E13+'P3 Energie'!E15+'P3 Energie'!E6*$C$7</f>
        <v>18192.9359233572</v>
      </c>
      <c r="E417" s="50" t="n">
        <f aca="false">D417*C417</f>
        <v>103093.303565691</v>
      </c>
      <c r="F417" s="46" t="n">
        <v>408</v>
      </c>
      <c r="G417" s="47" t="n">
        <f aca="false">F417*$H$6</f>
        <v>0.744476077110809</v>
      </c>
      <c r="H417" s="48" t="n">
        <f aca="false">$H$7*G417</f>
        <v>5.66666666666667</v>
      </c>
      <c r="I417" s="49" t="n">
        <f aca="false">0.5*c_rho*'P3 Energie'!F8*'P3 Energie'!F7*(H417-c_Vv)^2+'P3 Energie'!F13+'P3 Energie'!F15+'P3 Energie'!F6*$H$7</f>
        <v>19049.4451748296</v>
      </c>
      <c r="J417" s="50" t="n">
        <f aca="false">I417*H417</f>
        <v>107946.855990701</v>
      </c>
    </row>
    <row r="418" customFormat="false" ht="15" hidden="false" customHeight="false" outlineLevel="0" collapsed="false">
      <c r="A418" s="46" t="n">
        <v>409</v>
      </c>
      <c r="B418" s="47" t="n">
        <f aca="false">A418*$C$6</f>
        <v>0.748461774660612</v>
      </c>
      <c r="C418" s="48" t="n">
        <f aca="false">$C$7*B418</f>
        <v>5.68055555555556</v>
      </c>
      <c r="D418" s="49" t="n">
        <f aca="false">0.5*c_rho*'P3 Energie'!E8*'P3 Energie'!E7*(C418-c_Vv)^2+'P3 Energie'!E13+'P3 Energie'!E15+'P3 Energie'!E6*$C$7</f>
        <v>18192.9988750246</v>
      </c>
      <c r="E418" s="50" t="n">
        <f aca="false">D418*C418</f>
        <v>103346.340831737</v>
      </c>
      <c r="F418" s="46" t="n">
        <v>409</v>
      </c>
      <c r="G418" s="47" t="n">
        <f aca="false">F418*$H$6</f>
        <v>0.746300773378238</v>
      </c>
      <c r="H418" s="48" t="n">
        <f aca="false">$H$7*G418</f>
        <v>5.68055555555556</v>
      </c>
      <c r="I418" s="49" t="n">
        <f aca="false">0.5*c_rho*'P3 Energie'!F8*'P3 Energie'!F7*(H418-c_Vv)^2+'P3 Energie'!F13+'P3 Energie'!F15+'P3 Energie'!F6*$H$7</f>
        <v>19049.4998686299</v>
      </c>
      <c r="J418" s="50" t="n">
        <f aca="false">I418*H418</f>
        <v>108211.7423093</v>
      </c>
    </row>
    <row r="419" customFormat="false" ht="15" hidden="false" customHeight="false" outlineLevel="0" collapsed="false">
      <c r="A419" s="46" t="n">
        <v>410</v>
      </c>
      <c r="B419" s="47" t="n">
        <f aca="false">A419*$C$6</f>
        <v>0.750291754549757</v>
      </c>
      <c r="C419" s="48" t="n">
        <f aca="false">$C$7*B419</f>
        <v>5.69444444444445</v>
      </c>
      <c r="D419" s="49" t="n">
        <f aca="false">0.5*c_rho*'P3 Energie'!E8*'P3 Energie'!E7*(C419-c_Vv)^2+'P3 Energie'!E13+'P3 Energie'!E15+'P3 Energie'!E6*$C$7</f>
        <v>18193.0619807965</v>
      </c>
      <c r="E419" s="50" t="n">
        <f aca="false">D419*C419</f>
        <v>103599.38072398</v>
      </c>
      <c r="F419" s="46" t="n">
        <v>410</v>
      </c>
      <c r="G419" s="47" t="n">
        <f aca="false">F419*$H$6</f>
        <v>0.748125469645666</v>
      </c>
      <c r="H419" s="48" t="n">
        <f aca="false">$H$7*G419</f>
        <v>5.69444444444445</v>
      </c>
      <c r="I419" s="49" t="n">
        <f aca="false">0.5*c_rho*'P3 Energie'!F8*'P3 Energie'!F7*(H419-c_Vv)^2+'P3 Energie'!F13+'P3 Energie'!F15+'P3 Energie'!F6*$H$7</f>
        <v>19049.5546963194</v>
      </c>
      <c r="J419" s="50" t="n">
        <f aca="false">I419*H419</f>
        <v>108476.630909597</v>
      </c>
    </row>
    <row r="420" customFormat="false" ht="15" hidden="false" customHeight="false" outlineLevel="0" collapsed="false">
      <c r="A420" s="46" t="n">
        <v>411</v>
      </c>
      <c r="B420" s="47" t="n">
        <f aca="false">A420*$C$6</f>
        <v>0.752121734438903</v>
      </c>
      <c r="C420" s="48" t="n">
        <f aca="false">$C$7*B420</f>
        <v>5.70833333333333</v>
      </c>
      <c r="D420" s="49" t="n">
        <f aca="false">0.5*c_rho*'P3 Energie'!E8*'P3 Energie'!E7*(C420-c_Vv)^2+'P3 Energie'!E13+'P3 Energie'!E15+'P3 Energie'!E6*$C$7</f>
        <v>18193.1252406729</v>
      </c>
      <c r="E420" s="50" t="n">
        <f aca="false">D420*C420</f>
        <v>103852.423248841</v>
      </c>
      <c r="F420" s="46" t="n">
        <v>411</v>
      </c>
      <c r="G420" s="47" t="n">
        <f aca="false">F420*$H$6</f>
        <v>0.749950165913094</v>
      </c>
      <c r="H420" s="48" t="n">
        <f aca="false">$H$7*G420</f>
        <v>5.70833333333333</v>
      </c>
      <c r="I420" s="49" t="n">
        <f aca="false">0.5*c_rho*'P3 Energie'!F8*'P3 Energie'!F7*(H420-c_Vv)^2+'P3 Energie'!F13+'P3 Energie'!F15+'P3 Energie'!F6*$H$7</f>
        <v>19049.6096578984</v>
      </c>
      <c r="J420" s="50" t="n">
        <f aca="false">I420*H420</f>
        <v>108741.52179717</v>
      </c>
    </row>
    <row r="421" customFormat="false" ht="15" hidden="false" customHeight="false" outlineLevel="0" collapsed="false">
      <c r="A421" s="46" t="n">
        <v>412</v>
      </c>
      <c r="B421" s="47" t="n">
        <f aca="false">A421*$C$6</f>
        <v>0.753951714328049</v>
      </c>
      <c r="C421" s="48" t="n">
        <f aca="false">$C$7*B421</f>
        <v>5.72222222222222</v>
      </c>
      <c r="D421" s="49" t="n">
        <f aca="false">0.5*c_rho*'P3 Energie'!E8*'P3 Energie'!E7*(C421-c_Vv)^2+'P3 Energie'!E13+'P3 Energie'!E15+'P3 Energie'!E6*$C$7</f>
        <v>18193.1886546537</v>
      </c>
      <c r="E421" s="50" t="n">
        <f aca="false">D421*C421</f>
        <v>104105.46841274</v>
      </c>
      <c r="F421" s="46" t="n">
        <v>412</v>
      </c>
      <c r="G421" s="47" t="n">
        <f aca="false">F421*$H$6</f>
        <v>0.751774862180523</v>
      </c>
      <c r="H421" s="48" t="n">
        <f aca="false">$H$7*G421</f>
        <v>5.72222222222222</v>
      </c>
      <c r="I421" s="49" t="n">
        <f aca="false">0.5*c_rho*'P3 Energie'!F8*'P3 Energie'!F7*(H421-c_Vv)^2+'P3 Energie'!F13+'P3 Energie'!F15+'P3 Energie'!F6*$H$7</f>
        <v>19049.6647533667</v>
      </c>
      <c r="J421" s="50" t="n">
        <f aca="false">I421*H421</f>
        <v>109006.414977598</v>
      </c>
    </row>
    <row r="422" customFormat="false" ht="15" hidden="false" customHeight="false" outlineLevel="0" collapsed="false">
      <c r="A422" s="46" t="n">
        <v>413</v>
      </c>
      <c r="B422" s="47" t="n">
        <f aca="false">A422*$C$6</f>
        <v>0.755781694217195</v>
      </c>
      <c r="C422" s="48" t="n">
        <f aca="false">$C$7*B422</f>
        <v>5.73611111111111</v>
      </c>
      <c r="D422" s="49" t="n">
        <f aca="false">0.5*c_rho*'P3 Energie'!E8*'P3 Energie'!E7*(C422-c_Vv)^2+'P3 Energie'!E13+'P3 Energie'!E15+'P3 Energie'!E6*$C$7</f>
        <v>18193.2522227389</v>
      </c>
      <c r="E422" s="50" t="n">
        <f aca="false">D422*C422</f>
        <v>104358.5162221</v>
      </c>
      <c r="F422" s="46" t="n">
        <v>413</v>
      </c>
      <c r="G422" s="47" t="n">
        <f aca="false">F422*$H$6</f>
        <v>0.753599558447951</v>
      </c>
      <c r="H422" s="48" t="n">
        <f aca="false">$H$7*G422</f>
        <v>5.73611111111111</v>
      </c>
      <c r="I422" s="49" t="n">
        <f aca="false">0.5*c_rho*'P3 Energie'!F8*'P3 Energie'!F7*(H422-c_Vv)^2+'P3 Energie'!F13+'P3 Energie'!F15+'P3 Energie'!F6*$H$7</f>
        <v>19049.7199827243</v>
      </c>
      <c r="J422" s="50" t="n">
        <f aca="false">I422*H422</f>
        <v>109271.31045646</v>
      </c>
    </row>
    <row r="423" customFormat="false" ht="15" hidden="false" customHeight="false" outlineLevel="0" collapsed="false">
      <c r="A423" s="46" t="n">
        <v>414</v>
      </c>
      <c r="B423" s="47" t="n">
        <f aca="false">A423*$C$6</f>
        <v>0.75761167410634</v>
      </c>
      <c r="C423" s="48" t="n">
        <f aca="false">$C$7*B423</f>
        <v>5.75</v>
      </c>
      <c r="D423" s="49" t="n">
        <f aca="false">0.5*c_rho*'P3 Energie'!E8*'P3 Energie'!E7*(C423-c_Vv)^2+'P3 Energie'!E13+'P3 Energie'!E15+'P3 Energie'!E6*$C$7</f>
        <v>18193.3159449286</v>
      </c>
      <c r="E423" s="50" t="n">
        <f aca="false">D423*C423</f>
        <v>104611.56668334</v>
      </c>
      <c r="F423" s="46" t="n">
        <v>414</v>
      </c>
      <c r="G423" s="47" t="n">
        <f aca="false">F423*$H$6</f>
        <v>0.75542425471538</v>
      </c>
      <c r="H423" s="48" t="n">
        <f aca="false">$H$7*G423</f>
        <v>5.75</v>
      </c>
      <c r="I423" s="49" t="n">
        <f aca="false">0.5*c_rho*'P3 Energie'!F8*'P3 Energie'!F7*(H423-c_Vv)^2+'P3 Energie'!F13+'P3 Energie'!F15+'P3 Energie'!F6*$H$7</f>
        <v>19049.7753459713</v>
      </c>
      <c r="J423" s="50" t="n">
        <f aca="false">I423*H423</f>
        <v>109536.208239335</v>
      </c>
    </row>
    <row r="424" customFormat="false" ht="15" hidden="false" customHeight="false" outlineLevel="0" collapsed="false">
      <c r="A424" s="46" t="n">
        <v>415</v>
      </c>
      <c r="B424" s="47" t="n">
        <f aca="false">A424*$C$6</f>
        <v>0.759441653995486</v>
      </c>
      <c r="C424" s="48" t="n">
        <f aca="false">$C$7*B424</f>
        <v>5.76388888888889</v>
      </c>
      <c r="D424" s="49" t="n">
        <f aca="false">0.5*c_rho*'P3 Energie'!E8*'P3 Energie'!E7*(C424-c_Vv)^2+'P3 Energie'!E13+'P3 Energie'!E15+'P3 Energie'!E6*$C$7</f>
        <v>18193.3798212228</v>
      </c>
      <c r="E424" s="50" t="n">
        <f aca="false">D424*C424</f>
        <v>104864.619802881</v>
      </c>
      <c r="F424" s="46" t="n">
        <v>415</v>
      </c>
      <c r="G424" s="47" t="n">
        <f aca="false">F424*$H$6</f>
        <v>0.757248950982808</v>
      </c>
      <c r="H424" s="48" t="n">
        <f aca="false">$H$7*G424</f>
        <v>5.76388888888889</v>
      </c>
      <c r="I424" s="49" t="n">
        <f aca="false">0.5*c_rho*'P3 Energie'!F8*'P3 Energie'!F7*(H424-c_Vv)^2+'P3 Energie'!F13+'P3 Energie'!F15+'P3 Energie'!F6*$H$7</f>
        <v>19049.8308431076</v>
      </c>
      <c r="J424" s="50" t="n">
        <f aca="false">I424*H424</f>
        <v>109801.108331801</v>
      </c>
    </row>
    <row r="425" customFormat="false" ht="15" hidden="false" customHeight="false" outlineLevel="0" collapsed="false">
      <c r="A425" s="46" t="n">
        <v>416</v>
      </c>
      <c r="B425" s="47" t="n">
        <f aca="false">A425*$C$6</f>
        <v>0.761271633884632</v>
      </c>
      <c r="C425" s="48" t="n">
        <f aca="false">$C$7*B425</f>
        <v>5.77777777777778</v>
      </c>
      <c r="D425" s="49" t="n">
        <f aca="false">0.5*c_rho*'P3 Energie'!E8*'P3 Energie'!E7*(C425-c_Vv)^2+'P3 Energie'!E13+'P3 Energie'!E15+'P3 Energie'!E6*$C$7</f>
        <v>18193.4438516213</v>
      </c>
      <c r="E425" s="50" t="n">
        <f aca="false">D425*C425</f>
        <v>105117.675587146</v>
      </c>
      <c r="F425" s="46" t="n">
        <v>416</v>
      </c>
      <c r="G425" s="47" t="n">
        <f aca="false">F425*$H$6</f>
        <v>0.759073647250237</v>
      </c>
      <c r="H425" s="48" t="n">
        <f aca="false">$H$7*G425</f>
        <v>5.77777777777778</v>
      </c>
      <c r="I425" s="49" t="n">
        <f aca="false">0.5*c_rho*'P3 Energie'!F8*'P3 Energie'!F7*(H425-c_Vv)^2+'P3 Energie'!F13+'P3 Energie'!F15+'P3 Energie'!F6*$H$7</f>
        <v>19049.8864741333</v>
      </c>
      <c r="J425" s="50" t="n">
        <f aca="false">I425*H425</f>
        <v>110066.010739437</v>
      </c>
    </row>
    <row r="426" customFormat="false" ht="15" hidden="false" customHeight="false" outlineLevel="0" collapsed="false">
      <c r="A426" s="46" t="n">
        <v>417</v>
      </c>
      <c r="B426" s="47" t="n">
        <f aca="false">A426*$C$6</f>
        <v>0.763101613773778</v>
      </c>
      <c r="C426" s="48" t="n">
        <f aca="false">$C$7*B426</f>
        <v>5.79166666666667</v>
      </c>
      <c r="D426" s="49" t="n">
        <f aca="false">0.5*c_rho*'P3 Energie'!E8*'P3 Energie'!E7*(C426-c_Vv)^2+'P3 Energie'!E13+'P3 Energie'!E15+'P3 Energie'!E6*$C$7</f>
        <v>18193.5080361244</v>
      </c>
      <c r="E426" s="50" t="n">
        <f aca="false">D426*C426</f>
        <v>105370.734042554</v>
      </c>
      <c r="F426" s="46" t="n">
        <v>417</v>
      </c>
      <c r="G426" s="47" t="n">
        <f aca="false">F426*$H$6</f>
        <v>0.760898343517665</v>
      </c>
      <c r="H426" s="48" t="n">
        <f aca="false">$H$7*G426</f>
        <v>5.79166666666667</v>
      </c>
      <c r="I426" s="49" t="n">
        <f aca="false">0.5*c_rho*'P3 Energie'!F8*'P3 Energie'!F7*(H426-c_Vv)^2+'P3 Energie'!F13+'P3 Energie'!F15+'P3 Energie'!F6*$H$7</f>
        <v>19049.9422390484</v>
      </c>
      <c r="J426" s="50" t="n">
        <f aca="false">I426*H426</f>
        <v>110330.915467822</v>
      </c>
    </row>
    <row r="427" customFormat="false" ht="15" hidden="false" customHeight="false" outlineLevel="0" collapsed="false">
      <c r="A427" s="46" t="n">
        <v>418</v>
      </c>
      <c r="B427" s="47" t="n">
        <f aca="false">A427*$C$6</f>
        <v>0.764931593662923</v>
      </c>
      <c r="C427" s="48" t="n">
        <f aca="false">$C$7*B427</f>
        <v>5.80555555555556</v>
      </c>
      <c r="D427" s="49" t="n">
        <f aca="false">0.5*c_rho*'P3 Energie'!E8*'P3 Energie'!E7*(C427-c_Vv)^2+'P3 Energie'!E13+'P3 Energie'!E15+'P3 Energie'!E6*$C$7</f>
        <v>18193.5723747319</v>
      </c>
      <c r="E427" s="50" t="n">
        <f aca="false">D427*C427</f>
        <v>105623.795175527</v>
      </c>
      <c r="F427" s="46" t="n">
        <v>418</v>
      </c>
      <c r="G427" s="47" t="n">
        <f aca="false">F427*$H$6</f>
        <v>0.762723039785094</v>
      </c>
      <c r="H427" s="48" t="n">
        <f aca="false">$H$7*G427</f>
        <v>5.80555555555556</v>
      </c>
      <c r="I427" s="49" t="n">
        <f aca="false">0.5*c_rho*'P3 Energie'!F8*'P3 Energie'!F7*(H427-c_Vv)^2+'P3 Energie'!F13+'P3 Energie'!F15+'P3 Energie'!F6*$H$7</f>
        <v>19049.9981378528</v>
      </c>
      <c r="J427" s="50" t="n">
        <f aca="false">I427*H427</f>
        <v>110595.822522534</v>
      </c>
    </row>
    <row r="428" customFormat="false" ht="15" hidden="false" customHeight="false" outlineLevel="0" collapsed="false">
      <c r="A428" s="46" t="n">
        <v>419</v>
      </c>
      <c r="B428" s="47" t="n">
        <f aca="false">A428*$C$6</f>
        <v>0.766761573552069</v>
      </c>
      <c r="C428" s="48" t="n">
        <f aca="false">$C$7*B428</f>
        <v>5.81944444444445</v>
      </c>
      <c r="D428" s="49" t="n">
        <f aca="false">0.5*c_rho*'P3 Energie'!E8*'P3 Energie'!E7*(C428-c_Vv)^2+'P3 Energie'!E13+'P3 Energie'!E15+'P3 Energie'!E6*$C$7</f>
        <v>18193.6368674438</v>
      </c>
      <c r="E428" s="50" t="n">
        <f aca="false">D428*C428</f>
        <v>105876.858992485</v>
      </c>
      <c r="F428" s="46" t="n">
        <v>419</v>
      </c>
      <c r="G428" s="47" t="n">
        <f aca="false">F428*$H$6</f>
        <v>0.764547736052522</v>
      </c>
      <c r="H428" s="48" t="n">
        <f aca="false">$H$7*G428</f>
        <v>5.81944444444445</v>
      </c>
      <c r="I428" s="49" t="n">
        <f aca="false">0.5*c_rho*'P3 Energie'!F8*'P3 Energie'!F7*(H428-c_Vv)^2+'P3 Energie'!F13+'P3 Energie'!F15+'P3 Energie'!F6*$H$7</f>
        <v>19050.0541705465</v>
      </c>
      <c r="J428" s="50" t="n">
        <f aca="false">I428*H428</f>
        <v>110860.731909153</v>
      </c>
    </row>
    <row r="429" customFormat="false" ht="15" hidden="false" customHeight="false" outlineLevel="0" collapsed="false">
      <c r="A429" s="46" t="n">
        <v>420</v>
      </c>
      <c r="B429" s="47" t="n">
        <f aca="false">A429*$C$6</f>
        <v>0.768591553441215</v>
      </c>
      <c r="C429" s="48" t="n">
        <f aca="false">$C$7*B429</f>
        <v>5.83333333333333</v>
      </c>
      <c r="D429" s="49" t="n">
        <f aca="false">0.5*c_rho*'P3 Energie'!E8*'P3 Energie'!E7*(C429-c_Vv)^2+'P3 Energie'!E13+'P3 Energie'!E15+'P3 Energie'!E6*$C$7</f>
        <v>18193.7015142602</v>
      </c>
      <c r="E429" s="50" t="n">
        <f aca="false">D429*C429</f>
        <v>106129.925499851</v>
      </c>
      <c r="F429" s="46" t="n">
        <v>420</v>
      </c>
      <c r="G429" s="47" t="n">
        <f aca="false">F429*$H$6</f>
        <v>0.76637243231995</v>
      </c>
      <c r="H429" s="48" t="n">
        <f aca="false">$H$7*G429</f>
        <v>5.83333333333333</v>
      </c>
      <c r="I429" s="49" t="n">
        <f aca="false">0.5*c_rho*'P3 Energie'!F8*'P3 Energie'!F7*(H429-c_Vv)^2+'P3 Energie'!F13+'P3 Energie'!F15+'P3 Energie'!F6*$H$7</f>
        <v>19050.1103371296</v>
      </c>
      <c r="J429" s="50" t="n">
        <f aca="false">I429*H429</f>
        <v>111125.643633256</v>
      </c>
    </row>
    <row r="430" customFormat="false" ht="15" hidden="false" customHeight="false" outlineLevel="0" collapsed="false">
      <c r="A430" s="46" t="n">
        <v>421</v>
      </c>
      <c r="B430" s="47" t="n">
        <f aca="false">A430*$C$6</f>
        <v>0.770421533330361</v>
      </c>
      <c r="C430" s="48" t="n">
        <f aca="false">$C$7*B430</f>
        <v>5.84722222222222</v>
      </c>
      <c r="D430" s="49" t="n">
        <f aca="false">0.5*c_rho*'P3 Energie'!E8*'P3 Energie'!E7*(C430-c_Vv)^2+'P3 Energie'!E13+'P3 Energie'!E15+'P3 Energie'!E6*$C$7</f>
        <v>18193.766315181</v>
      </c>
      <c r="E430" s="50" t="n">
        <f aca="false">D430*C430</f>
        <v>106382.994704045</v>
      </c>
      <c r="F430" s="46" t="n">
        <v>421</v>
      </c>
      <c r="G430" s="47" t="n">
        <f aca="false">F430*$H$6</f>
        <v>0.768197128587379</v>
      </c>
      <c r="H430" s="48" t="n">
        <f aca="false">$H$7*G430</f>
        <v>5.84722222222222</v>
      </c>
      <c r="I430" s="49" t="n">
        <f aca="false">0.5*c_rho*'P3 Energie'!F8*'P3 Energie'!F7*(H430-c_Vv)^2+'P3 Energie'!F13+'P3 Energie'!F15+'P3 Energie'!F6*$H$7</f>
        <v>19050.1666376021</v>
      </c>
      <c r="J430" s="50" t="n">
        <f aca="false">I430*H430</f>
        <v>111390.557700423</v>
      </c>
    </row>
    <row r="431" customFormat="false" ht="15" hidden="false" customHeight="false" outlineLevel="0" collapsed="false">
      <c r="A431" s="46" t="n">
        <v>422</v>
      </c>
      <c r="B431" s="47" t="n">
        <f aca="false">A431*$C$6</f>
        <v>0.772251513219506</v>
      </c>
      <c r="C431" s="48" t="n">
        <f aca="false">$C$7*B431</f>
        <v>5.86111111111111</v>
      </c>
      <c r="D431" s="49" t="n">
        <f aca="false">0.5*c_rho*'P3 Energie'!E8*'P3 Energie'!E7*(C431-c_Vv)^2+'P3 Energie'!E13+'P3 Energie'!E15+'P3 Energie'!E6*$C$7</f>
        <v>18193.8312702063</v>
      </c>
      <c r="E431" s="50" t="n">
        <f aca="false">D431*C431</f>
        <v>106636.066611487</v>
      </c>
      <c r="F431" s="46" t="n">
        <v>422</v>
      </c>
      <c r="G431" s="47" t="n">
        <f aca="false">F431*$H$6</f>
        <v>0.770021824854807</v>
      </c>
      <c r="H431" s="48" t="n">
        <f aca="false">$H$7*G431</f>
        <v>5.86111111111111</v>
      </c>
      <c r="I431" s="49" t="n">
        <f aca="false">0.5*c_rho*'P3 Energie'!F8*'P3 Energie'!F7*(H431-c_Vv)^2+'P3 Energie'!F13+'P3 Energie'!F15+'P3 Energie'!F6*$H$7</f>
        <v>19050.2230719639</v>
      </c>
      <c r="J431" s="50" t="n">
        <f aca="false">I431*H431</f>
        <v>111655.474116233</v>
      </c>
    </row>
    <row r="432" customFormat="false" ht="15" hidden="false" customHeight="false" outlineLevel="0" collapsed="false">
      <c r="A432" s="46" t="n">
        <v>423</v>
      </c>
      <c r="B432" s="47" t="n">
        <f aca="false">A432*$C$6</f>
        <v>0.774081493108652</v>
      </c>
      <c r="C432" s="48" t="n">
        <f aca="false">$C$7*B432</f>
        <v>5.875</v>
      </c>
      <c r="D432" s="49" t="n">
        <f aca="false">0.5*c_rho*'P3 Energie'!E8*'P3 Energie'!E7*(C432-c_Vv)^2+'P3 Energie'!E13+'P3 Energie'!E15+'P3 Energie'!E6*$C$7</f>
        <v>18193.896379336</v>
      </c>
      <c r="E432" s="50" t="n">
        <f aca="false">D432*C432</f>
        <v>106889.141228599</v>
      </c>
      <c r="F432" s="46" t="n">
        <v>423</v>
      </c>
      <c r="G432" s="47" t="n">
        <f aca="false">F432*$H$6</f>
        <v>0.771846521122236</v>
      </c>
      <c r="H432" s="48" t="n">
        <f aca="false">$H$7*G432</f>
        <v>5.875</v>
      </c>
      <c r="I432" s="49" t="n">
        <f aca="false">0.5*c_rho*'P3 Energie'!F8*'P3 Energie'!F7*(H432-c_Vv)^2+'P3 Energie'!F13+'P3 Energie'!F15+'P3 Energie'!F6*$H$7</f>
        <v>19050.279640215</v>
      </c>
      <c r="J432" s="50" t="n">
        <f aca="false">I432*H432</f>
        <v>111920.392886263</v>
      </c>
    </row>
    <row r="433" customFormat="false" ht="15" hidden="false" customHeight="false" outlineLevel="0" collapsed="false">
      <c r="A433" s="46" t="n">
        <v>424</v>
      </c>
      <c r="B433" s="47" t="n">
        <f aca="false">A433*$C$6</f>
        <v>0.775911472997798</v>
      </c>
      <c r="C433" s="48" t="n">
        <f aca="false">$C$7*B433</f>
        <v>5.88888888888889</v>
      </c>
      <c r="D433" s="49" t="n">
        <f aca="false">0.5*c_rho*'P3 Energie'!E8*'P3 Energie'!E7*(C433-c_Vv)^2+'P3 Energie'!E13+'P3 Energie'!E15+'P3 Energie'!E6*$C$7</f>
        <v>18193.9616425702</v>
      </c>
      <c r="E433" s="50" t="n">
        <f aca="false">D433*C433</f>
        <v>107142.218561802</v>
      </c>
      <c r="F433" s="46" t="n">
        <v>424</v>
      </c>
      <c r="G433" s="47" t="n">
        <f aca="false">F433*$H$6</f>
        <v>0.773671217389664</v>
      </c>
      <c r="H433" s="48" t="n">
        <f aca="false">$H$7*G433</f>
        <v>5.88888888888889</v>
      </c>
      <c r="I433" s="49" t="n">
        <f aca="false">0.5*c_rho*'P3 Energie'!F8*'P3 Energie'!F7*(H433-c_Vv)^2+'P3 Energie'!F13+'P3 Energie'!F15+'P3 Energie'!F6*$H$7</f>
        <v>19050.3363423556</v>
      </c>
      <c r="J433" s="50" t="n">
        <f aca="false">I433*H433</f>
        <v>112185.314016094</v>
      </c>
    </row>
    <row r="434" customFormat="false" ht="15" hidden="false" customHeight="false" outlineLevel="0" collapsed="false">
      <c r="A434" s="46" t="n">
        <v>425</v>
      </c>
      <c r="B434" s="47" t="n">
        <f aca="false">A434*$C$6</f>
        <v>0.777741452886944</v>
      </c>
      <c r="C434" s="48" t="n">
        <f aca="false">$C$7*B434</f>
        <v>5.90277777777778</v>
      </c>
      <c r="D434" s="49" t="n">
        <f aca="false">0.5*c_rho*'P3 Energie'!E8*'P3 Energie'!E7*(C434-c_Vv)^2+'P3 Energie'!E13+'P3 Energie'!E15+'P3 Energie'!E6*$C$7</f>
        <v>18194.0270599089</v>
      </c>
      <c r="E434" s="50" t="n">
        <f aca="false">D434*C434</f>
        <v>107395.298617518</v>
      </c>
      <c r="F434" s="46" t="n">
        <v>425</v>
      </c>
      <c r="G434" s="47" t="n">
        <f aca="false">F434*$H$6</f>
        <v>0.775495913657093</v>
      </c>
      <c r="H434" s="48" t="n">
        <f aca="false">$H$7*G434</f>
        <v>5.90277777777778</v>
      </c>
      <c r="I434" s="49" t="n">
        <f aca="false">0.5*c_rho*'P3 Energie'!F8*'P3 Energie'!F7*(H434-c_Vv)^2+'P3 Energie'!F13+'P3 Energie'!F15+'P3 Energie'!F6*$H$7</f>
        <v>19050.3931783854</v>
      </c>
      <c r="J434" s="50" t="n">
        <f aca="false">I434*H434</f>
        <v>112450.237511303</v>
      </c>
    </row>
    <row r="435" customFormat="false" ht="15" hidden="false" customHeight="false" outlineLevel="0" collapsed="false">
      <c r="A435" s="46" t="n">
        <v>426</v>
      </c>
      <c r="B435" s="47" t="n">
        <f aca="false">A435*$C$6</f>
        <v>0.779571432776089</v>
      </c>
      <c r="C435" s="48" t="n">
        <f aca="false">$C$7*B435</f>
        <v>5.91666666666667</v>
      </c>
      <c r="D435" s="49" t="n">
        <f aca="false">0.5*c_rho*'P3 Energie'!E8*'P3 Energie'!E7*(C435-c_Vv)^2+'P3 Energie'!E13+'P3 Energie'!E15+'P3 Energie'!E6*$C$7</f>
        <v>18194.0926313519</v>
      </c>
      <c r="E435" s="50" t="n">
        <f aca="false">D435*C435</f>
        <v>107648.381402166</v>
      </c>
      <c r="F435" s="46" t="n">
        <v>426</v>
      </c>
      <c r="G435" s="47" t="n">
        <f aca="false">F435*$H$6</f>
        <v>0.777320609924521</v>
      </c>
      <c r="H435" s="48" t="n">
        <f aca="false">$H$7*G435</f>
        <v>5.91666666666667</v>
      </c>
      <c r="I435" s="49" t="n">
        <f aca="false">0.5*c_rho*'P3 Energie'!F8*'P3 Energie'!F7*(H435-c_Vv)^2+'P3 Energie'!F13+'P3 Energie'!F15+'P3 Energie'!F6*$H$7</f>
        <v>19050.4501483046</v>
      </c>
      <c r="J435" s="50" t="n">
        <f aca="false">I435*H435</f>
        <v>112715.163377469</v>
      </c>
    </row>
    <row r="436" customFormat="false" ht="15" hidden="false" customHeight="false" outlineLevel="0" collapsed="false">
      <c r="A436" s="46" t="n">
        <v>427</v>
      </c>
      <c r="B436" s="47" t="n">
        <f aca="false">A436*$C$6</f>
        <v>0.781401412665235</v>
      </c>
      <c r="C436" s="48" t="n">
        <f aca="false">$C$7*B436</f>
        <v>5.93055555555556</v>
      </c>
      <c r="D436" s="49" t="n">
        <f aca="false">0.5*c_rho*'P3 Energie'!E8*'P3 Energie'!E7*(C436-c_Vv)^2+'P3 Energie'!E13+'P3 Energie'!E15+'P3 Energie'!E6*$C$7</f>
        <v>18194.1583568995</v>
      </c>
      <c r="E436" s="50" t="n">
        <f aca="false">D436*C436</f>
        <v>107901.466922168</v>
      </c>
      <c r="F436" s="46" t="n">
        <v>427</v>
      </c>
      <c r="G436" s="47" t="n">
        <f aca="false">F436*$H$6</f>
        <v>0.77914530619195</v>
      </c>
      <c r="H436" s="48" t="n">
        <f aca="false">$H$7*G436</f>
        <v>5.93055555555556</v>
      </c>
      <c r="I436" s="49" t="n">
        <f aca="false">0.5*c_rho*'P3 Energie'!F8*'P3 Energie'!F7*(H436-c_Vv)^2+'P3 Energie'!F13+'P3 Energie'!F15+'P3 Energie'!F6*$H$7</f>
        <v>19050.5072521132</v>
      </c>
      <c r="J436" s="50" t="n">
        <f aca="false">I436*H436</f>
        <v>112980.091620171</v>
      </c>
    </row>
    <row r="437" customFormat="false" ht="15" hidden="false" customHeight="false" outlineLevel="0" collapsed="false">
      <c r="A437" s="46" t="n">
        <v>428</v>
      </c>
      <c r="B437" s="47" t="n">
        <f aca="false">A437*$C$6</f>
        <v>0.783231392554381</v>
      </c>
      <c r="C437" s="48" t="n">
        <f aca="false">$C$7*B437</f>
        <v>5.94444444444445</v>
      </c>
      <c r="D437" s="49" t="n">
        <f aca="false">0.5*c_rho*'P3 Energie'!E8*'P3 Energie'!E7*(C437-c_Vv)^2+'P3 Energie'!E13+'P3 Energie'!E15+'P3 Energie'!E6*$C$7</f>
        <v>18194.2242365515</v>
      </c>
      <c r="E437" s="50" t="n">
        <f aca="false">D437*C437</f>
        <v>108154.555183945</v>
      </c>
      <c r="F437" s="46" t="n">
        <v>428</v>
      </c>
      <c r="G437" s="47" t="n">
        <f aca="false">F437*$H$6</f>
        <v>0.780970002459378</v>
      </c>
      <c r="H437" s="48" t="n">
        <f aca="false">$H$7*G437</f>
        <v>5.94444444444445</v>
      </c>
      <c r="I437" s="49" t="n">
        <f aca="false">0.5*c_rho*'P3 Energie'!F8*'P3 Energie'!F7*(H437-c_Vv)^2+'P3 Energie'!F13+'P3 Energie'!F15+'P3 Energie'!F6*$H$7</f>
        <v>19050.5644898111</v>
      </c>
      <c r="J437" s="50" t="n">
        <f aca="false">I437*H437</f>
        <v>113245.022244988</v>
      </c>
    </row>
    <row r="438" customFormat="false" ht="15" hidden="false" customHeight="false" outlineLevel="0" collapsed="false">
      <c r="A438" s="46" t="n">
        <v>429</v>
      </c>
      <c r="B438" s="47" t="n">
        <f aca="false">A438*$C$6</f>
        <v>0.785061372443527</v>
      </c>
      <c r="C438" s="48" t="n">
        <f aca="false">$C$7*B438</f>
        <v>5.95833333333333</v>
      </c>
      <c r="D438" s="49" t="n">
        <f aca="false">0.5*c_rho*'P3 Energie'!E8*'P3 Energie'!E7*(C438-c_Vv)^2+'P3 Energie'!E13+'P3 Energie'!E15+'P3 Energie'!E6*$C$7</f>
        <v>18194.2902703079</v>
      </c>
      <c r="E438" s="50" t="n">
        <f aca="false">D438*C438</f>
        <v>108407.646193918</v>
      </c>
      <c r="F438" s="46" t="n">
        <v>429</v>
      </c>
      <c r="G438" s="47" t="n">
        <f aca="false">F438*$H$6</f>
        <v>0.782794698726807</v>
      </c>
      <c r="H438" s="48" t="n">
        <f aca="false">$H$7*G438</f>
        <v>5.95833333333333</v>
      </c>
      <c r="I438" s="49" t="n">
        <f aca="false">0.5*c_rho*'P3 Energie'!F8*'P3 Energie'!F7*(H438-c_Vv)^2+'P3 Energie'!F13+'P3 Energie'!F15+'P3 Energie'!F6*$H$7</f>
        <v>19050.6218613984</v>
      </c>
      <c r="J438" s="50" t="n">
        <f aca="false">I438*H438</f>
        <v>113509.955257499</v>
      </c>
    </row>
    <row r="439" customFormat="false" ht="15" hidden="false" customHeight="false" outlineLevel="0" collapsed="false">
      <c r="A439" s="46" t="n">
        <v>430</v>
      </c>
      <c r="B439" s="47" t="n">
        <f aca="false">A439*$C$6</f>
        <v>0.786891352332672</v>
      </c>
      <c r="C439" s="48" t="n">
        <f aca="false">$C$7*B439</f>
        <v>5.97222222222222</v>
      </c>
      <c r="D439" s="49" t="n">
        <f aca="false">0.5*c_rho*'P3 Energie'!E8*'P3 Energie'!E7*(C439-c_Vv)^2+'P3 Energie'!E13+'P3 Energie'!E15+'P3 Energie'!E6*$C$7</f>
        <v>18194.3564581688</v>
      </c>
      <c r="E439" s="50" t="n">
        <f aca="false">D439*C439</f>
        <v>108660.739958508</v>
      </c>
      <c r="F439" s="46" t="n">
        <v>430</v>
      </c>
      <c r="G439" s="47" t="n">
        <f aca="false">F439*$H$6</f>
        <v>0.784619394994235</v>
      </c>
      <c r="H439" s="48" t="n">
        <f aca="false">$H$7*G439</f>
        <v>5.97222222222222</v>
      </c>
      <c r="I439" s="49" t="n">
        <f aca="false">0.5*c_rho*'P3 Energie'!F8*'P3 Energie'!F7*(H439-c_Vv)^2+'P3 Energie'!F13+'P3 Energie'!F15+'P3 Energie'!F6*$H$7</f>
        <v>19050.679366875</v>
      </c>
      <c r="J439" s="50" t="n">
        <f aca="false">I439*H439</f>
        <v>113774.890663281</v>
      </c>
    </row>
    <row r="440" customFormat="false" ht="15" hidden="false" customHeight="false" outlineLevel="0" collapsed="false">
      <c r="A440" s="46" t="n">
        <v>431</v>
      </c>
      <c r="B440" s="47" t="n">
        <f aca="false">A440*$C$6</f>
        <v>0.788721332221818</v>
      </c>
      <c r="C440" s="48" t="n">
        <f aca="false">$C$7*B440</f>
        <v>5.98611111111111</v>
      </c>
      <c r="D440" s="49" t="n">
        <f aca="false">0.5*c_rho*'P3 Energie'!E8*'P3 Energie'!E7*(C440-c_Vv)^2+'P3 Energie'!E13+'P3 Energie'!E15+'P3 Energie'!E6*$C$7</f>
        <v>18194.4228001341</v>
      </c>
      <c r="E440" s="50" t="n">
        <f aca="false">D440*C440</f>
        <v>108913.836484136</v>
      </c>
      <c r="F440" s="46" t="n">
        <v>431</v>
      </c>
      <c r="G440" s="47" t="n">
        <f aca="false">F440*$H$6</f>
        <v>0.786444091261664</v>
      </c>
      <c r="H440" s="48" t="n">
        <f aca="false">$H$7*G440</f>
        <v>5.98611111111111</v>
      </c>
      <c r="I440" s="49" t="n">
        <f aca="false">0.5*c_rho*'P3 Energie'!F8*'P3 Energie'!F7*(H440-c_Vv)^2+'P3 Energie'!F13+'P3 Energie'!F15+'P3 Energie'!F6*$H$7</f>
        <v>19050.737006241</v>
      </c>
      <c r="J440" s="50" t="n">
        <f aca="false">I440*H440</f>
        <v>114039.828467915</v>
      </c>
    </row>
    <row r="441" customFormat="false" ht="15" hidden="false" customHeight="false" outlineLevel="0" collapsed="false">
      <c r="A441" s="46" t="n">
        <v>432</v>
      </c>
      <c r="B441" s="47" t="n">
        <f aca="false">A441*$C$6</f>
        <v>0.790551312110964</v>
      </c>
      <c r="C441" s="48" t="n">
        <f aca="false">$C$7*B441</f>
        <v>6</v>
      </c>
      <c r="D441" s="49" t="n">
        <f aca="false">0.5*c_rho*'P3 Energie'!E8*'P3 Energie'!E7*(C441-c_Vv)^2+'P3 Energie'!E13+'P3 Energie'!E15+'P3 Energie'!E6*$C$7</f>
        <v>18194.4892962039</v>
      </c>
      <c r="E441" s="50" t="n">
        <f aca="false">D441*C441</f>
        <v>109166.935777223</v>
      </c>
      <c r="F441" s="46" t="n">
        <v>432</v>
      </c>
      <c r="G441" s="47" t="n">
        <f aca="false">F441*$H$6</f>
        <v>0.788268787529092</v>
      </c>
      <c r="H441" s="48" t="n">
        <f aca="false">$H$7*G441</f>
        <v>6</v>
      </c>
      <c r="I441" s="49" t="n">
        <f aca="false">0.5*c_rho*'P3 Energie'!F8*'P3 Energie'!F7*(H441-c_Vv)^2+'P3 Energie'!F13+'P3 Energie'!F15+'P3 Energie'!F6*$H$7</f>
        <v>19050.7947794963</v>
      </c>
      <c r="J441" s="50" t="n">
        <f aca="false">I441*H441</f>
        <v>114304.768676978</v>
      </c>
    </row>
    <row r="442" customFormat="false" ht="15" hidden="false" customHeight="false" outlineLevel="0" collapsed="false">
      <c r="A442" s="46" t="n">
        <v>433</v>
      </c>
      <c r="B442" s="47" t="n">
        <f aca="false">A442*$C$6</f>
        <v>0.79238129200011</v>
      </c>
      <c r="C442" s="48" t="n">
        <f aca="false">$C$7*B442</f>
        <v>6.01388888888889</v>
      </c>
      <c r="D442" s="49" t="n">
        <f aca="false">0.5*c_rho*'P3 Energie'!E8*'P3 Energie'!E7*(C442-c_Vv)^2+'P3 Energie'!E13+'P3 Energie'!E15+'P3 Energie'!E6*$C$7</f>
        <v>18194.5559463781</v>
      </c>
      <c r="E442" s="50" t="n">
        <f aca="false">D442*C442</f>
        <v>109420.03784419</v>
      </c>
      <c r="F442" s="46" t="n">
        <v>433</v>
      </c>
      <c r="G442" s="47" t="n">
        <f aca="false">F442*$H$6</f>
        <v>0.79009348379652</v>
      </c>
      <c r="H442" s="48" t="n">
        <f aca="false">$H$7*G442</f>
        <v>6.01388888888889</v>
      </c>
      <c r="I442" s="49" t="n">
        <f aca="false">0.5*c_rho*'P3 Energie'!F8*'P3 Energie'!F7*(H442-c_Vv)^2+'P3 Energie'!F13+'P3 Energie'!F15+'P3 Energie'!F6*$H$7</f>
        <v>19050.852686641</v>
      </c>
      <c r="J442" s="50" t="n">
        <f aca="false">I442*H442</f>
        <v>114569.711296049</v>
      </c>
    </row>
    <row r="443" customFormat="false" ht="15" hidden="false" customHeight="false" outlineLevel="0" collapsed="false">
      <c r="A443" s="46" t="n">
        <v>434</v>
      </c>
      <c r="B443" s="47" t="n">
        <f aca="false">A443*$C$6</f>
        <v>0.794211271889255</v>
      </c>
      <c r="C443" s="48" t="n">
        <f aca="false">$C$7*B443</f>
        <v>6.02777777777778</v>
      </c>
      <c r="D443" s="49" t="n">
        <f aca="false">0.5*c_rho*'P3 Energie'!E8*'P3 Energie'!E7*(C443-c_Vv)^2+'P3 Energie'!E13+'P3 Energie'!E15+'P3 Energie'!E6*$C$7</f>
        <v>18194.6227506568</v>
      </c>
      <c r="E443" s="50" t="n">
        <f aca="false">D443*C443</f>
        <v>109673.142691459</v>
      </c>
      <c r="F443" s="46" t="n">
        <v>434</v>
      </c>
      <c r="G443" s="47" t="n">
        <f aca="false">F443*$H$6</f>
        <v>0.791918180063949</v>
      </c>
      <c r="H443" s="48" t="n">
        <f aca="false">$H$7*G443</f>
        <v>6.02777777777778</v>
      </c>
      <c r="I443" s="49" t="n">
        <f aca="false">0.5*c_rho*'P3 Energie'!F8*'P3 Energie'!F7*(H443-c_Vv)^2+'P3 Energie'!F13+'P3 Energie'!F15+'P3 Energie'!F6*$H$7</f>
        <v>19050.910727675</v>
      </c>
      <c r="J443" s="50" t="n">
        <f aca="false">I443*H443</f>
        <v>114834.656330708</v>
      </c>
    </row>
    <row r="444" customFormat="false" ht="15" hidden="false" customHeight="false" outlineLevel="0" collapsed="false">
      <c r="A444" s="46" t="n">
        <v>435</v>
      </c>
      <c r="B444" s="47" t="n">
        <f aca="false">A444*$C$6</f>
        <v>0.796041251778401</v>
      </c>
      <c r="C444" s="48" t="n">
        <f aca="false">$C$7*B444</f>
        <v>6.04166666666667</v>
      </c>
      <c r="D444" s="49" t="n">
        <f aca="false">0.5*c_rho*'P3 Energie'!E8*'P3 Energie'!E7*(C444-c_Vv)^2+'P3 Energie'!E13+'P3 Energie'!E15+'P3 Energie'!E6*$C$7</f>
        <v>18194.6897090399</v>
      </c>
      <c r="E444" s="50" t="n">
        <f aca="false">D444*C444</f>
        <v>109926.250325449</v>
      </c>
      <c r="F444" s="46" t="n">
        <v>435</v>
      </c>
      <c r="G444" s="47" t="n">
        <f aca="false">F444*$H$6</f>
        <v>0.793742876331377</v>
      </c>
      <c r="H444" s="48" t="n">
        <f aca="false">$H$7*G444</f>
        <v>6.04166666666667</v>
      </c>
      <c r="I444" s="49" t="n">
        <f aca="false">0.5*c_rho*'P3 Energie'!F8*'P3 Energie'!F7*(H444-c_Vv)^2+'P3 Energie'!F13+'P3 Energie'!F15+'P3 Energie'!F6*$H$7</f>
        <v>19050.9689025984</v>
      </c>
      <c r="J444" s="50" t="n">
        <f aca="false">I444*H444</f>
        <v>115099.603786532</v>
      </c>
    </row>
    <row r="445" customFormat="false" ht="15" hidden="false" customHeight="false" outlineLevel="0" collapsed="false">
      <c r="A445" s="46" t="n">
        <v>436</v>
      </c>
      <c r="B445" s="47" t="n">
        <f aca="false">A445*$C$6</f>
        <v>0.797871231667547</v>
      </c>
      <c r="C445" s="48" t="n">
        <f aca="false">$C$7*B445</f>
        <v>6.05555555555556</v>
      </c>
      <c r="D445" s="49" t="n">
        <f aca="false">0.5*c_rho*'P3 Energie'!E8*'P3 Energie'!E7*(C445-c_Vv)^2+'P3 Energie'!E13+'P3 Energie'!E15+'P3 Energie'!E6*$C$7</f>
        <v>18194.7568215275</v>
      </c>
      <c r="E445" s="50" t="n">
        <f aca="false">D445*C445</f>
        <v>110179.360752583</v>
      </c>
      <c r="F445" s="46" t="n">
        <v>436</v>
      </c>
      <c r="G445" s="47" t="n">
        <f aca="false">F445*$H$6</f>
        <v>0.795567572598806</v>
      </c>
      <c r="H445" s="48" t="n">
        <f aca="false">$H$7*G445</f>
        <v>6.05555555555556</v>
      </c>
      <c r="I445" s="49" t="n">
        <f aca="false">0.5*c_rho*'P3 Energie'!F8*'P3 Energie'!F7*(H445-c_Vv)^2+'P3 Energie'!F13+'P3 Energie'!F15+'P3 Energie'!F6*$H$7</f>
        <v>19051.0272114111</v>
      </c>
      <c r="J445" s="50" t="n">
        <f aca="false">I445*H445</f>
        <v>115364.553669101</v>
      </c>
    </row>
    <row r="446" customFormat="false" ht="15" hidden="false" customHeight="false" outlineLevel="0" collapsed="false">
      <c r="A446" s="46" t="n">
        <v>437</v>
      </c>
      <c r="B446" s="47" t="n">
        <f aca="false">A446*$C$6</f>
        <v>0.799701211556693</v>
      </c>
      <c r="C446" s="48" t="n">
        <f aca="false">$C$7*B446</f>
        <v>6.06944444444445</v>
      </c>
      <c r="D446" s="49" t="n">
        <f aca="false">0.5*c_rho*'P3 Energie'!E8*'P3 Energie'!E7*(C446-c_Vv)^2+'P3 Energie'!E13+'P3 Energie'!E15+'P3 Energie'!E6*$C$7</f>
        <v>18194.8240881195</v>
      </c>
      <c r="E446" s="50" t="n">
        <f aca="false">D446*C446</f>
        <v>110432.473979281</v>
      </c>
      <c r="F446" s="46" t="n">
        <v>437</v>
      </c>
      <c r="G446" s="47" t="n">
        <f aca="false">F446*$H$6</f>
        <v>0.797392268866234</v>
      </c>
      <c r="H446" s="48" t="n">
        <f aca="false">$H$7*G446</f>
        <v>6.06944444444445</v>
      </c>
      <c r="I446" s="49" t="n">
        <f aca="false">0.5*c_rho*'P3 Energie'!F8*'P3 Energie'!F7*(H446-c_Vv)^2+'P3 Energie'!F13+'P3 Energie'!F15+'P3 Energie'!F6*$H$7</f>
        <v>19051.0856541132</v>
      </c>
      <c r="J446" s="50" t="n">
        <f aca="false">I446*H446</f>
        <v>115629.505983993</v>
      </c>
    </row>
    <row r="447" customFormat="false" ht="15" hidden="false" customHeight="false" outlineLevel="0" collapsed="false">
      <c r="A447" s="46" t="n">
        <v>438</v>
      </c>
      <c r="B447" s="47" t="n">
        <f aca="false">A447*$C$6</f>
        <v>0.801531191445838</v>
      </c>
      <c r="C447" s="48" t="n">
        <f aca="false">$C$7*B447</f>
        <v>6.08333333333333</v>
      </c>
      <c r="D447" s="49" t="n">
        <f aca="false">0.5*c_rho*'P3 Energie'!E8*'P3 Energie'!E7*(C447-c_Vv)^2+'P3 Energie'!E13+'P3 Energie'!E15+'P3 Energie'!E6*$C$7</f>
        <v>18194.8915088159</v>
      </c>
      <c r="E447" s="50" t="n">
        <f aca="false">D447*C447</f>
        <v>110685.590011964</v>
      </c>
      <c r="F447" s="46" t="n">
        <v>438</v>
      </c>
      <c r="G447" s="47" t="n">
        <f aca="false">F447*$H$6</f>
        <v>0.799216965133663</v>
      </c>
      <c r="H447" s="48" t="n">
        <f aca="false">$H$7*G447</f>
        <v>6.08333333333333</v>
      </c>
      <c r="I447" s="49" t="n">
        <f aca="false">0.5*c_rho*'P3 Energie'!F8*'P3 Energie'!F7*(H447-c_Vv)^2+'P3 Energie'!F13+'P3 Energie'!F15+'P3 Energie'!F6*$H$7</f>
        <v>19051.1442307046</v>
      </c>
      <c r="J447" s="50" t="n">
        <f aca="false">I447*H447</f>
        <v>115894.460736787</v>
      </c>
    </row>
    <row r="448" customFormat="false" ht="15" hidden="false" customHeight="false" outlineLevel="0" collapsed="false">
      <c r="A448" s="46" t="n">
        <v>439</v>
      </c>
      <c r="B448" s="47" t="n">
        <f aca="false">A448*$C$6</f>
        <v>0.803361171334984</v>
      </c>
      <c r="C448" s="48" t="n">
        <f aca="false">$C$7*B448</f>
        <v>6.09722222222222</v>
      </c>
      <c r="D448" s="49" t="n">
        <f aca="false">0.5*c_rho*'P3 Energie'!E8*'P3 Energie'!E7*(C448-c_Vv)^2+'P3 Energie'!E13+'P3 Energie'!E15+'P3 Energie'!E6*$C$7</f>
        <v>18194.9590836169</v>
      </c>
      <c r="E448" s="50" t="n">
        <f aca="false">D448*C448</f>
        <v>110938.708857053</v>
      </c>
      <c r="F448" s="46" t="n">
        <v>439</v>
      </c>
      <c r="G448" s="47" t="n">
        <f aca="false">F448*$H$6</f>
        <v>0.801041661401091</v>
      </c>
      <c r="H448" s="48" t="n">
        <f aca="false">$H$7*G448</f>
        <v>6.09722222222222</v>
      </c>
      <c r="I448" s="49" t="n">
        <f aca="false">0.5*c_rho*'P3 Energie'!F8*'P3 Energie'!F7*(H448-c_Vv)^2+'P3 Energie'!F13+'P3 Energie'!F15+'P3 Energie'!F6*$H$7</f>
        <v>19051.2029411854</v>
      </c>
      <c r="J448" s="50" t="n">
        <f aca="false">I448*H448</f>
        <v>116159.417933061</v>
      </c>
    </row>
    <row r="449" customFormat="false" ht="15" hidden="false" customHeight="false" outlineLevel="0" collapsed="false">
      <c r="A449" s="46" t="n">
        <v>440</v>
      </c>
      <c r="B449" s="47" t="n">
        <f aca="false">A449*$C$6</f>
        <v>0.80519115122413</v>
      </c>
      <c r="C449" s="48" t="n">
        <f aca="false">$C$7*B449</f>
        <v>6.11111111111111</v>
      </c>
      <c r="D449" s="49" t="n">
        <f aca="false">0.5*c_rho*'P3 Energie'!E8*'P3 Energie'!E7*(C449-c_Vv)^2+'P3 Energie'!E13+'P3 Energie'!E15+'P3 Energie'!E6*$C$7</f>
        <v>18195.0268125222</v>
      </c>
      <c r="E449" s="50" t="n">
        <f aca="false">D449*C449</f>
        <v>111191.830520969</v>
      </c>
      <c r="F449" s="46" t="n">
        <v>440</v>
      </c>
      <c r="G449" s="47" t="n">
        <f aca="false">F449*$H$6</f>
        <v>0.80286635766852</v>
      </c>
      <c r="H449" s="48" t="n">
        <f aca="false">$H$7*G449</f>
        <v>6.11111111111111</v>
      </c>
      <c r="I449" s="49" t="n">
        <f aca="false">0.5*c_rho*'P3 Energie'!F8*'P3 Energie'!F7*(H449-c_Vv)^2+'P3 Energie'!F13+'P3 Energie'!F15+'P3 Energie'!F6*$H$7</f>
        <v>19051.2617855556</v>
      </c>
      <c r="J449" s="50" t="n">
        <f aca="false">I449*H449</f>
        <v>116424.377578395</v>
      </c>
    </row>
    <row r="450" customFormat="false" ht="15" hidden="false" customHeight="false" outlineLevel="0" collapsed="false">
      <c r="A450" s="46" t="n">
        <v>441</v>
      </c>
      <c r="B450" s="47" t="n">
        <f aca="false">A450*$C$6</f>
        <v>0.807021131113276</v>
      </c>
      <c r="C450" s="48" t="n">
        <f aca="false">$C$7*B450</f>
        <v>6.125</v>
      </c>
      <c r="D450" s="49" t="n">
        <f aca="false">0.5*c_rho*'P3 Energie'!E8*'P3 Energie'!E7*(C450-c_Vv)^2+'P3 Energie'!E13+'P3 Energie'!E15+'P3 Energie'!E6*$C$7</f>
        <v>18195.094695532</v>
      </c>
      <c r="E450" s="50" t="n">
        <f aca="false">D450*C450</f>
        <v>111444.955010134</v>
      </c>
      <c r="F450" s="46" t="n">
        <v>441</v>
      </c>
      <c r="G450" s="47" t="n">
        <f aca="false">F450*$H$6</f>
        <v>0.804691053935948</v>
      </c>
      <c r="H450" s="48" t="n">
        <f aca="false">$H$7*G450</f>
        <v>6.125</v>
      </c>
      <c r="I450" s="49" t="n">
        <f aca="false">0.5*c_rho*'P3 Energie'!F8*'P3 Energie'!F7*(H450-c_Vv)^2+'P3 Energie'!F13+'P3 Energie'!F15+'P3 Energie'!F6*$H$7</f>
        <v>19051.320763815</v>
      </c>
      <c r="J450" s="50" t="n">
        <f aca="false">I450*H450</f>
        <v>116689.339678367</v>
      </c>
    </row>
    <row r="451" customFormat="false" ht="15" hidden="false" customHeight="false" outlineLevel="0" collapsed="false">
      <c r="A451" s="46" t="n">
        <v>442</v>
      </c>
      <c r="B451" s="47" t="n">
        <f aca="false">A451*$C$6</f>
        <v>0.808851111002421</v>
      </c>
      <c r="C451" s="48" t="n">
        <f aca="false">$C$7*B451</f>
        <v>6.13888888888889</v>
      </c>
      <c r="D451" s="49" t="n">
        <f aca="false">0.5*c_rho*'P3 Energie'!E8*'P3 Energie'!E7*(C451-c_Vv)^2+'P3 Energie'!E13+'P3 Energie'!E15+'P3 Energie'!E6*$C$7</f>
        <v>18195.1627326463</v>
      </c>
      <c r="E451" s="50" t="n">
        <f aca="false">D451*C451</f>
        <v>111698.082330968</v>
      </c>
      <c r="F451" s="46" t="n">
        <v>442</v>
      </c>
      <c r="G451" s="47" t="n">
        <f aca="false">F451*$H$6</f>
        <v>0.806515750203376</v>
      </c>
      <c r="H451" s="48" t="n">
        <f aca="false">$H$7*G451</f>
        <v>6.13888888888889</v>
      </c>
      <c r="I451" s="49" t="n">
        <f aca="false">0.5*c_rho*'P3 Energie'!F8*'P3 Energie'!F7*(H451-c_Vv)^2+'P3 Energie'!F13+'P3 Energie'!F15+'P3 Energie'!F6*$H$7</f>
        <v>19051.3798759639</v>
      </c>
      <c r="J451" s="50" t="n">
        <f aca="false">I451*H451</f>
        <v>116954.304238556</v>
      </c>
    </row>
    <row r="452" customFormat="false" ht="15" hidden="false" customHeight="false" outlineLevel="0" collapsed="false">
      <c r="A452" s="46" t="n">
        <v>443</v>
      </c>
      <c r="B452" s="47" t="n">
        <f aca="false">A452*$C$6</f>
        <v>0.810681090891567</v>
      </c>
      <c r="C452" s="48" t="n">
        <f aca="false">$C$7*B452</f>
        <v>6.15277777777778</v>
      </c>
      <c r="D452" s="49" t="n">
        <f aca="false">0.5*c_rho*'P3 Energie'!E8*'P3 Energie'!E7*(C452-c_Vv)^2+'P3 Energie'!E13+'P3 Energie'!E15+'P3 Energie'!E6*$C$7</f>
        <v>18195.230923865</v>
      </c>
      <c r="E452" s="50" t="n">
        <f aca="false">D452*C452</f>
        <v>111951.212489892</v>
      </c>
      <c r="F452" s="46" t="n">
        <v>443</v>
      </c>
      <c r="G452" s="47" t="n">
        <f aca="false">F452*$H$6</f>
        <v>0.808340446470805</v>
      </c>
      <c r="H452" s="48" t="n">
        <f aca="false">$H$7*G452</f>
        <v>6.15277777777778</v>
      </c>
      <c r="I452" s="49" t="n">
        <f aca="false">0.5*c_rho*'P3 Energie'!F8*'P3 Energie'!F7*(H452-c_Vv)^2+'P3 Energie'!F13+'P3 Energie'!F15+'P3 Energie'!F6*$H$7</f>
        <v>19051.4391220021</v>
      </c>
      <c r="J452" s="50" t="n">
        <f aca="false">I452*H452</f>
        <v>117219.271264541</v>
      </c>
    </row>
    <row r="453" customFormat="false" ht="15" hidden="false" customHeight="false" outlineLevel="0" collapsed="false">
      <c r="A453" s="46" t="n">
        <v>444</v>
      </c>
      <c r="B453" s="47" t="n">
        <f aca="false">A453*$C$6</f>
        <v>0.812511070780713</v>
      </c>
      <c r="C453" s="48" t="n">
        <f aca="false">$C$7*B453</f>
        <v>6.16666666666667</v>
      </c>
      <c r="D453" s="49" t="n">
        <f aca="false">0.5*c_rho*'P3 Energie'!E8*'P3 Energie'!E7*(C453-c_Vv)^2+'P3 Energie'!E13+'P3 Energie'!E15+'P3 Energie'!E6*$C$7</f>
        <v>18195.2992691882</v>
      </c>
      <c r="E453" s="50" t="n">
        <f aca="false">D453*C453</f>
        <v>112204.345493327</v>
      </c>
      <c r="F453" s="46" t="n">
        <v>444</v>
      </c>
      <c r="G453" s="47" t="n">
        <f aca="false">F453*$H$6</f>
        <v>0.810165142738233</v>
      </c>
      <c r="H453" s="48" t="n">
        <f aca="false">$H$7*G453</f>
        <v>6.16666666666667</v>
      </c>
      <c r="I453" s="49" t="n">
        <f aca="false">0.5*c_rho*'P3 Energie'!F8*'P3 Energie'!F7*(H453-c_Vv)^2+'P3 Energie'!F13+'P3 Energie'!F15+'P3 Energie'!F6*$H$7</f>
        <v>19051.4985019296</v>
      </c>
      <c r="J453" s="50" t="n">
        <f aca="false">I453*H453</f>
        <v>117484.240761899</v>
      </c>
    </row>
    <row r="454" customFormat="false" ht="15" hidden="false" customHeight="false" outlineLevel="0" collapsed="false">
      <c r="A454" s="46" t="n">
        <v>445</v>
      </c>
      <c r="B454" s="47" t="n">
        <f aca="false">A454*$C$6</f>
        <v>0.814341050669859</v>
      </c>
      <c r="C454" s="48" t="n">
        <f aca="false">$C$7*B454</f>
        <v>6.18055555555556</v>
      </c>
      <c r="D454" s="49" t="n">
        <f aca="false">0.5*c_rho*'P3 Energie'!E8*'P3 Energie'!E7*(C454-c_Vv)^2+'P3 Energie'!E13+'P3 Energie'!E15+'P3 Energie'!E6*$C$7</f>
        <v>18195.3677686158</v>
      </c>
      <c r="E454" s="50" t="n">
        <f aca="false">D454*C454</f>
        <v>112457.481347695</v>
      </c>
      <c r="F454" s="46" t="n">
        <v>445</v>
      </c>
      <c r="G454" s="47" t="n">
        <f aca="false">F454*$H$6</f>
        <v>0.811989839005662</v>
      </c>
      <c r="H454" s="48" t="n">
        <f aca="false">$H$7*G454</f>
        <v>6.18055555555556</v>
      </c>
      <c r="I454" s="49" t="n">
        <f aca="false">0.5*c_rho*'P3 Energie'!F8*'P3 Energie'!F7*(H454-c_Vv)^2+'P3 Energie'!F13+'P3 Energie'!F15+'P3 Energie'!F6*$H$7</f>
        <v>19051.5580157465</v>
      </c>
      <c r="J454" s="50" t="n">
        <f aca="false">I454*H454</f>
        <v>117749.212736211</v>
      </c>
    </row>
    <row r="455" customFormat="false" ht="15" hidden="false" customHeight="false" outlineLevel="0" collapsed="false">
      <c r="A455" s="46" t="n">
        <v>446</v>
      </c>
      <c r="B455" s="47" t="n">
        <f aca="false">A455*$C$6</f>
        <v>0.816171030559004</v>
      </c>
      <c r="C455" s="48" t="n">
        <f aca="false">$C$7*B455</f>
        <v>6.19444444444445</v>
      </c>
      <c r="D455" s="49" t="n">
        <f aca="false">0.5*c_rho*'P3 Energie'!E8*'P3 Energie'!E7*(C455-c_Vv)^2+'P3 Energie'!E13+'P3 Energie'!E15+'P3 Energie'!E6*$C$7</f>
        <v>18195.4364221479</v>
      </c>
      <c r="E455" s="50" t="n">
        <f aca="false">D455*C455</f>
        <v>112710.620059416</v>
      </c>
      <c r="F455" s="46" t="n">
        <v>446</v>
      </c>
      <c r="G455" s="47" t="n">
        <f aca="false">F455*$H$6</f>
        <v>0.81381453527309</v>
      </c>
      <c r="H455" s="48" t="n">
        <f aca="false">$H$7*G455</f>
        <v>6.19444444444445</v>
      </c>
      <c r="I455" s="49" t="n">
        <f aca="false">0.5*c_rho*'P3 Energie'!F8*'P3 Energie'!F7*(H455-c_Vv)^2+'P3 Energie'!F13+'P3 Energie'!F15+'P3 Energie'!F6*$H$7</f>
        <v>19051.6176634528</v>
      </c>
      <c r="J455" s="50" t="n">
        <f aca="false">I455*H455</f>
        <v>118014.187193055</v>
      </c>
    </row>
    <row r="456" customFormat="false" ht="15" hidden="false" customHeight="false" outlineLevel="0" collapsed="false">
      <c r="A456" s="46" t="n">
        <v>447</v>
      </c>
      <c r="B456" s="47" t="n">
        <f aca="false">A456*$C$6</f>
        <v>0.81800101044815</v>
      </c>
      <c r="C456" s="48" t="n">
        <f aca="false">$C$7*B456</f>
        <v>6.20833333333333</v>
      </c>
      <c r="D456" s="49" t="n">
        <f aca="false">0.5*c_rho*'P3 Energie'!E8*'P3 Energie'!E7*(C456-c_Vv)^2+'P3 Energie'!E13+'P3 Energie'!E15+'P3 Energie'!E6*$C$7</f>
        <v>18195.5052297844</v>
      </c>
      <c r="E456" s="50" t="n">
        <f aca="false">D456*C456</f>
        <v>112963.761634911</v>
      </c>
      <c r="F456" s="46" t="n">
        <v>447</v>
      </c>
      <c r="G456" s="47" t="n">
        <f aca="false">F456*$H$6</f>
        <v>0.815639231540519</v>
      </c>
      <c r="H456" s="48" t="n">
        <f aca="false">$H$7*G456</f>
        <v>6.20833333333333</v>
      </c>
      <c r="I456" s="49" t="n">
        <f aca="false">0.5*c_rho*'P3 Energie'!F8*'P3 Energie'!F7*(H456-c_Vv)^2+'P3 Energie'!F13+'P3 Energie'!F15+'P3 Energie'!F6*$H$7</f>
        <v>19051.6774450484</v>
      </c>
      <c r="J456" s="50" t="n">
        <f aca="false">I456*H456</f>
        <v>118279.164138009</v>
      </c>
    </row>
    <row r="457" customFormat="false" ht="15" hidden="false" customHeight="false" outlineLevel="0" collapsed="false">
      <c r="A457" s="46" t="n">
        <v>448</v>
      </c>
      <c r="B457" s="47" t="n">
        <f aca="false">A457*$C$6</f>
        <v>0.819830990337296</v>
      </c>
      <c r="C457" s="48" t="n">
        <f aca="false">$C$7*B457</f>
        <v>6.22222222222222</v>
      </c>
      <c r="D457" s="49" t="n">
        <f aca="false">0.5*c_rho*'P3 Energie'!E8*'P3 Energie'!E7*(C457-c_Vv)^2+'P3 Energie'!E13+'P3 Energie'!E15+'P3 Energie'!E6*$C$7</f>
        <v>18195.5741915253</v>
      </c>
      <c r="E457" s="50" t="n">
        <f aca="false">D457*C457</f>
        <v>113216.906080602</v>
      </c>
      <c r="F457" s="46" t="n">
        <v>448</v>
      </c>
      <c r="G457" s="47" t="n">
        <f aca="false">F457*$H$6</f>
        <v>0.817463927807947</v>
      </c>
      <c r="H457" s="48" t="n">
        <f aca="false">$H$7*G457</f>
        <v>6.22222222222222</v>
      </c>
      <c r="I457" s="49" t="n">
        <f aca="false">0.5*c_rho*'P3 Energie'!F8*'P3 Energie'!F7*(H457-c_Vv)^2+'P3 Energie'!F13+'P3 Energie'!F15+'P3 Energie'!F6*$H$7</f>
        <v>19051.7373605333</v>
      </c>
      <c r="J457" s="50" t="n">
        <f aca="false">I457*H457</f>
        <v>118544.143576652</v>
      </c>
    </row>
    <row r="458" customFormat="false" ht="15" hidden="false" customHeight="false" outlineLevel="0" collapsed="false">
      <c r="A458" s="46" t="n">
        <v>449</v>
      </c>
      <c r="B458" s="47" t="n">
        <f aca="false">A458*$C$6</f>
        <v>0.821660970226442</v>
      </c>
      <c r="C458" s="48" t="n">
        <f aca="false">$C$7*B458</f>
        <v>6.23611111111111</v>
      </c>
      <c r="D458" s="49" t="n">
        <f aca="false">0.5*c_rho*'P3 Energie'!E8*'P3 Energie'!E7*(C458-c_Vv)^2+'P3 Energie'!E13+'P3 Energie'!E15+'P3 Energie'!E6*$C$7</f>
        <v>18195.6433073708</v>
      </c>
      <c r="E458" s="50" t="n">
        <f aca="false">D458*C458</f>
        <v>113470.053402909</v>
      </c>
      <c r="F458" s="46" t="n">
        <v>449</v>
      </c>
      <c r="G458" s="47" t="n">
        <f aca="false">F458*$H$6</f>
        <v>0.819288624075376</v>
      </c>
      <c r="H458" s="48" t="n">
        <f aca="false">$H$7*G458</f>
        <v>6.23611111111111</v>
      </c>
      <c r="I458" s="49" t="n">
        <f aca="false">0.5*c_rho*'P3 Energie'!F8*'P3 Energie'!F7*(H458-c_Vv)^2+'P3 Energie'!F13+'P3 Energie'!F15+'P3 Energie'!F6*$H$7</f>
        <v>19051.7974099076</v>
      </c>
      <c r="J458" s="50" t="n">
        <f aca="false">I458*H458</f>
        <v>118809.125514563</v>
      </c>
    </row>
    <row r="459" customFormat="false" ht="15" hidden="false" customHeight="false" outlineLevel="0" collapsed="false">
      <c r="A459" s="46" t="n">
        <v>450</v>
      </c>
      <c r="B459" s="47" t="n">
        <f aca="false">A459*$C$6</f>
        <v>0.823490950115587</v>
      </c>
      <c r="C459" s="48" t="n">
        <f aca="false">$C$7*B459</f>
        <v>6.25</v>
      </c>
      <c r="D459" s="49" t="n">
        <f aca="false">0.5*c_rho*'P3 Energie'!E8*'P3 Energie'!E7*(C459-c_Vv)^2+'P3 Energie'!E13+'P3 Energie'!E15+'P3 Energie'!E6*$C$7</f>
        <v>18195.7125773206</v>
      </c>
      <c r="E459" s="50" t="n">
        <f aca="false">D459*C459</f>
        <v>113723.203608254</v>
      </c>
      <c r="F459" s="46" t="n">
        <v>450</v>
      </c>
      <c r="G459" s="47" t="n">
        <f aca="false">F459*$H$6</f>
        <v>0.821113320342804</v>
      </c>
      <c r="H459" s="48" t="n">
        <f aca="false">$H$7*G459</f>
        <v>6.25</v>
      </c>
      <c r="I459" s="49" t="n">
        <f aca="false">0.5*c_rho*'P3 Energie'!F8*'P3 Energie'!F7*(H459-c_Vv)^2+'P3 Energie'!F13+'P3 Energie'!F15+'P3 Energie'!F6*$H$7</f>
        <v>19051.8575931713</v>
      </c>
      <c r="J459" s="50" t="n">
        <f aca="false">I459*H459</f>
        <v>119074.109957321</v>
      </c>
    </row>
    <row r="460" customFormat="false" ht="15" hidden="false" customHeight="false" outlineLevel="0" collapsed="false">
      <c r="A460" s="46" t="n">
        <v>451</v>
      </c>
      <c r="B460" s="47" t="n">
        <f aca="false">A460*$C$6</f>
        <v>0.825320930004733</v>
      </c>
      <c r="C460" s="48" t="n">
        <f aca="false">$C$7*B460</f>
        <v>6.26388888888889</v>
      </c>
      <c r="D460" s="49" t="n">
        <f aca="false">0.5*c_rho*'P3 Energie'!E8*'P3 Energie'!E7*(C460-c_Vv)^2+'P3 Energie'!E13+'P3 Energie'!E15+'P3 Energie'!E6*$C$7</f>
        <v>18195.7820013749</v>
      </c>
      <c r="E460" s="50" t="n">
        <f aca="false">D460*C460</f>
        <v>113976.356703057</v>
      </c>
      <c r="F460" s="46" t="n">
        <v>451</v>
      </c>
      <c r="G460" s="47" t="n">
        <f aca="false">F460*$H$6</f>
        <v>0.822938016610233</v>
      </c>
      <c r="H460" s="48" t="n">
        <f aca="false">$H$7*G460</f>
        <v>6.26388888888889</v>
      </c>
      <c r="I460" s="49" t="n">
        <f aca="false">0.5*c_rho*'P3 Energie'!F8*'P3 Energie'!F7*(H460-c_Vv)^2+'P3 Energie'!F13+'P3 Energie'!F15+'P3 Energie'!F6*$H$7</f>
        <v>19051.9179103243</v>
      </c>
      <c r="J460" s="50" t="n">
        <f aca="false">I460*H460</f>
        <v>119339.096910504</v>
      </c>
    </row>
    <row r="461" customFormat="false" ht="15" hidden="false" customHeight="false" outlineLevel="0" collapsed="false">
      <c r="A461" s="46" t="n">
        <v>452</v>
      </c>
      <c r="B461" s="47" t="n">
        <f aca="false">A461*$C$6</f>
        <v>0.827150909893879</v>
      </c>
      <c r="C461" s="48" t="n">
        <f aca="false">$C$7*B461</f>
        <v>6.27777777777778</v>
      </c>
      <c r="D461" s="49" t="n">
        <f aca="false">0.5*c_rho*'P3 Energie'!E8*'P3 Energie'!E7*(C461-c_Vv)^2+'P3 Energie'!E13+'P3 Energie'!E15+'P3 Energie'!E6*$C$7</f>
        <v>18195.8515795337</v>
      </c>
      <c r="E461" s="50" t="n">
        <f aca="false">D461*C461</f>
        <v>114229.512693739</v>
      </c>
      <c r="F461" s="46" t="n">
        <v>452</v>
      </c>
      <c r="G461" s="47" t="n">
        <f aca="false">F461*$H$6</f>
        <v>0.824762712877661</v>
      </c>
      <c r="H461" s="48" t="n">
        <f aca="false">$H$7*G461</f>
        <v>6.27777777777778</v>
      </c>
      <c r="I461" s="49" t="n">
        <f aca="false">0.5*c_rho*'P3 Energie'!F8*'P3 Energie'!F7*(H461-c_Vv)^2+'P3 Energie'!F13+'P3 Energie'!F15+'P3 Energie'!F6*$H$7</f>
        <v>19051.9783613667</v>
      </c>
      <c r="J461" s="50" t="n">
        <f aca="false">I461*H461</f>
        <v>119604.086379691</v>
      </c>
    </row>
    <row r="462" customFormat="false" ht="15" hidden="false" customHeight="false" outlineLevel="0" collapsed="false">
      <c r="A462" s="46" t="n">
        <v>453</v>
      </c>
      <c r="B462" s="47" t="n">
        <f aca="false">A462*$C$6</f>
        <v>0.828980889783025</v>
      </c>
      <c r="C462" s="48" t="n">
        <f aca="false">$C$7*B462</f>
        <v>6.29166666666667</v>
      </c>
      <c r="D462" s="49" t="n">
        <f aca="false">0.5*c_rho*'P3 Energie'!E8*'P3 Energie'!E7*(C462-c_Vv)^2+'P3 Energie'!E13+'P3 Energie'!E15+'P3 Energie'!E6*$C$7</f>
        <v>18195.9213117969</v>
      </c>
      <c r="E462" s="50" t="n">
        <f aca="false">D462*C462</f>
        <v>114482.671586722</v>
      </c>
      <c r="F462" s="46" t="n">
        <v>453</v>
      </c>
      <c r="G462" s="47" t="n">
        <f aca="false">F462*$H$6</f>
        <v>0.826587409145089</v>
      </c>
      <c r="H462" s="48" t="n">
        <f aca="false">$H$7*G462</f>
        <v>6.29166666666667</v>
      </c>
      <c r="I462" s="49" t="n">
        <f aca="false">0.5*c_rho*'P3 Energie'!F8*'P3 Energie'!F7*(H462-c_Vv)^2+'P3 Energie'!F13+'P3 Energie'!F15+'P3 Energie'!F6*$H$7</f>
        <v>19052.0389462984</v>
      </c>
      <c r="J462" s="50" t="n">
        <f aca="false">I462*H462</f>
        <v>119869.078370461</v>
      </c>
    </row>
    <row r="463" customFormat="false" ht="15" hidden="false" customHeight="false" outlineLevel="0" collapsed="false">
      <c r="A463" s="46" t="n">
        <v>454</v>
      </c>
      <c r="B463" s="47" t="n">
        <f aca="false">A463*$C$6</f>
        <v>0.83081086967217</v>
      </c>
      <c r="C463" s="48" t="n">
        <f aca="false">$C$7*B463</f>
        <v>6.30555555555556</v>
      </c>
      <c r="D463" s="49" t="n">
        <f aca="false">0.5*c_rho*'P3 Energie'!E8*'P3 Energie'!E7*(C463-c_Vv)^2+'P3 Energie'!E13+'P3 Energie'!E15+'P3 Energie'!E6*$C$7</f>
        <v>18195.9911981645</v>
      </c>
      <c r="E463" s="50" t="n">
        <f aca="false">D463*C463</f>
        <v>114735.833388426</v>
      </c>
      <c r="F463" s="46" t="n">
        <v>454</v>
      </c>
      <c r="G463" s="47" t="n">
        <f aca="false">F463*$H$6</f>
        <v>0.828412105412518</v>
      </c>
      <c r="H463" s="48" t="n">
        <f aca="false">$H$7*G463</f>
        <v>6.30555555555556</v>
      </c>
      <c r="I463" s="49" t="n">
        <f aca="false">0.5*c_rho*'P3 Energie'!F8*'P3 Energie'!F7*(H463-c_Vv)^2+'P3 Energie'!F13+'P3 Energie'!F15+'P3 Energie'!F6*$H$7</f>
        <v>19052.0996651194</v>
      </c>
      <c r="J463" s="50" t="n">
        <f aca="false">I463*H463</f>
        <v>120134.072888392</v>
      </c>
    </row>
    <row r="464" customFormat="false" ht="15" hidden="false" customHeight="false" outlineLevel="0" collapsed="false">
      <c r="A464" s="46" t="n">
        <v>455</v>
      </c>
      <c r="B464" s="47" t="n">
        <f aca="false">A464*$C$6</f>
        <v>0.832640849561316</v>
      </c>
      <c r="C464" s="48" t="n">
        <f aca="false">$C$7*B464</f>
        <v>6.31944444444445</v>
      </c>
      <c r="D464" s="49" t="n">
        <f aca="false">0.5*c_rho*'P3 Energie'!E8*'P3 Energie'!E7*(C464-c_Vv)^2+'P3 Energie'!E13+'P3 Energie'!E15+'P3 Energie'!E6*$C$7</f>
        <v>18196.0612386366</v>
      </c>
      <c r="E464" s="50" t="n">
        <f aca="false">D464*C464</f>
        <v>114988.998105273</v>
      </c>
      <c r="F464" s="46" t="n">
        <v>455</v>
      </c>
      <c r="G464" s="47" t="n">
        <f aca="false">F464*$H$6</f>
        <v>0.830236801679946</v>
      </c>
      <c r="H464" s="48" t="n">
        <f aca="false">$H$7*G464</f>
        <v>6.31944444444445</v>
      </c>
      <c r="I464" s="49" t="n">
        <f aca="false">0.5*c_rho*'P3 Energie'!F8*'P3 Energie'!F7*(H464-c_Vv)^2+'P3 Energie'!F13+'P3 Energie'!F15+'P3 Energie'!F6*$H$7</f>
        <v>19052.1605178299</v>
      </c>
      <c r="J464" s="50" t="n">
        <f aca="false">I464*H464</f>
        <v>120399.069939064</v>
      </c>
    </row>
    <row r="465" customFormat="false" ht="15" hidden="false" customHeight="false" outlineLevel="0" collapsed="false">
      <c r="A465" s="46" t="n">
        <v>456</v>
      </c>
      <c r="B465" s="47" t="n">
        <f aca="false">A465*$C$6</f>
        <v>0.834470829450462</v>
      </c>
      <c r="C465" s="48" t="n">
        <f aca="false">$C$7*B465</f>
        <v>6.33333333333333</v>
      </c>
      <c r="D465" s="49" t="n">
        <f aca="false">0.5*c_rho*'P3 Energie'!E8*'P3 Energie'!E7*(C465-c_Vv)^2+'P3 Energie'!E13+'P3 Energie'!E15+'P3 Energie'!E6*$C$7</f>
        <v>18196.1314332132</v>
      </c>
      <c r="E465" s="50" t="n">
        <f aca="false">D465*C465</f>
        <v>115242.165743684</v>
      </c>
      <c r="F465" s="46" t="n">
        <v>456</v>
      </c>
      <c r="G465" s="47" t="n">
        <f aca="false">F465*$H$6</f>
        <v>0.832061497947375</v>
      </c>
      <c r="H465" s="48" t="n">
        <f aca="false">$H$7*G465</f>
        <v>6.33333333333333</v>
      </c>
      <c r="I465" s="49" t="n">
        <f aca="false">0.5*c_rho*'P3 Energie'!F8*'P3 Energie'!F7*(H465-c_Vv)^2+'P3 Energie'!F13+'P3 Energie'!F15+'P3 Energie'!F6*$H$7</f>
        <v>19052.2215044296</v>
      </c>
      <c r="J465" s="50" t="n">
        <f aca="false">I465*H465</f>
        <v>120664.069528054</v>
      </c>
    </row>
    <row r="466" customFormat="false" ht="15" hidden="false" customHeight="false" outlineLevel="0" collapsed="false">
      <c r="A466" s="46" t="n">
        <v>457</v>
      </c>
      <c r="B466" s="47" t="n">
        <f aca="false">A466*$C$6</f>
        <v>0.836300809339608</v>
      </c>
      <c r="C466" s="48" t="n">
        <f aca="false">$C$7*B466</f>
        <v>6.34722222222222</v>
      </c>
      <c r="D466" s="49" t="n">
        <f aca="false">0.5*c_rho*'P3 Energie'!E8*'P3 Energie'!E7*(C466-c_Vv)^2+'P3 Energie'!E13+'P3 Energie'!E15+'P3 Energie'!E6*$C$7</f>
        <v>18196.2017818942</v>
      </c>
      <c r="E466" s="50" t="n">
        <f aca="false">D466*C466</f>
        <v>115495.336310078</v>
      </c>
      <c r="F466" s="46" t="n">
        <v>457</v>
      </c>
      <c r="G466" s="47" t="n">
        <f aca="false">F466*$H$6</f>
        <v>0.833886194214803</v>
      </c>
      <c r="H466" s="48" t="n">
        <f aca="false">$H$7*G466</f>
        <v>6.34722222222222</v>
      </c>
      <c r="I466" s="49" t="n">
        <f aca="false">0.5*c_rho*'P3 Energie'!F8*'P3 Energie'!F7*(H466-c_Vv)^2+'P3 Energie'!F13+'P3 Energie'!F15+'P3 Energie'!F6*$H$7</f>
        <v>19052.2826249188</v>
      </c>
      <c r="J466" s="50" t="n">
        <f aca="false">I466*H466</f>
        <v>120929.071660943</v>
      </c>
    </row>
    <row r="467" customFormat="false" ht="15" hidden="false" customHeight="false" outlineLevel="0" collapsed="false">
      <c r="A467" s="46" t="n">
        <v>458</v>
      </c>
      <c r="B467" s="47" t="n">
        <f aca="false">A467*$C$6</f>
        <v>0.838130789228753</v>
      </c>
      <c r="C467" s="48" t="n">
        <f aca="false">$C$7*B467</f>
        <v>6.36111111111111</v>
      </c>
      <c r="D467" s="49" t="n">
        <f aca="false">0.5*c_rho*'P3 Energie'!E8*'P3 Energie'!E7*(C467-c_Vv)^2+'P3 Energie'!E13+'P3 Energie'!E15+'P3 Energie'!E6*$C$7</f>
        <v>18196.2722846796</v>
      </c>
      <c r="E467" s="50" t="n">
        <f aca="false">D467*C467</f>
        <v>115748.509810879</v>
      </c>
      <c r="F467" s="46" t="n">
        <v>458</v>
      </c>
      <c r="G467" s="47" t="n">
        <f aca="false">F467*$H$6</f>
        <v>0.835710890482232</v>
      </c>
      <c r="H467" s="48" t="n">
        <f aca="false">$H$7*G467</f>
        <v>6.36111111111111</v>
      </c>
      <c r="I467" s="49" t="n">
        <f aca="false">0.5*c_rho*'P3 Energie'!F8*'P3 Energie'!F7*(H467-c_Vv)^2+'P3 Energie'!F13+'P3 Energie'!F15+'P3 Energie'!F6*$H$7</f>
        <v>19052.3438792972</v>
      </c>
      <c r="J467" s="50" t="n">
        <f aca="false">I467*H467</f>
        <v>121194.076343307</v>
      </c>
    </row>
    <row r="468" customFormat="false" ht="15" hidden="false" customHeight="false" outlineLevel="0" collapsed="false">
      <c r="A468" s="46" t="n">
        <v>459</v>
      </c>
      <c r="B468" s="47" t="n">
        <f aca="false">A468*$C$6</f>
        <v>0.839960769117899</v>
      </c>
      <c r="C468" s="48" t="n">
        <f aca="false">$C$7*B468</f>
        <v>6.375</v>
      </c>
      <c r="D468" s="49" t="n">
        <f aca="false">0.5*c_rho*'P3 Energie'!E8*'P3 Energie'!E7*(C468-c_Vv)^2+'P3 Energie'!E13+'P3 Energie'!E15+'P3 Energie'!E6*$C$7</f>
        <v>18196.3429415695</v>
      </c>
      <c r="E468" s="50" t="n">
        <f aca="false">D468*C468</f>
        <v>116001.686252506</v>
      </c>
      <c r="F468" s="46" t="n">
        <v>459</v>
      </c>
      <c r="G468" s="47" t="n">
        <f aca="false">F468*$H$6</f>
        <v>0.83753558674966</v>
      </c>
      <c r="H468" s="48" t="n">
        <f aca="false">$H$7*G468</f>
        <v>6.375</v>
      </c>
      <c r="I468" s="49" t="n">
        <f aca="false">0.5*c_rho*'P3 Energie'!F8*'P3 Energie'!F7*(H468-c_Vv)^2+'P3 Energie'!F13+'P3 Energie'!F15+'P3 Energie'!F6*$H$7</f>
        <v>19052.405267565</v>
      </c>
      <c r="J468" s="50" t="n">
        <f aca="false">I468*H468</f>
        <v>121459.083580727</v>
      </c>
    </row>
    <row r="469" customFormat="false" ht="15" hidden="false" customHeight="false" outlineLevel="0" collapsed="false">
      <c r="A469" s="46" t="n">
        <v>460</v>
      </c>
      <c r="B469" s="47" t="n">
        <f aca="false">A469*$C$6</f>
        <v>0.841790749007045</v>
      </c>
      <c r="C469" s="48" t="n">
        <f aca="false">$C$7*B469</f>
        <v>6.38888888888889</v>
      </c>
      <c r="D469" s="49" t="n">
        <f aca="false">0.5*c_rho*'P3 Energie'!E8*'P3 Energie'!E7*(C469-c_Vv)^2+'P3 Energie'!E13+'P3 Energie'!E15+'P3 Energie'!E6*$C$7</f>
        <v>18196.4137525639</v>
      </c>
      <c r="E469" s="50" t="n">
        <f aca="false">D469*C469</f>
        <v>116254.86564138</v>
      </c>
      <c r="F469" s="46" t="n">
        <v>460</v>
      </c>
      <c r="G469" s="47" t="n">
        <f aca="false">F469*$H$6</f>
        <v>0.839360283017089</v>
      </c>
      <c r="H469" s="48" t="n">
        <f aca="false">$H$7*G469</f>
        <v>6.38888888888889</v>
      </c>
      <c r="I469" s="49" t="n">
        <f aca="false">0.5*c_rho*'P3 Energie'!F8*'P3 Energie'!F7*(H469-c_Vv)^2+'P3 Energie'!F13+'P3 Energie'!F15+'P3 Energie'!F6*$H$7</f>
        <v>19052.4667897222</v>
      </c>
      <c r="J469" s="50" t="n">
        <f aca="false">I469*H469</f>
        <v>121724.093378781</v>
      </c>
    </row>
    <row r="470" customFormat="false" ht="15" hidden="false" customHeight="false" outlineLevel="0" collapsed="false">
      <c r="A470" s="46" t="n">
        <v>461</v>
      </c>
      <c r="B470" s="47" t="n">
        <f aca="false">A470*$C$6</f>
        <v>0.843620728896191</v>
      </c>
      <c r="C470" s="48" t="n">
        <f aca="false">$C$7*B470</f>
        <v>6.40277777777778</v>
      </c>
      <c r="D470" s="49" t="n">
        <f aca="false">0.5*c_rho*'P3 Energie'!E8*'P3 Energie'!E7*(C470-c_Vv)^2+'P3 Energie'!E13+'P3 Energie'!E15+'P3 Energie'!E6*$C$7</f>
        <v>18196.4847176627</v>
      </c>
      <c r="E470" s="50" t="n">
        <f aca="false">D470*C470</f>
        <v>116508.047983924</v>
      </c>
      <c r="F470" s="46" t="n">
        <v>461</v>
      </c>
      <c r="G470" s="47" t="n">
        <f aca="false">F470*$H$6</f>
        <v>0.841184979284517</v>
      </c>
      <c r="H470" s="48" t="n">
        <f aca="false">$H$7*G470</f>
        <v>6.40277777777778</v>
      </c>
      <c r="I470" s="49" t="n">
        <f aca="false">0.5*c_rho*'P3 Energie'!F8*'P3 Energie'!F7*(H470-c_Vv)^2+'P3 Energie'!F13+'P3 Energie'!F15+'P3 Energie'!F6*$H$7</f>
        <v>19052.5284457688</v>
      </c>
      <c r="J470" s="50" t="n">
        <f aca="false">I470*H470</f>
        <v>121989.105743047</v>
      </c>
    </row>
    <row r="471" customFormat="false" ht="15" hidden="false" customHeight="false" outlineLevel="0" collapsed="false">
      <c r="A471" s="46" t="n">
        <v>462</v>
      </c>
      <c r="B471" s="47" t="n">
        <f aca="false">A471*$C$6</f>
        <v>0.845450708785336</v>
      </c>
      <c r="C471" s="48" t="n">
        <f aca="false">$C$7*B471</f>
        <v>6.41666666666667</v>
      </c>
      <c r="D471" s="49" t="n">
        <f aca="false">0.5*c_rho*'P3 Energie'!E8*'P3 Energie'!E7*(C471-c_Vv)^2+'P3 Energie'!E13+'P3 Energie'!E15+'P3 Energie'!E6*$C$7</f>
        <v>18196.5558368659</v>
      </c>
      <c r="E471" s="50" t="n">
        <f aca="false">D471*C471</f>
        <v>116761.233286556</v>
      </c>
      <c r="F471" s="46" t="n">
        <v>462</v>
      </c>
      <c r="G471" s="47" t="n">
        <f aca="false">F471*$H$6</f>
        <v>0.843009675551946</v>
      </c>
      <c r="H471" s="48" t="n">
        <f aca="false">$H$7*G471</f>
        <v>6.41666666666667</v>
      </c>
      <c r="I471" s="49" t="n">
        <f aca="false">0.5*c_rho*'P3 Energie'!F8*'P3 Energie'!F7*(H471-c_Vv)^2+'P3 Energie'!F13+'P3 Energie'!F15+'P3 Energie'!F6*$H$7</f>
        <v>19052.5902357046</v>
      </c>
      <c r="J471" s="50" t="n">
        <f aca="false">I471*H471</f>
        <v>122254.120679105</v>
      </c>
    </row>
    <row r="472" customFormat="false" ht="15" hidden="false" customHeight="false" outlineLevel="0" collapsed="false">
      <c r="A472" s="46" t="n">
        <v>463</v>
      </c>
      <c r="B472" s="47" t="n">
        <f aca="false">A472*$C$6</f>
        <v>0.847280688674482</v>
      </c>
      <c r="C472" s="48" t="n">
        <f aca="false">$C$7*B472</f>
        <v>6.43055555555556</v>
      </c>
      <c r="D472" s="49" t="n">
        <f aca="false">0.5*c_rho*'P3 Energie'!E8*'P3 Energie'!E7*(C472-c_Vv)^2+'P3 Energie'!E13+'P3 Energie'!E15+'P3 Energie'!E6*$C$7</f>
        <v>18196.6271101736</v>
      </c>
      <c r="E472" s="50" t="n">
        <f aca="false">D472*C472</f>
        <v>117014.4215557</v>
      </c>
      <c r="F472" s="46" t="n">
        <v>463</v>
      </c>
      <c r="G472" s="47" t="n">
        <f aca="false">F472*$H$6</f>
        <v>0.844834371819374</v>
      </c>
      <c r="H472" s="48" t="n">
        <f aca="false">$H$7*G472</f>
        <v>6.43055555555556</v>
      </c>
      <c r="I472" s="49" t="n">
        <f aca="false">0.5*c_rho*'P3 Energie'!F8*'P3 Energie'!F7*(H472-c_Vv)^2+'P3 Energie'!F13+'P3 Energie'!F15+'P3 Energie'!F6*$H$7</f>
        <v>19052.6521595299</v>
      </c>
      <c r="J472" s="50" t="n">
        <f aca="false">I472*H472</f>
        <v>122519.138192532</v>
      </c>
    </row>
    <row r="473" customFormat="false" ht="15" hidden="false" customHeight="false" outlineLevel="0" collapsed="false">
      <c r="A473" s="46" t="n">
        <v>464</v>
      </c>
      <c r="B473" s="47" t="n">
        <f aca="false">A473*$C$6</f>
        <v>0.849110668563628</v>
      </c>
      <c r="C473" s="48" t="n">
        <f aca="false">$C$7*B473</f>
        <v>6.44444444444445</v>
      </c>
      <c r="D473" s="49" t="n">
        <f aca="false">0.5*c_rho*'P3 Energie'!E8*'P3 Energie'!E7*(C473-c_Vv)^2+'P3 Energie'!E13+'P3 Energie'!E15+'P3 Energie'!E6*$C$7</f>
        <v>18196.6985375858</v>
      </c>
      <c r="E473" s="50" t="n">
        <f aca="false">D473*C473</f>
        <v>117267.612797775</v>
      </c>
      <c r="F473" s="46" t="n">
        <v>464</v>
      </c>
      <c r="G473" s="47" t="n">
        <f aca="false">F473*$H$6</f>
        <v>0.846659068086803</v>
      </c>
      <c r="H473" s="48" t="n">
        <f aca="false">$H$7*G473</f>
        <v>6.44444444444445</v>
      </c>
      <c r="I473" s="49" t="n">
        <f aca="false">0.5*c_rho*'P3 Energie'!F8*'P3 Energie'!F7*(H473-c_Vv)^2+'P3 Energie'!F13+'P3 Energie'!F15+'P3 Energie'!F6*$H$7</f>
        <v>19052.7142172444</v>
      </c>
      <c r="J473" s="50" t="n">
        <f aca="false">I473*H473</f>
        <v>122784.158288909</v>
      </c>
    </row>
    <row r="474" customFormat="false" ht="15" hidden="false" customHeight="false" outlineLevel="0" collapsed="false">
      <c r="A474" s="46" t="n">
        <v>465</v>
      </c>
      <c r="B474" s="47" t="n">
        <f aca="false">A474*$C$6</f>
        <v>0.850940648452774</v>
      </c>
      <c r="C474" s="48" t="n">
        <f aca="false">$C$7*B474</f>
        <v>6.45833333333333</v>
      </c>
      <c r="D474" s="49" t="n">
        <f aca="false">0.5*c_rho*'P3 Energie'!E8*'P3 Energie'!E7*(C474-c_Vv)^2+'P3 Energie'!E13+'P3 Energie'!E15+'P3 Energie'!E6*$C$7</f>
        <v>18196.7701191024</v>
      </c>
      <c r="E474" s="50" t="n">
        <f aca="false">D474*C474</f>
        <v>117520.807019203</v>
      </c>
      <c r="F474" s="46" t="n">
        <v>465</v>
      </c>
      <c r="G474" s="47" t="n">
        <f aca="false">F474*$H$6</f>
        <v>0.848483764354231</v>
      </c>
      <c r="H474" s="48" t="n">
        <f aca="false">$H$7*G474</f>
        <v>6.45833333333333</v>
      </c>
      <c r="I474" s="49" t="n">
        <f aca="false">0.5*c_rho*'P3 Energie'!F8*'P3 Energie'!F7*(H474-c_Vv)^2+'P3 Energie'!F13+'P3 Energie'!F15+'P3 Energie'!F6*$H$7</f>
        <v>19052.7764088484</v>
      </c>
      <c r="J474" s="50" t="n">
        <f aca="false">I474*H474</f>
        <v>123049.180973812</v>
      </c>
    </row>
    <row r="475" customFormat="false" ht="15" hidden="false" customHeight="false" outlineLevel="0" collapsed="false">
      <c r="A475" s="46" t="n">
        <v>466</v>
      </c>
      <c r="B475" s="47" t="n">
        <f aca="false">A475*$C$6</f>
        <v>0.852770628341919</v>
      </c>
      <c r="C475" s="48" t="n">
        <f aca="false">$C$7*B475</f>
        <v>6.47222222222222</v>
      </c>
      <c r="D475" s="49" t="n">
        <f aca="false">0.5*c_rho*'P3 Energie'!E8*'P3 Energie'!E7*(C475-c_Vv)^2+'P3 Energie'!E13+'P3 Energie'!E15+'P3 Energie'!E6*$C$7</f>
        <v>18196.8418547234</v>
      </c>
      <c r="E475" s="50" t="n">
        <f aca="false">D475*C475</f>
        <v>117774.004226404</v>
      </c>
      <c r="F475" s="46" t="n">
        <v>466</v>
      </c>
      <c r="G475" s="47" t="n">
        <f aca="false">F475*$H$6</f>
        <v>0.850308460621659</v>
      </c>
      <c r="H475" s="48" t="n">
        <f aca="false">$H$7*G475</f>
        <v>6.47222222222222</v>
      </c>
      <c r="I475" s="49" t="n">
        <f aca="false">0.5*c_rho*'P3 Energie'!F8*'P3 Energie'!F7*(H475-c_Vv)^2+'P3 Energie'!F13+'P3 Energie'!F15+'P3 Energie'!F6*$H$7</f>
        <v>19052.8387343417</v>
      </c>
      <c r="J475" s="50" t="n">
        <f aca="false">I475*H475</f>
        <v>123314.206252822</v>
      </c>
    </row>
    <row r="476" customFormat="false" ht="15" hidden="false" customHeight="false" outlineLevel="0" collapsed="false">
      <c r="A476" s="46" t="n">
        <v>467</v>
      </c>
      <c r="B476" s="47" t="n">
        <f aca="false">A476*$C$6</f>
        <v>0.854600608231065</v>
      </c>
      <c r="C476" s="48" t="n">
        <f aca="false">$C$7*B476</f>
        <v>6.48611111111111</v>
      </c>
      <c r="D476" s="49" t="n">
        <f aca="false">0.5*c_rho*'P3 Energie'!E8*'P3 Energie'!E7*(C476-c_Vv)^2+'P3 Energie'!E13+'P3 Energie'!E15+'P3 Energie'!E6*$C$7</f>
        <v>18196.9137444489</v>
      </c>
      <c r="E476" s="50" t="n">
        <f aca="false">D476*C476</f>
        <v>118027.204425801</v>
      </c>
      <c r="F476" s="46" t="n">
        <v>467</v>
      </c>
      <c r="G476" s="47" t="n">
        <f aca="false">F476*$H$6</f>
        <v>0.852133156889088</v>
      </c>
      <c r="H476" s="48" t="n">
        <f aca="false">$H$7*G476</f>
        <v>6.48611111111111</v>
      </c>
      <c r="I476" s="49" t="n">
        <f aca="false">0.5*c_rho*'P3 Energie'!F8*'P3 Energie'!F7*(H476-c_Vv)^2+'P3 Energie'!F13+'P3 Energie'!F15+'P3 Energie'!F6*$H$7</f>
        <v>19052.9011937243</v>
      </c>
      <c r="J476" s="50" t="n">
        <f aca="false">I476*H476</f>
        <v>123579.234131517</v>
      </c>
    </row>
    <row r="477" customFormat="false" ht="15" hidden="false" customHeight="false" outlineLevel="0" collapsed="false">
      <c r="A477" s="46" t="n">
        <v>468</v>
      </c>
      <c r="B477" s="47" t="n">
        <f aca="false">A477*$C$6</f>
        <v>0.856430588120211</v>
      </c>
      <c r="C477" s="48" t="n">
        <f aca="false">$C$7*B477</f>
        <v>6.5</v>
      </c>
      <c r="D477" s="49" t="n">
        <f aca="false">0.5*c_rho*'P3 Energie'!E8*'P3 Energie'!E7*(C477-c_Vv)^2+'P3 Energie'!E13+'P3 Energie'!E15+'P3 Energie'!E6*$C$7</f>
        <v>18196.9857882789</v>
      </c>
      <c r="E477" s="50" t="n">
        <f aca="false">D477*C477</f>
        <v>118280.407623813</v>
      </c>
      <c r="F477" s="46" t="n">
        <v>468</v>
      </c>
      <c r="G477" s="47" t="n">
        <f aca="false">F477*$H$6</f>
        <v>0.853957853156516</v>
      </c>
      <c r="H477" s="48" t="n">
        <f aca="false">$H$7*G477</f>
        <v>6.5</v>
      </c>
      <c r="I477" s="49" t="n">
        <f aca="false">0.5*c_rho*'P3 Energie'!F8*'P3 Energie'!F7*(H477-c_Vv)^2+'P3 Energie'!F13+'P3 Energie'!F15+'P3 Energie'!F6*$H$7</f>
        <v>19052.9637869963</v>
      </c>
      <c r="J477" s="50" t="n">
        <f aca="false">I477*H477</f>
        <v>123844.264615476</v>
      </c>
    </row>
    <row r="478" customFormat="false" ht="15" hidden="false" customHeight="false" outlineLevel="0" collapsed="false">
      <c r="A478" s="46" t="n">
        <v>469</v>
      </c>
      <c r="B478" s="47" t="n">
        <f aca="false">A478*$C$6</f>
        <v>0.858260568009357</v>
      </c>
      <c r="C478" s="48" t="n">
        <f aca="false">$C$7*B478</f>
        <v>6.51388888888889</v>
      </c>
      <c r="D478" s="49" t="n">
        <f aca="false">0.5*c_rho*'P3 Energie'!E8*'P3 Energie'!E7*(C478-c_Vv)^2+'P3 Energie'!E13+'P3 Energie'!E15+'P3 Energie'!E6*$C$7</f>
        <v>18197.0579862133</v>
      </c>
      <c r="E478" s="50" t="n">
        <f aca="false">D478*C478</f>
        <v>118533.613826861</v>
      </c>
      <c r="F478" s="46" t="n">
        <v>469</v>
      </c>
      <c r="G478" s="47" t="n">
        <f aca="false">F478*$H$6</f>
        <v>0.855782549423945</v>
      </c>
      <c r="H478" s="48" t="n">
        <f aca="false">$H$7*G478</f>
        <v>6.51388888888889</v>
      </c>
      <c r="I478" s="49" t="n">
        <f aca="false">0.5*c_rho*'P3 Energie'!F8*'P3 Energie'!F7*(H478-c_Vv)^2+'P3 Energie'!F13+'P3 Energie'!F15+'P3 Energie'!F6*$H$7</f>
        <v>19053.0265141576</v>
      </c>
      <c r="J478" s="50" t="n">
        <f aca="false">I478*H478</f>
        <v>124109.297710277</v>
      </c>
    </row>
    <row r="479" customFormat="false" ht="15" hidden="false" customHeight="false" outlineLevel="0" collapsed="false">
      <c r="A479" s="46" t="n">
        <v>470</v>
      </c>
      <c r="B479" s="47" t="n">
        <f aca="false">A479*$C$6</f>
        <v>0.860090547898502</v>
      </c>
      <c r="C479" s="48" t="n">
        <f aca="false">$C$7*B479</f>
        <v>6.52777777777778</v>
      </c>
      <c r="D479" s="49" t="n">
        <f aca="false">0.5*c_rho*'P3 Energie'!E8*'P3 Energie'!E7*(C479-c_Vv)^2+'P3 Energie'!E13+'P3 Energie'!E15+'P3 Energie'!E6*$C$7</f>
        <v>18197.1303382521</v>
      </c>
      <c r="E479" s="50" t="n">
        <f aca="false">D479*C479</f>
        <v>118786.823041368</v>
      </c>
      <c r="F479" s="46" t="n">
        <v>470</v>
      </c>
      <c r="G479" s="47" t="n">
        <f aca="false">F479*$H$6</f>
        <v>0.857607245691373</v>
      </c>
      <c r="H479" s="48" t="n">
        <f aca="false">$H$7*G479</f>
        <v>6.52777777777778</v>
      </c>
      <c r="I479" s="49" t="n">
        <f aca="false">0.5*c_rho*'P3 Energie'!F8*'P3 Energie'!F7*(H479-c_Vv)^2+'P3 Energie'!F13+'P3 Energie'!F15+'P3 Energie'!F6*$H$7</f>
        <v>19053.0893752083</v>
      </c>
      <c r="J479" s="50" t="n">
        <f aca="false">I479*H479</f>
        <v>124374.333421499</v>
      </c>
    </row>
    <row r="480" customFormat="false" ht="15" hidden="false" customHeight="false" outlineLevel="0" collapsed="false">
      <c r="A480" s="46" t="n">
        <v>471</v>
      </c>
      <c r="B480" s="47" t="n">
        <f aca="false">A480*$C$6</f>
        <v>0.861920527787648</v>
      </c>
      <c r="C480" s="48" t="n">
        <f aca="false">$C$7*B480</f>
        <v>6.54166666666667</v>
      </c>
      <c r="D480" s="49" t="n">
        <f aca="false">0.5*c_rho*'P3 Energie'!E8*'P3 Energie'!E7*(C480-c_Vv)^2+'P3 Energie'!E13+'P3 Energie'!E15+'P3 Energie'!E6*$C$7</f>
        <v>18197.2028443954</v>
      </c>
      <c r="E480" s="50" t="n">
        <f aca="false">D480*C480</f>
        <v>119040.035273753</v>
      </c>
      <c r="F480" s="46" t="n">
        <v>471</v>
      </c>
      <c r="G480" s="47" t="n">
        <f aca="false">F480*$H$6</f>
        <v>0.859431941958802</v>
      </c>
      <c r="H480" s="48" t="n">
        <f aca="false">$H$7*G480</f>
        <v>6.54166666666667</v>
      </c>
      <c r="I480" s="49" t="n">
        <f aca="false">0.5*c_rho*'P3 Energie'!F8*'P3 Energie'!F7*(H480-c_Vv)^2+'P3 Energie'!F13+'P3 Energie'!F15+'P3 Energie'!F6*$H$7</f>
        <v>19053.1523701484</v>
      </c>
      <c r="J480" s="50" t="n">
        <f aca="false">I480*H480</f>
        <v>124639.371754721</v>
      </c>
    </row>
    <row r="481" customFormat="false" ht="15" hidden="false" customHeight="false" outlineLevel="0" collapsed="false">
      <c r="A481" s="46" t="n">
        <v>472</v>
      </c>
      <c r="B481" s="47" t="n">
        <f aca="false">A481*$C$6</f>
        <v>0.863750507676794</v>
      </c>
      <c r="C481" s="48" t="n">
        <f aca="false">$C$7*B481</f>
        <v>6.55555555555556</v>
      </c>
      <c r="D481" s="49" t="n">
        <f aca="false">0.5*c_rho*'P3 Energie'!E8*'P3 Energie'!E7*(C481-c_Vv)^2+'P3 Energie'!E13+'P3 Energie'!E15+'P3 Energie'!E6*$C$7</f>
        <v>18197.2755046431</v>
      </c>
      <c r="E481" s="50" t="n">
        <f aca="false">D481*C481</f>
        <v>119293.250530438</v>
      </c>
      <c r="F481" s="46" t="n">
        <v>472</v>
      </c>
      <c r="G481" s="47" t="n">
        <f aca="false">F481*$H$6</f>
        <v>0.86125663822623</v>
      </c>
      <c r="H481" s="48" t="n">
        <f aca="false">$H$7*G481</f>
        <v>6.55555555555556</v>
      </c>
      <c r="I481" s="49" t="n">
        <f aca="false">0.5*c_rho*'P3 Energie'!F8*'P3 Energie'!F7*(H481-c_Vv)^2+'P3 Energie'!F13+'P3 Energie'!F15+'P3 Energie'!F6*$H$7</f>
        <v>19053.2154989778</v>
      </c>
      <c r="J481" s="50" t="n">
        <f aca="false">I481*H481</f>
        <v>124904.412715521</v>
      </c>
    </row>
    <row r="482" customFormat="false" ht="15" hidden="false" customHeight="false" outlineLevel="0" collapsed="false">
      <c r="A482" s="46" t="n">
        <v>473</v>
      </c>
      <c r="B482" s="47" t="n">
        <f aca="false">A482*$C$6</f>
        <v>0.86558048756594</v>
      </c>
      <c r="C482" s="48" t="n">
        <f aca="false">$C$7*B482</f>
        <v>6.56944444444445</v>
      </c>
      <c r="D482" s="49" t="n">
        <f aca="false">0.5*c_rho*'P3 Energie'!E8*'P3 Energie'!E7*(C482-c_Vv)^2+'P3 Energie'!E13+'P3 Energie'!E15+'P3 Energie'!E6*$C$7</f>
        <v>18197.3483189953</v>
      </c>
      <c r="E482" s="50" t="n">
        <f aca="false">D482*C482</f>
        <v>119546.468817844</v>
      </c>
      <c r="F482" s="46" t="n">
        <v>473</v>
      </c>
      <c r="G482" s="47" t="n">
        <f aca="false">F482*$H$6</f>
        <v>0.863081334493659</v>
      </c>
      <c r="H482" s="48" t="n">
        <f aca="false">$H$7*G482</f>
        <v>6.56944444444445</v>
      </c>
      <c r="I482" s="49" t="n">
        <f aca="false">0.5*c_rho*'P3 Energie'!F8*'P3 Energie'!F7*(H482-c_Vv)^2+'P3 Energie'!F13+'P3 Energie'!F15+'P3 Energie'!F6*$H$7</f>
        <v>19053.2787616965</v>
      </c>
      <c r="J482" s="50" t="n">
        <f aca="false">I482*H482</f>
        <v>125169.456309479</v>
      </c>
    </row>
    <row r="483" customFormat="false" ht="15" hidden="false" customHeight="false" outlineLevel="0" collapsed="false">
      <c r="A483" s="46" t="n">
        <v>474</v>
      </c>
      <c r="B483" s="47" t="n">
        <f aca="false">A483*$C$6</f>
        <v>0.867410467455085</v>
      </c>
      <c r="C483" s="48" t="n">
        <f aca="false">$C$7*B483</f>
        <v>6.58333333333333</v>
      </c>
      <c r="D483" s="49" t="n">
        <f aca="false">0.5*c_rho*'P3 Energie'!E8*'P3 Energie'!E7*(C483-c_Vv)^2+'P3 Energie'!E13+'P3 Energie'!E15+'P3 Energie'!E6*$C$7</f>
        <v>18197.4212874519</v>
      </c>
      <c r="E483" s="50" t="n">
        <f aca="false">D483*C483</f>
        <v>119799.690142392</v>
      </c>
      <c r="F483" s="46" t="n">
        <v>474</v>
      </c>
      <c r="G483" s="47" t="n">
        <f aca="false">F483*$H$6</f>
        <v>0.864906030761087</v>
      </c>
      <c r="H483" s="48" t="n">
        <f aca="false">$H$7*G483</f>
        <v>6.58333333333333</v>
      </c>
      <c r="I483" s="49" t="n">
        <f aca="false">0.5*c_rho*'P3 Energie'!F8*'P3 Energie'!F7*(H483-c_Vv)^2+'P3 Energie'!F13+'P3 Energie'!F15+'P3 Energie'!F6*$H$7</f>
        <v>19053.3421583046</v>
      </c>
      <c r="J483" s="50" t="n">
        <f aca="false">I483*H483</f>
        <v>125434.502542172</v>
      </c>
    </row>
    <row r="484" customFormat="false" ht="15" hidden="false" customHeight="false" outlineLevel="0" collapsed="false">
      <c r="A484" s="46" t="n">
        <v>475</v>
      </c>
      <c r="B484" s="47" t="n">
        <f aca="false">A484*$C$6</f>
        <v>0.869240447344231</v>
      </c>
      <c r="C484" s="48" t="n">
        <f aca="false">$C$7*B484</f>
        <v>6.59722222222222</v>
      </c>
      <c r="D484" s="49" t="n">
        <f aca="false">0.5*c_rho*'P3 Energie'!E8*'P3 Energie'!E7*(C484-c_Vv)^2+'P3 Energie'!E13+'P3 Energie'!E15+'P3 Energie'!E6*$C$7</f>
        <v>18197.494410013</v>
      </c>
      <c r="E484" s="50" t="n">
        <f aca="false">D484*C484</f>
        <v>120052.914510503</v>
      </c>
      <c r="F484" s="46" t="n">
        <v>475</v>
      </c>
      <c r="G484" s="47" t="n">
        <f aca="false">F484*$H$6</f>
        <v>0.866730727028515</v>
      </c>
      <c r="H484" s="48" t="n">
        <f aca="false">$H$7*G484</f>
        <v>6.59722222222222</v>
      </c>
      <c r="I484" s="49" t="n">
        <f aca="false">0.5*c_rho*'P3 Energie'!F8*'P3 Energie'!F7*(H484-c_Vv)^2+'P3 Energie'!F13+'P3 Energie'!F15+'P3 Energie'!F6*$H$7</f>
        <v>19053.4056888021</v>
      </c>
      <c r="J484" s="50" t="n">
        <f aca="false">I484*H484</f>
        <v>125699.55141918</v>
      </c>
    </row>
    <row r="485" customFormat="false" ht="15" hidden="false" customHeight="false" outlineLevel="0" collapsed="false">
      <c r="A485" s="46" t="n">
        <v>476</v>
      </c>
      <c r="B485" s="47" t="n">
        <f aca="false">A485*$C$6</f>
        <v>0.871070427233377</v>
      </c>
      <c r="C485" s="48" t="n">
        <f aca="false">$C$7*B485</f>
        <v>6.61111111111111</v>
      </c>
      <c r="D485" s="49" t="n">
        <f aca="false">0.5*c_rho*'P3 Energie'!E8*'P3 Energie'!E7*(C485-c_Vv)^2+'P3 Energie'!E13+'P3 Energie'!E15+'P3 Energie'!E6*$C$7</f>
        <v>18197.5676866786</v>
      </c>
      <c r="E485" s="50" t="n">
        <f aca="false">D485*C485</f>
        <v>120306.141928597</v>
      </c>
      <c r="F485" s="46" t="n">
        <v>476</v>
      </c>
      <c r="G485" s="47" t="n">
        <f aca="false">F485*$H$6</f>
        <v>0.868555423295944</v>
      </c>
      <c r="H485" s="48" t="n">
        <f aca="false">$H$7*G485</f>
        <v>6.61111111111111</v>
      </c>
      <c r="I485" s="49" t="n">
        <f aca="false">0.5*c_rho*'P3 Energie'!F8*'P3 Energie'!F7*(H485-c_Vv)^2+'P3 Energie'!F13+'P3 Energie'!F15+'P3 Energie'!F6*$H$7</f>
        <v>19053.4693531889</v>
      </c>
      <c r="J485" s="50" t="n">
        <f aca="false">I485*H485</f>
        <v>125964.602946082</v>
      </c>
    </row>
    <row r="486" customFormat="false" ht="15" hidden="false" customHeight="false" outlineLevel="0" collapsed="false">
      <c r="A486" s="46" t="n">
        <v>477</v>
      </c>
      <c r="B486" s="47" t="n">
        <f aca="false">A486*$C$6</f>
        <v>0.872900407122523</v>
      </c>
      <c r="C486" s="48" t="n">
        <f aca="false">$C$7*B486</f>
        <v>6.625</v>
      </c>
      <c r="D486" s="49" t="n">
        <f aca="false">0.5*c_rho*'P3 Energie'!E8*'P3 Energie'!E7*(C486-c_Vv)^2+'P3 Energie'!E13+'P3 Energie'!E15+'P3 Energie'!E6*$C$7</f>
        <v>18197.6411174485</v>
      </c>
      <c r="E486" s="50" t="n">
        <f aca="false">D486*C486</f>
        <v>120559.372403097</v>
      </c>
      <c r="F486" s="46" t="n">
        <v>477</v>
      </c>
      <c r="G486" s="47" t="n">
        <f aca="false">F486*$H$6</f>
        <v>0.870380119563372</v>
      </c>
      <c r="H486" s="48" t="n">
        <f aca="false">$H$7*G486</f>
        <v>6.625</v>
      </c>
      <c r="I486" s="49" t="n">
        <f aca="false">0.5*c_rho*'P3 Energie'!F8*'P3 Energie'!F7*(H486-c_Vv)^2+'P3 Energie'!F13+'P3 Energie'!F15+'P3 Energie'!F6*$H$7</f>
        <v>19053.533151465</v>
      </c>
      <c r="J486" s="50" t="n">
        <f aca="false">I486*H486</f>
        <v>126229.657128456</v>
      </c>
    </row>
    <row r="487" customFormat="false" ht="15" hidden="false" customHeight="false" outlineLevel="0" collapsed="false">
      <c r="A487" s="46" t="n">
        <v>478</v>
      </c>
      <c r="B487" s="47" t="n">
        <f aca="false">A487*$C$6</f>
        <v>0.874730387011668</v>
      </c>
      <c r="C487" s="48" t="n">
        <f aca="false">$C$7*B487</f>
        <v>6.63888888888889</v>
      </c>
      <c r="D487" s="49" t="n">
        <f aca="false">0.5*c_rho*'P3 Energie'!E8*'P3 Energie'!E7*(C487-c_Vv)^2+'P3 Energie'!E13+'P3 Energie'!E15+'P3 Energie'!E6*$C$7</f>
        <v>18197.714702323</v>
      </c>
      <c r="E487" s="50" t="n">
        <f aca="false">D487*C487</f>
        <v>120812.605940422</v>
      </c>
      <c r="F487" s="46" t="n">
        <v>478</v>
      </c>
      <c r="G487" s="47" t="n">
        <f aca="false">F487*$H$6</f>
        <v>0.872204815830801</v>
      </c>
      <c r="H487" s="48" t="n">
        <f aca="false">$H$7*G487</f>
        <v>6.63888888888889</v>
      </c>
      <c r="I487" s="49" t="n">
        <f aca="false">0.5*c_rho*'P3 Energie'!F8*'P3 Energie'!F7*(H487-c_Vv)^2+'P3 Energie'!F13+'P3 Energie'!F15+'P3 Energie'!F6*$H$7</f>
        <v>19053.5970836306</v>
      </c>
      <c r="J487" s="50" t="n">
        <f aca="false">I487*H487</f>
        <v>126494.713971881</v>
      </c>
    </row>
    <row r="488" customFormat="false" ht="15" hidden="false" customHeight="false" outlineLevel="0" collapsed="false">
      <c r="A488" s="46" t="n">
        <v>479</v>
      </c>
      <c r="B488" s="47" t="n">
        <f aca="false">A488*$C$6</f>
        <v>0.876560366900814</v>
      </c>
      <c r="C488" s="48" t="n">
        <f aca="false">$C$7*B488</f>
        <v>6.65277777777778</v>
      </c>
      <c r="D488" s="49" t="n">
        <f aca="false">0.5*c_rho*'P3 Energie'!E8*'P3 Energie'!E7*(C488-c_Vv)^2+'P3 Energie'!E13+'P3 Energie'!E15+'P3 Energie'!E6*$C$7</f>
        <v>18197.7884413019</v>
      </c>
      <c r="E488" s="50" t="n">
        <f aca="false">D488*C488</f>
        <v>121065.842546994</v>
      </c>
      <c r="F488" s="46" t="n">
        <v>479</v>
      </c>
      <c r="G488" s="47" t="n">
        <f aca="false">F488*$H$6</f>
        <v>0.874029512098229</v>
      </c>
      <c r="H488" s="48" t="n">
        <f aca="false">$H$7*G488</f>
        <v>6.65277777777778</v>
      </c>
      <c r="I488" s="49" t="n">
        <f aca="false">0.5*c_rho*'P3 Energie'!F8*'P3 Energie'!F7*(H488-c_Vv)^2+'P3 Energie'!F13+'P3 Energie'!F15+'P3 Energie'!F6*$H$7</f>
        <v>19053.6611496854</v>
      </c>
      <c r="J488" s="50" t="n">
        <f aca="false">I488*H488</f>
        <v>126759.773481935</v>
      </c>
    </row>
    <row r="489" customFormat="false" ht="15" hidden="false" customHeight="false" outlineLevel="0" collapsed="false">
      <c r="A489" s="46" t="n">
        <v>480</v>
      </c>
      <c r="B489" s="47" t="n">
        <f aca="false">A489*$C$6</f>
        <v>0.87839034678996</v>
      </c>
      <c r="C489" s="48" t="n">
        <f aca="false">$C$7*B489</f>
        <v>6.66666666666667</v>
      </c>
      <c r="D489" s="49" t="n">
        <f aca="false">0.5*c_rho*'P3 Energie'!E8*'P3 Energie'!E7*(C489-c_Vv)^2+'P3 Energie'!E13+'P3 Energie'!E15+'P3 Energie'!E6*$C$7</f>
        <v>18197.8623343852</v>
      </c>
      <c r="E489" s="50" t="n">
        <f aca="false">D489*C489</f>
        <v>121319.082229235</v>
      </c>
      <c r="F489" s="46" t="n">
        <v>480</v>
      </c>
      <c r="G489" s="47" t="n">
        <f aca="false">F489*$H$6</f>
        <v>0.875854208365658</v>
      </c>
      <c r="H489" s="48" t="n">
        <f aca="false">$H$7*G489</f>
        <v>6.66666666666667</v>
      </c>
      <c r="I489" s="49" t="n">
        <f aca="false">0.5*c_rho*'P3 Energie'!F8*'P3 Energie'!F7*(H489-c_Vv)^2+'P3 Energie'!F13+'P3 Energie'!F15+'P3 Energie'!F6*$H$7</f>
        <v>19053.7253496296</v>
      </c>
      <c r="J489" s="50" t="n">
        <f aca="false">I489*H489</f>
        <v>127024.835664198</v>
      </c>
    </row>
    <row r="490" customFormat="false" ht="15" hidden="false" customHeight="false" outlineLevel="0" collapsed="false">
      <c r="A490" s="46" t="n">
        <v>481</v>
      </c>
      <c r="B490" s="47" t="n">
        <f aca="false">A490*$C$6</f>
        <v>0.880220326679105</v>
      </c>
      <c r="C490" s="48" t="n">
        <f aca="false">$C$7*B490</f>
        <v>6.68055555555556</v>
      </c>
      <c r="D490" s="49" t="n">
        <f aca="false">0.5*c_rho*'P3 Energie'!E8*'P3 Energie'!E7*(C490-c_Vv)^2+'P3 Energie'!E13+'P3 Energie'!E15+'P3 Energie'!E6*$C$7</f>
        <v>18197.936381573</v>
      </c>
      <c r="E490" s="50" t="n">
        <f aca="false">D490*C490</f>
        <v>121572.324993564</v>
      </c>
      <c r="F490" s="46" t="n">
        <v>481</v>
      </c>
      <c r="G490" s="47" t="n">
        <f aca="false">F490*$H$6</f>
        <v>0.877678904633086</v>
      </c>
      <c r="H490" s="48" t="n">
        <f aca="false">$H$7*G490</f>
        <v>6.68055555555556</v>
      </c>
      <c r="I490" s="49" t="n">
        <f aca="false">0.5*c_rho*'P3 Energie'!F8*'P3 Energie'!F7*(H490-c_Vv)^2+'P3 Energie'!F13+'P3 Energie'!F15+'P3 Energie'!F6*$H$7</f>
        <v>19053.7896834632</v>
      </c>
      <c r="J490" s="50" t="n">
        <f aca="false">I490*H490</f>
        <v>127289.900524247</v>
      </c>
    </row>
    <row r="491" customFormat="false" ht="15" hidden="false" customHeight="false" outlineLevel="0" collapsed="false">
      <c r="A491" s="46" t="n">
        <v>482</v>
      </c>
      <c r="B491" s="47" t="n">
        <f aca="false">A491*$C$6</f>
        <v>0.882050306568251</v>
      </c>
      <c r="C491" s="48" t="n">
        <f aca="false">$C$7*B491</f>
        <v>6.69444444444445</v>
      </c>
      <c r="D491" s="49" t="n">
        <f aca="false">0.5*c_rho*'P3 Energie'!E8*'P3 Energie'!E7*(C491-c_Vv)^2+'P3 Energie'!E13+'P3 Energie'!E15+'P3 Energie'!E6*$C$7</f>
        <v>18198.0105828652</v>
      </c>
      <c r="E491" s="50" t="n">
        <f aca="false">D491*C491</f>
        <v>121825.570846403</v>
      </c>
      <c r="F491" s="46" t="n">
        <v>482</v>
      </c>
      <c r="G491" s="47" t="n">
        <f aca="false">F491*$H$6</f>
        <v>0.879503600900515</v>
      </c>
      <c r="H491" s="48" t="n">
        <f aca="false">$H$7*G491</f>
        <v>6.69444444444445</v>
      </c>
      <c r="I491" s="49" t="n">
        <f aca="false">0.5*c_rho*'P3 Energie'!F8*'P3 Energie'!F7*(H491-c_Vv)^2+'P3 Energie'!F13+'P3 Energie'!F15+'P3 Energie'!F6*$H$7</f>
        <v>19053.8541511861</v>
      </c>
      <c r="J491" s="50" t="n">
        <f aca="false">I491*H491</f>
        <v>127554.968067663</v>
      </c>
    </row>
    <row r="492" customFormat="false" ht="15" hidden="false" customHeight="false" outlineLevel="0" collapsed="false">
      <c r="A492" s="46" t="n">
        <v>483</v>
      </c>
      <c r="B492" s="47" t="n">
        <f aca="false">A492*$C$6</f>
        <v>0.883880286457397</v>
      </c>
      <c r="C492" s="48" t="n">
        <f aca="false">$C$7*B492</f>
        <v>6.70833333333333</v>
      </c>
      <c r="D492" s="49" t="n">
        <f aca="false">0.5*c_rho*'P3 Energie'!E8*'P3 Energie'!E7*(C492-c_Vv)^2+'P3 Energie'!E13+'P3 Energie'!E15+'P3 Energie'!E6*$C$7</f>
        <v>18198.0849382619</v>
      </c>
      <c r="E492" s="50" t="n">
        <f aca="false">D492*C492</f>
        <v>122078.819794173</v>
      </c>
      <c r="F492" s="46" t="n">
        <v>483</v>
      </c>
      <c r="G492" s="47" t="n">
        <f aca="false">F492*$H$6</f>
        <v>0.881328297167943</v>
      </c>
      <c r="H492" s="48" t="n">
        <f aca="false">$H$7*G492</f>
        <v>6.70833333333333</v>
      </c>
      <c r="I492" s="49" t="n">
        <f aca="false">0.5*c_rho*'P3 Energie'!F8*'P3 Energie'!F7*(H492-c_Vv)^2+'P3 Energie'!F13+'P3 Energie'!F15+'P3 Energie'!F6*$H$7</f>
        <v>19053.9187527984</v>
      </c>
      <c r="J492" s="50" t="n">
        <f aca="false">I492*H492</f>
        <v>127820.038300022</v>
      </c>
    </row>
    <row r="493" customFormat="false" ht="15" hidden="false" customHeight="false" outlineLevel="0" collapsed="false">
      <c r="A493" s="46" t="n">
        <v>484</v>
      </c>
      <c r="B493" s="47" t="n">
        <f aca="false">A493*$C$6</f>
        <v>0.885710266346543</v>
      </c>
      <c r="C493" s="48" t="n">
        <f aca="false">$C$7*B493</f>
        <v>6.72222222222222</v>
      </c>
      <c r="D493" s="49" t="n">
        <f aca="false">0.5*c_rho*'P3 Energie'!E8*'P3 Energie'!E7*(C493-c_Vv)^2+'P3 Energie'!E13+'P3 Energie'!E15+'P3 Energie'!E6*$C$7</f>
        <v>18198.159447763</v>
      </c>
      <c r="E493" s="50" t="n">
        <f aca="false">D493*C493</f>
        <v>122332.071843296</v>
      </c>
      <c r="F493" s="46" t="n">
        <v>484</v>
      </c>
      <c r="G493" s="47" t="n">
        <f aca="false">F493*$H$6</f>
        <v>0.883152993435372</v>
      </c>
      <c r="H493" s="48" t="n">
        <f aca="false">$H$7*G493</f>
        <v>6.72222222222222</v>
      </c>
      <c r="I493" s="49" t="n">
        <f aca="false">0.5*c_rho*'P3 Energie'!F8*'P3 Energie'!F7*(H493-c_Vv)^2+'P3 Energie'!F13+'P3 Energie'!F15+'P3 Energie'!F6*$H$7</f>
        <v>19053.9834883</v>
      </c>
      <c r="J493" s="50" t="n">
        <f aca="false">I493*H493</f>
        <v>128085.111226906</v>
      </c>
    </row>
    <row r="494" customFormat="false" ht="15" hidden="false" customHeight="false" outlineLevel="0" collapsed="false">
      <c r="A494" s="46" t="n">
        <v>485</v>
      </c>
      <c r="B494" s="47" t="n">
        <f aca="false">A494*$C$6</f>
        <v>0.887540246235689</v>
      </c>
      <c r="C494" s="48" t="n">
        <f aca="false">$C$7*B494</f>
        <v>6.73611111111111</v>
      </c>
      <c r="D494" s="49" t="n">
        <f aca="false">0.5*c_rho*'P3 Energie'!E8*'P3 Energie'!E7*(C494-c_Vv)^2+'P3 Energie'!E13+'P3 Energie'!E15+'P3 Energie'!E6*$C$7</f>
        <v>18198.2341113686</v>
      </c>
      <c r="E494" s="50" t="n">
        <f aca="false">D494*C494</f>
        <v>122585.327000191</v>
      </c>
      <c r="F494" s="46" t="n">
        <v>485</v>
      </c>
      <c r="G494" s="47" t="n">
        <f aca="false">F494*$H$6</f>
        <v>0.8849776897028</v>
      </c>
      <c r="H494" s="48" t="n">
        <f aca="false">$H$7*G494</f>
        <v>6.73611111111111</v>
      </c>
      <c r="I494" s="49" t="n">
        <f aca="false">0.5*c_rho*'P3 Energie'!F8*'P3 Energie'!F7*(H494-c_Vv)^2+'P3 Energie'!F13+'P3 Energie'!F15+'P3 Energie'!F6*$H$7</f>
        <v>19054.048357691</v>
      </c>
      <c r="J494" s="50" t="n">
        <f aca="false">I494*H494</f>
        <v>128350.186853891</v>
      </c>
    </row>
    <row r="495" customFormat="false" ht="15" hidden="false" customHeight="false" outlineLevel="0" collapsed="false">
      <c r="A495" s="46" t="n">
        <v>486</v>
      </c>
      <c r="B495" s="47" t="n">
        <f aca="false">A495*$C$6</f>
        <v>0.889370226124834</v>
      </c>
      <c r="C495" s="48" t="n">
        <f aca="false">$C$7*B495</f>
        <v>6.75</v>
      </c>
      <c r="D495" s="49" t="n">
        <f aca="false">0.5*c_rho*'P3 Energie'!E8*'P3 Energie'!E7*(C495-c_Vv)^2+'P3 Energie'!E13+'P3 Energie'!E15+'P3 Energie'!E6*$C$7</f>
        <v>18198.3089290786</v>
      </c>
      <c r="E495" s="50" t="n">
        <f aca="false">D495*C495</f>
        <v>122838.585271281</v>
      </c>
      <c r="F495" s="46" t="n">
        <v>486</v>
      </c>
      <c r="G495" s="47" t="n">
        <f aca="false">F495*$H$6</f>
        <v>0.886802385970228</v>
      </c>
      <c r="H495" s="48" t="n">
        <f aca="false">$H$7*G495</f>
        <v>6.75</v>
      </c>
      <c r="I495" s="49" t="n">
        <f aca="false">0.5*c_rho*'P3 Energie'!F8*'P3 Energie'!F7*(H495-c_Vv)^2+'P3 Energie'!F13+'P3 Energie'!F15+'P3 Energie'!F6*$H$7</f>
        <v>19054.1133609713</v>
      </c>
      <c r="J495" s="50" t="n">
        <f aca="false">I495*H495</f>
        <v>128615.265186556</v>
      </c>
    </row>
    <row r="496" customFormat="false" ht="15" hidden="false" customHeight="false" outlineLevel="0" collapsed="false">
      <c r="A496" s="46" t="n">
        <v>487</v>
      </c>
      <c r="B496" s="47" t="n">
        <f aca="false">A496*$C$6</f>
        <v>0.89120020601398</v>
      </c>
      <c r="C496" s="48" t="n">
        <f aca="false">$C$7*B496</f>
        <v>6.76388888888889</v>
      </c>
      <c r="D496" s="49" t="n">
        <f aca="false">0.5*c_rho*'P3 Energie'!E8*'P3 Energie'!E7*(C496-c_Vv)^2+'P3 Energie'!E13+'P3 Energie'!E15+'P3 Energie'!E6*$C$7</f>
        <v>18198.3839008931</v>
      </c>
      <c r="E496" s="50" t="n">
        <f aca="false">D496*C496</f>
        <v>123091.846662985</v>
      </c>
      <c r="F496" s="46" t="n">
        <v>487</v>
      </c>
      <c r="G496" s="47" t="n">
        <f aca="false">F496*$H$6</f>
        <v>0.888627082237657</v>
      </c>
      <c r="H496" s="48" t="n">
        <f aca="false">$H$7*G496</f>
        <v>6.76388888888889</v>
      </c>
      <c r="I496" s="49" t="n">
        <f aca="false">0.5*c_rho*'P3 Energie'!F8*'P3 Energie'!F7*(H496-c_Vv)^2+'P3 Energie'!F13+'P3 Energie'!F15+'P3 Energie'!F6*$H$7</f>
        <v>19054.178498141</v>
      </c>
      <c r="J496" s="50" t="n">
        <f aca="false">I496*H496</f>
        <v>128880.346230481</v>
      </c>
    </row>
    <row r="497" customFormat="false" ht="15" hidden="false" customHeight="false" outlineLevel="0" collapsed="false">
      <c r="A497" s="46" t="n">
        <v>488</v>
      </c>
      <c r="B497" s="47" t="n">
        <f aca="false">A497*$C$6</f>
        <v>0.893030185903126</v>
      </c>
      <c r="C497" s="48" t="n">
        <f aca="false">$C$7*B497</f>
        <v>6.77777777777778</v>
      </c>
      <c r="D497" s="49" t="n">
        <f aca="false">0.5*c_rho*'P3 Energie'!E8*'P3 Energie'!E7*(C497-c_Vv)^2+'P3 Energie'!E13+'P3 Energie'!E15+'P3 Energie'!E6*$C$7</f>
        <v>18198.459026812</v>
      </c>
      <c r="E497" s="50" t="n">
        <f aca="false">D497*C497</f>
        <v>123345.111181726</v>
      </c>
      <c r="F497" s="46" t="n">
        <v>488</v>
      </c>
      <c r="G497" s="47" t="n">
        <f aca="false">F497*$H$6</f>
        <v>0.890451778505085</v>
      </c>
      <c r="H497" s="48" t="n">
        <f aca="false">$H$7*G497</f>
        <v>6.77777777777778</v>
      </c>
      <c r="I497" s="49" t="n">
        <f aca="false">0.5*c_rho*'P3 Energie'!F8*'P3 Energie'!F7*(H497-c_Vv)^2+'P3 Energie'!F13+'P3 Energie'!F15+'P3 Energie'!F6*$H$7</f>
        <v>19054.2437692</v>
      </c>
      <c r="J497" s="50" t="n">
        <f aca="false">I497*H497</f>
        <v>129145.429991244</v>
      </c>
    </row>
    <row r="498" customFormat="false" ht="15" hidden="false" customHeight="false" outlineLevel="0" collapsed="false">
      <c r="A498" s="46" t="n">
        <v>489</v>
      </c>
      <c r="B498" s="47" t="n">
        <f aca="false">A498*$C$6</f>
        <v>0.894860165792272</v>
      </c>
      <c r="C498" s="48" t="n">
        <f aca="false">$C$7*B498</f>
        <v>6.79166666666667</v>
      </c>
      <c r="D498" s="49" t="n">
        <f aca="false">0.5*c_rho*'P3 Energie'!E8*'P3 Energie'!E7*(C498-c_Vv)^2+'P3 Energie'!E13+'P3 Energie'!E15+'P3 Energie'!E6*$C$7</f>
        <v>18198.5343068354</v>
      </c>
      <c r="E498" s="50" t="n">
        <f aca="false">D498*C498</f>
        <v>123598.378833924</v>
      </c>
      <c r="F498" s="46" t="n">
        <v>489</v>
      </c>
      <c r="G498" s="47" t="n">
        <f aca="false">F498*$H$6</f>
        <v>0.892276474772514</v>
      </c>
      <c r="H498" s="48" t="n">
        <f aca="false">$H$7*G498</f>
        <v>6.79166666666667</v>
      </c>
      <c r="I498" s="49" t="n">
        <f aca="false">0.5*c_rho*'P3 Energie'!F8*'P3 Energie'!F7*(H498-c_Vv)^2+'P3 Energie'!F13+'P3 Energie'!F15+'P3 Energie'!F6*$H$7</f>
        <v>19054.3091741484</v>
      </c>
      <c r="J498" s="50" t="n">
        <f aca="false">I498*H498</f>
        <v>129410.516474424</v>
      </c>
    </row>
    <row r="499" customFormat="false" ht="15" hidden="false" customHeight="false" outlineLevel="0" collapsed="false">
      <c r="A499" s="46" t="n">
        <v>490</v>
      </c>
      <c r="B499" s="47" t="n">
        <f aca="false">A499*$C$6</f>
        <v>0.896690145681417</v>
      </c>
      <c r="C499" s="48" t="n">
        <f aca="false">$C$7*B499</f>
        <v>6.80555555555556</v>
      </c>
      <c r="D499" s="49" t="n">
        <f aca="false">0.5*c_rho*'P3 Energie'!E8*'P3 Energie'!E7*(C499-c_Vv)^2+'P3 Energie'!E13+'P3 Energie'!E15+'P3 Energie'!E6*$C$7</f>
        <v>18198.6097409632</v>
      </c>
      <c r="E499" s="50" t="n">
        <f aca="false">D499*C499</f>
        <v>123851.649626</v>
      </c>
      <c r="F499" s="46" t="n">
        <v>490</v>
      </c>
      <c r="G499" s="47" t="n">
        <f aca="false">F499*$H$6</f>
        <v>0.894101171039942</v>
      </c>
      <c r="H499" s="48" t="n">
        <f aca="false">$H$7*G499</f>
        <v>6.80555555555556</v>
      </c>
      <c r="I499" s="49" t="n">
        <f aca="false">0.5*c_rho*'P3 Energie'!F8*'P3 Energie'!F7*(H499-c_Vv)^2+'P3 Energie'!F13+'P3 Energie'!F15+'P3 Energie'!F6*$H$7</f>
        <v>19054.3747129861</v>
      </c>
      <c r="J499" s="50" t="n">
        <f aca="false">I499*H499</f>
        <v>129675.6056856</v>
      </c>
    </row>
    <row r="500" customFormat="false" ht="15" hidden="false" customHeight="false" outlineLevel="0" collapsed="false">
      <c r="A500" s="46" t="n">
        <v>491</v>
      </c>
      <c r="B500" s="47" t="n">
        <f aca="false">A500*$C$6</f>
        <v>0.898520125570563</v>
      </c>
      <c r="C500" s="48" t="n">
        <f aca="false">$C$7*B500</f>
        <v>6.81944444444445</v>
      </c>
      <c r="D500" s="49" t="n">
        <f aca="false">0.5*c_rho*'P3 Energie'!E8*'P3 Energie'!E7*(C500-c_Vv)^2+'P3 Energie'!E13+'P3 Energie'!E15+'P3 Energie'!E6*$C$7</f>
        <v>18198.6853291955</v>
      </c>
      <c r="E500" s="50" t="n">
        <f aca="false">D500*C500</f>
        <v>124104.923564375</v>
      </c>
      <c r="F500" s="46" t="n">
        <v>491</v>
      </c>
      <c r="G500" s="47" t="n">
        <f aca="false">F500*$H$6</f>
        <v>0.895925867307371</v>
      </c>
      <c r="H500" s="48" t="n">
        <f aca="false">$H$7*G500</f>
        <v>6.81944444444445</v>
      </c>
      <c r="I500" s="49" t="n">
        <f aca="false">0.5*c_rho*'P3 Energie'!F8*'P3 Energie'!F7*(H500-c_Vv)^2+'P3 Energie'!F13+'P3 Energie'!F15+'P3 Energie'!F6*$H$7</f>
        <v>19054.4403857132</v>
      </c>
      <c r="J500" s="50" t="n">
        <f aca="false">I500*H500</f>
        <v>129940.69763035</v>
      </c>
    </row>
    <row r="501" customFormat="false" ht="15" hidden="false" customHeight="false" outlineLevel="0" collapsed="false">
      <c r="A501" s="46" t="n">
        <v>492</v>
      </c>
      <c r="B501" s="47" t="n">
        <f aca="false">A501*$C$6</f>
        <v>0.900350105459709</v>
      </c>
      <c r="C501" s="48" t="n">
        <f aca="false">$C$7*B501</f>
        <v>6.83333333333333</v>
      </c>
      <c r="D501" s="49" t="n">
        <f aca="false">0.5*c_rho*'P3 Energie'!E8*'P3 Energie'!E7*(C501-c_Vv)^2+'P3 Energie'!E13+'P3 Energie'!E15+'P3 Energie'!E6*$C$7</f>
        <v>18198.7610715322</v>
      </c>
      <c r="E501" s="50" t="n">
        <f aca="false">D501*C501</f>
        <v>124358.20065547</v>
      </c>
      <c r="F501" s="46" t="n">
        <v>492</v>
      </c>
      <c r="G501" s="47" t="n">
        <f aca="false">F501*$H$6</f>
        <v>0.897750563574799</v>
      </c>
      <c r="H501" s="48" t="n">
        <f aca="false">$H$7*G501</f>
        <v>6.83333333333333</v>
      </c>
      <c r="I501" s="49" t="n">
        <f aca="false">0.5*c_rho*'P3 Energie'!F8*'P3 Energie'!F7*(H501-c_Vv)^2+'P3 Energie'!F13+'P3 Energie'!F15+'P3 Energie'!F6*$H$7</f>
        <v>19054.5061923296</v>
      </c>
      <c r="J501" s="50" t="n">
        <f aca="false">I501*H501</f>
        <v>130205.792314252</v>
      </c>
    </row>
    <row r="502" customFormat="false" ht="15" hidden="false" customHeight="false" outlineLevel="0" collapsed="false">
      <c r="A502" s="46" t="n">
        <v>493</v>
      </c>
      <c r="B502" s="47" t="n">
        <f aca="false">A502*$C$6</f>
        <v>0.902180085348855</v>
      </c>
      <c r="C502" s="48" t="n">
        <f aca="false">$C$7*B502</f>
        <v>6.84722222222222</v>
      </c>
      <c r="D502" s="49" t="n">
        <f aca="false">0.5*c_rho*'P3 Energie'!E8*'P3 Energie'!E7*(C502-c_Vv)^2+'P3 Energie'!E13+'P3 Energie'!E15+'P3 Energie'!E6*$C$7</f>
        <v>18198.8369679734</v>
      </c>
      <c r="E502" s="50" t="n">
        <f aca="false">D502*C502</f>
        <v>124611.480905707</v>
      </c>
      <c r="F502" s="46" t="n">
        <v>493</v>
      </c>
      <c r="G502" s="47" t="n">
        <f aca="false">F502*$H$6</f>
        <v>0.899575259842228</v>
      </c>
      <c r="H502" s="48" t="n">
        <f aca="false">$H$7*G502</f>
        <v>6.84722222222222</v>
      </c>
      <c r="I502" s="49" t="n">
        <f aca="false">0.5*c_rho*'P3 Energie'!F8*'P3 Energie'!F7*(H502-c_Vv)^2+'P3 Energie'!F13+'P3 Energie'!F15+'P3 Energie'!F6*$H$7</f>
        <v>19054.5721328354</v>
      </c>
      <c r="J502" s="50" t="n">
        <f aca="false">I502*H502</f>
        <v>130470.889742887</v>
      </c>
    </row>
    <row r="503" customFormat="false" ht="15" hidden="false" customHeight="false" outlineLevel="0" collapsed="false">
      <c r="A503" s="46" t="n">
        <v>494</v>
      </c>
      <c r="B503" s="47" t="n">
        <f aca="false">A503*$C$6</f>
        <v>0.904010065238</v>
      </c>
      <c r="C503" s="48" t="n">
        <f aca="false">$C$7*B503</f>
        <v>6.86111111111111</v>
      </c>
      <c r="D503" s="49" t="n">
        <f aca="false">0.5*c_rho*'P3 Energie'!E8*'P3 Energie'!E7*(C503-c_Vv)^2+'P3 Energie'!E13+'P3 Energie'!E15+'P3 Energie'!E6*$C$7</f>
        <v>18198.913018519</v>
      </c>
      <c r="E503" s="50" t="n">
        <f aca="false">D503*C503</f>
        <v>124864.764321505</v>
      </c>
      <c r="F503" s="46" t="n">
        <v>494</v>
      </c>
      <c r="G503" s="47" t="n">
        <f aca="false">F503*$H$6</f>
        <v>0.901399956109656</v>
      </c>
      <c r="H503" s="48" t="n">
        <f aca="false">$H$7*G503</f>
        <v>6.86111111111111</v>
      </c>
      <c r="I503" s="49" t="n">
        <f aca="false">0.5*c_rho*'P3 Energie'!F8*'P3 Energie'!F7*(H503-c_Vv)^2+'P3 Energie'!F13+'P3 Energie'!F15+'P3 Energie'!F6*$H$7</f>
        <v>19054.6382072306</v>
      </c>
      <c r="J503" s="50" t="n">
        <f aca="false">I503*H503</f>
        <v>130735.989921832</v>
      </c>
    </row>
    <row r="504" customFormat="false" ht="15" hidden="false" customHeight="false" outlineLevel="0" collapsed="false">
      <c r="A504" s="46" t="n">
        <v>495</v>
      </c>
      <c r="B504" s="47" t="n">
        <f aca="false">A504*$C$6</f>
        <v>0.905840045127146</v>
      </c>
      <c r="C504" s="48" t="n">
        <f aca="false">$C$7*B504</f>
        <v>6.875</v>
      </c>
      <c r="D504" s="49" t="n">
        <f aca="false">0.5*c_rho*'P3 Energie'!E8*'P3 Energie'!E7*(C504-c_Vv)^2+'P3 Energie'!E13+'P3 Energie'!E15+'P3 Energie'!E6*$C$7</f>
        <v>18198.989223169</v>
      </c>
      <c r="E504" s="50" t="n">
        <f aca="false">D504*C504</f>
        <v>125118.050909287</v>
      </c>
      <c r="F504" s="46" t="n">
        <v>495</v>
      </c>
      <c r="G504" s="47" t="n">
        <f aca="false">F504*$H$6</f>
        <v>0.903224652377085</v>
      </c>
      <c r="H504" s="48" t="n">
        <f aca="false">$H$7*G504</f>
        <v>6.875</v>
      </c>
      <c r="I504" s="49" t="n">
        <f aca="false">0.5*c_rho*'P3 Energie'!F8*'P3 Energie'!F7*(H504-c_Vv)^2+'P3 Energie'!F13+'P3 Energie'!F15+'P3 Energie'!F6*$H$7</f>
        <v>19054.704415515</v>
      </c>
      <c r="J504" s="50" t="n">
        <f aca="false">I504*H504</f>
        <v>131001.092856666</v>
      </c>
    </row>
    <row r="505" customFormat="false" ht="15" hidden="false" customHeight="false" outlineLevel="0" collapsed="false">
      <c r="A505" s="46" t="n">
        <v>496</v>
      </c>
      <c r="B505" s="47" t="n">
        <f aca="false">A505*$C$6</f>
        <v>0.907670025016292</v>
      </c>
      <c r="C505" s="48" t="n">
        <f aca="false">$C$7*B505</f>
        <v>6.88888888888889</v>
      </c>
      <c r="D505" s="49" t="n">
        <f aca="false">0.5*c_rho*'P3 Energie'!E8*'P3 Energie'!E7*(C505-c_Vv)^2+'P3 Energie'!E13+'P3 Energie'!E15+'P3 Energie'!E6*$C$7</f>
        <v>18199.0655819236</v>
      </c>
      <c r="E505" s="50" t="n">
        <f aca="false">D505*C505</f>
        <v>125371.340675473</v>
      </c>
      <c r="F505" s="46" t="n">
        <v>496</v>
      </c>
      <c r="G505" s="47" t="n">
        <f aca="false">F505*$H$6</f>
        <v>0.905049348644513</v>
      </c>
      <c r="H505" s="48" t="n">
        <f aca="false">$H$7*G505</f>
        <v>6.88888888888889</v>
      </c>
      <c r="I505" s="49" t="n">
        <f aca="false">0.5*c_rho*'P3 Energie'!F8*'P3 Energie'!F7*(H505-c_Vv)^2+'P3 Energie'!F13+'P3 Energie'!F15+'P3 Energie'!F6*$H$7</f>
        <v>19054.7707576889</v>
      </c>
      <c r="J505" s="50" t="n">
        <f aca="false">I505*H505</f>
        <v>131266.198552968</v>
      </c>
    </row>
    <row r="506" customFormat="false" ht="15" hidden="false" customHeight="false" outlineLevel="0" collapsed="false">
      <c r="A506" s="46" t="n">
        <v>497</v>
      </c>
      <c r="B506" s="47" t="n">
        <f aca="false">A506*$C$6</f>
        <v>0.909500004905438</v>
      </c>
      <c r="C506" s="48" t="n">
        <f aca="false">$C$7*B506</f>
        <v>6.90277777777778</v>
      </c>
      <c r="D506" s="49" t="n">
        <f aca="false">0.5*c_rho*'P3 Energie'!E8*'P3 Energie'!E7*(C506-c_Vv)^2+'P3 Energie'!E13+'P3 Energie'!E15+'P3 Energie'!E6*$C$7</f>
        <v>18199.1420947825</v>
      </c>
      <c r="E506" s="50" t="n">
        <f aca="false">D506*C506</f>
        <v>125624.633626485</v>
      </c>
      <c r="F506" s="46" t="n">
        <v>497</v>
      </c>
      <c r="G506" s="47" t="n">
        <f aca="false">F506*$H$6</f>
        <v>0.906874044911941</v>
      </c>
      <c r="H506" s="48" t="n">
        <f aca="false">$H$7*G506</f>
        <v>6.90277777777778</v>
      </c>
      <c r="I506" s="49" t="n">
        <f aca="false">0.5*c_rho*'P3 Energie'!F8*'P3 Energie'!F7*(H506-c_Vv)^2+'P3 Energie'!F13+'P3 Energie'!F15+'P3 Energie'!F6*$H$7</f>
        <v>19054.8372337521</v>
      </c>
      <c r="J506" s="50" t="n">
        <f aca="false">I506*H506</f>
        <v>131531.307016316</v>
      </c>
    </row>
    <row r="507" customFormat="false" ht="15" hidden="false" customHeight="false" outlineLevel="0" collapsed="false">
      <c r="A507" s="46" t="n">
        <v>498</v>
      </c>
      <c r="B507" s="47" t="n">
        <f aca="false">A507*$C$6</f>
        <v>0.911329984794583</v>
      </c>
      <c r="C507" s="48" t="n">
        <f aca="false">$C$7*B507</f>
        <v>6.91666666666667</v>
      </c>
      <c r="D507" s="49" t="n">
        <f aca="false">0.5*c_rho*'P3 Energie'!E8*'P3 Energie'!E7*(C507-c_Vv)^2+'P3 Energie'!E13+'P3 Energie'!E15+'P3 Energie'!E6*$C$7</f>
        <v>18199.2187617459</v>
      </c>
      <c r="E507" s="50" t="n">
        <f aca="false">D507*C507</f>
        <v>125877.929768743</v>
      </c>
      <c r="F507" s="46" t="n">
        <v>498</v>
      </c>
      <c r="G507" s="47" t="n">
        <f aca="false">F507*$H$6</f>
        <v>0.90869874117937</v>
      </c>
      <c r="H507" s="48" t="n">
        <f aca="false">$H$7*G507</f>
        <v>6.91666666666667</v>
      </c>
      <c r="I507" s="49" t="n">
        <f aca="false">0.5*c_rho*'P3 Energie'!F8*'P3 Energie'!F7*(H507-c_Vv)^2+'P3 Energie'!F13+'P3 Energie'!F15+'P3 Energie'!F6*$H$7</f>
        <v>19054.9038437046</v>
      </c>
      <c r="J507" s="50" t="n">
        <f aca="false">I507*H507</f>
        <v>131796.41825229</v>
      </c>
    </row>
    <row r="508" customFormat="false" ht="15" hidden="false" customHeight="false" outlineLevel="0" collapsed="false">
      <c r="A508" s="46" t="n">
        <v>499</v>
      </c>
      <c r="B508" s="47" t="n">
        <f aca="false">A508*$C$6</f>
        <v>0.913159964683729</v>
      </c>
      <c r="C508" s="48" t="n">
        <f aca="false">$C$7*B508</f>
        <v>6.93055555555556</v>
      </c>
      <c r="D508" s="49" t="n">
        <f aca="false">0.5*c_rho*'P3 Energie'!E8*'P3 Energie'!E7*(C508-c_Vv)^2+'P3 Energie'!E13+'P3 Energie'!E15+'P3 Energie'!E6*$C$7</f>
        <v>18199.2955828138</v>
      </c>
      <c r="E508" s="50" t="n">
        <f aca="false">D508*C508</f>
        <v>126131.229108668</v>
      </c>
      <c r="F508" s="46" t="n">
        <v>499</v>
      </c>
      <c r="G508" s="47" t="n">
        <f aca="false">F508*$H$6</f>
        <v>0.910523437446798</v>
      </c>
      <c r="H508" s="48" t="n">
        <f aca="false">$H$7*G508</f>
        <v>6.93055555555556</v>
      </c>
      <c r="I508" s="49" t="n">
        <f aca="false">0.5*c_rho*'P3 Energie'!F8*'P3 Energie'!F7*(H508-c_Vv)^2+'P3 Energie'!F13+'P3 Energie'!F15+'P3 Energie'!F6*$H$7</f>
        <v>19054.9705875465</v>
      </c>
      <c r="J508" s="50" t="n">
        <f aca="false">I508*H508</f>
        <v>132061.532266468</v>
      </c>
    </row>
    <row r="509" customFormat="false" ht="15" hidden="false" customHeight="false" outlineLevel="0" collapsed="false">
      <c r="A509" s="46" t="n">
        <v>500</v>
      </c>
      <c r="B509" s="47" t="n">
        <f aca="false">A509*$C$6</f>
        <v>0.914989944572875</v>
      </c>
      <c r="C509" s="48" t="n">
        <f aca="false">$C$7*B509</f>
        <v>6.94444444444445</v>
      </c>
      <c r="D509" s="49" t="n">
        <f aca="false">0.5*c_rho*'P3 Energie'!E8*'P3 Energie'!E7*(C509-c_Vv)^2+'P3 Energie'!E13+'P3 Energie'!E15+'P3 Energie'!E6*$C$7</f>
        <v>18199.3725579861</v>
      </c>
      <c r="E509" s="50" t="n">
        <f aca="false">D509*C509</f>
        <v>126384.531652681</v>
      </c>
      <c r="F509" s="46" t="n">
        <v>500</v>
      </c>
      <c r="G509" s="47" t="n">
        <f aca="false">F509*$H$6</f>
        <v>0.912348133714227</v>
      </c>
      <c r="H509" s="48" t="n">
        <f aca="false">$H$7*G509</f>
        <v>6.94444444444445</v>
      </c>
      <c r="I509" s="49" t="n">
        <f aca="false">0.5*c_rho*'P3 Energie'!F8*'P3 Energie'!F7*(H509-c_Vv)^2+'P3 Energie'!F13+'P3 Energie'!F15+'P3 Energie'!F6*$H$7</f>
        <v>19055.0374652778</v>
      </c>
      <c r="J509" s="50" t="n">
        <f aca="false">I509*H509</f>
        <v>132326.649064429</v>
      </c>
    </row>
    <row r="510" customFormat="false" ht="15" hidden="false" customHeight="false" outlineLevel="0" collapsed="false">
      <c r="A510" s="46" t="n">
        <v>501</v>
      </c>
      <c r="B510" s="47" t="n">
        <f aca="false">A510*$C$6</f>
        <v>0.91681992446202</v>
      </c>
      <c r="C510" s="48" t="n">
        <f aca="false">$C$7*B510</f>
        <v>6.95833333333333</v>
      </c>
      <c r="D510" s="49" t="n">
        <f aca="false">0.5*c_rho*'P3 Energie'!E8*'P3 Energie'!E7*(C510-c_Vv)^2+'P3 Energie'!E13+'P3 Energie'!E15+'P3 Energie'!E6*$C$7</f>
        <v>18199.4496872629</v>
      </c>
      <c r="E510" s="50" t="n">
        <f aca="false">D510*C510</f>
        <v>126637.837407204</v>
      </c>
      <c r="F510" s="46" t="n">
        <v>501</v>
      </c>
      <c r="G510" s="47" t="n">
        <f aca="false">F510*$H$6</f>
        <v>0.914172829981655</v>
      </c>
      <c r="H510" s="48" t="n">
        <f aca="false">$H$7*G510</f>
        <v>6.95833333333333</v>
      </c>
      <c r="I510" s="49" t="n">
        <f aca="false">0.5*c_rho*'P3 Energie'!F8*'P3 Energie'!F7*(H510-c_Vv)^2+'P3 Energie'!F13+'P3 Energie'!F15+'P3 Energie'!F6*$H$7</f>
        <v>19055.1044768984</v>
      </c>
      <c r="J510" s="50" t="n">
        <f aca="false">I510*H510</f>
        <v>132591.768651751</v>
      </c>
    </row>
    <row r="511" customFormat="false" ht="15" hidden="false" customHeight="false" outlineLevel="0" collapsed="false">
      <c r="A511" s="46" t="n">
        <v>502</v>
      </c>
      <c r="B511" s="47" t="n">
        <f aca="false">A511*$C$6</f>
        <v>0.918649904351166</v>
      </c>
      <c r="C511" s="48" t="n">
        <f aca="false">$C$7*B511</f>
        <v>6.97222222222222</v>
      </c>
      <c r="D511" s="49" t="n">
        <f aca="false">0.5*c_rho*'P3 Energie'!E8*'P3 Energie'!E7*(C511-c_Vv)^2+'P3 Energie'!E13+'P3 Energie'!E15+'P3 Energie'!E6*$C$7</f>
        <v>18199.5269706441</v>
      </c>
      <c r="E511" s="50" t="n">
        <f aca="false">D511*C511</f>
        <v>126891.146378657</v>
      </c>
      <c r="F511" s="46" t="n">
        <v>502</v>
      </c>
      <c r="G511" s="47" t="n">
        <f aca="false">F511*$H$6</f>
        <v>0.915997526249084</v>
      </c>
      <c r="H511" s="48" t="n">
        <f aca="false">$H$7*G511</f>
        <v>6.97222222222222</v>
      </c>
      <c r="I511" s="49" t="n">
        <f aca="false">0.5*c_rho*'P3 Energie'!F8*'P3 Energie'!F7*(H511-c_Vv)^2+'P3 Energie'!F13+'P3 Energie'!F15+'P3 Energie'!F6*$H$7</f>
        <v>19055.1716224083</v>
      </c>
      <c r="J511" s="50" t="n">
        <f aca="false">I511*H511</f>
        <v>132856.891034014</v>
      </c>
    </row>
    <row r="512" customFormat="false" ht="15" hidden="false" customHeight="false" outlineLevel="0" collapsed="false">
      <c r="A512" s="46" t="n">
        <v>503</v>
      </c>
      <c r="B512" s="47" t="n">
        <f aca="false">A512*$C$6</f>
        <v>0.920479884240312</v>
      </c>
      <c r="C512" s="48" t="n">
        <f aca="false">$C$7*B512</f>
        <v>6.98611111111111</v>
      </c>
      <c r="D512" s="49" t="n">
        <f aca="false">0.5*c_rho*'P3 Energie'!E8*'P3 Energie'!E7*(C512-c_Vv)^2+'P3 Energie'!E13+'P3 Energie'!E15+'P3 Energie'!E6*$C$7</f>
        <v>18199.6044081298</v>
      </c>
      <c r="E512" s="50" t="n">
        <f aca="false">D512*C512</f>
        <v>127144.458573462</v>
      </c>
      <c r="F512" s="46" t="n">
        <v>503</v>
      </c>
      <c r="G512" s="47" t="n">
        <f aca="false">F512*$H$6</f>
        <v>0.917822222516512</v>
      </c>
      <c r="H512" s="48" t="n">
        <f aca="false">$H$7*G512</f>
        <v>6.98611111111111</v>
      </c>
      <c r="I512" s="49" t="n">
        <f aca="false">0.5*c_rho*'P3 Energie'!F8*'P3 Energie'!F7*(H512-c_Vv)^2+'P3 Energie'!F13+'P3 Energie'!F15+'P3 Energie'!F6*$H$7</f>
        <v>19055.2389018076</v>
      </c>
      <c r="J512" s="50" t="n">
        <f aca="false">I512*H512</f>
        <v>133122.016216795</v>
      </c>
    </row>
    <row r="513" customFormat="false" ht="15" hidden="false" customHeight="false" outlineLevel="0" collapsed="false">
      <c r="A513" s="46" t="n">
        <v>504</v>
      </c>
      <c r="B513" s="47" t="n">
        <f aca="false">A513*$C$6</f>
        <v>0.922309864129458</v>
      </c>
      <c r="C513" s="48" t="n">
        <f aca="false">$C$7*B513</f>
        <v>7</v>
      </c>
      <c r="D513" s="49" t="n">
        <f aca="false">0.5*c_rho*'P3 Energie'!E8*'P3 Energie'!E7*(C513-c_Vv)^2+'P3 Energie'!E13+'P3 Energie'!E15+'P3 Energie'!E6*$C$7</f>
        <v>18199.6819997199</v>
      </c>
      <c r="E513" s="50" t="n">
        <f aca="false">D513*C513</f>
        <v>127397.773998039</v>
      </c>
      <c r="F513" s="46" t="n">
        <v>504</v>
      </c>
      <c r="G513" s="47" t="n">
        <f aca="false">F513*$H$6</f>
        <v>0.919646918783941</v>
      </c>
      <c r="H513" s="48" t="n">
        <f aca="false">$H$7*G513</f>
        <v>7</v>
      </c>
      <c r="I513" s="49" t="n">
        <f aca="false">0.5*c_rho*'P3 Energie'!F8*'P3 Energie'!F7*(H513-c_Vv)^2+'P3 Energie'!F13+'P3 Energie'!F15+'P3 Energie'!F6*$H$7</f>
        <v>19055.3063150963</v>
      </c>
      <c r="J513" s="50" t="n">
        <f aca="false">I513*H513</f>
        <v>133387.144205674</v>
      </c>
    </row>
    <row r="514" customFormat="false" ht="15" hidden="false" customHeight="false" outlineLevel="0" collapsed="false">
      <c r="A514" s="46" t="n">
        <v>505</v>
      </c>
      <c r="B514" s="47" t="n">
        <f aca="false">A514*$C$6</f>
        <v>0.924139844018604</v>
      </c>
      <c r="C514" s="48" t="n">
        <f aca="false">$C$7*B514</f>
        <v>7.01388888888889</v>
      </c>
      <c r="D514" s="49" t="n">
        <f aca="false">0.5*c_rho*'P3 Energie'!E8*'P3 Energie'!E7*(C514-c_Vv)^2+'P3 Energie'!E13+'P3 Energie'!E15+'P3 Energie'!E6*$C$7</f>
        <v>18199.7597454144</v>
      </c>
      <c r="E514" s="50" t="n">
        <f aca="false">D514*C514</f>
        <v>127651.092658809</v>
      </c>
      <c r="F514" s="46" t="n">
        <v>505</v>
      </c>
      <c r="G514" s="47" t="n">
        <f aca="false">F514*$H$6</f>
        <v>0.921471615051369</v>
      </c>
      <c r="H514" s="48" t="n">
        <f aca="false">$H$7*G514</f>
        <v>7.01388888888889</v>
      </c>
      <c r="I514" s="49" t="n">
        <f aca="false">0.5*c_rho*'P3 Energie'!F8*'P3 Energie'!F7*(H514-c_Vv)^2+'P3 Energie'!F13+'P3 Energie'!F15+'P3 Energie'!F6*$H$7</f>
        <v>19055.3738622743</v>
      </c>
      <c r="J514" s="50" t="n">
        <f aca="false">I514*H514</f>
        <v>133652.27500623</v>
      </c>
    </row>
    <row r="515" customFormat="false" ht="15" hidden="false" customHeight="false" outlineLevel="0" collapsed="false">
      <c r="A515" s="46" t="n">
        <v>506</v>
      </c>
      <c r="B515" s="47" t="n">
        <f aca="false">A515*$C$6</f>
        <v>0.925969823907749</v>
      </c>
      <c r="C515" s="48" t="n">
        <f aca="false">$C$7*B515</f>
        <v>7.02777777777778</v>
      </c>
      <c r="D515" s="49" t="n">
        <f aca="false">0.5*c_rho*'P3 Energie'!E8*'P3 Energie'!E7*(C515-c_Vv)^2+'P3 Energie'!E13+'P3 Energie'!E15+'P3 Energie'!E6*$C$7</f>
        <v>18199.8376452134</v>
      </c>
      <c r="E515" s="50" t="n">
        <f aca="false">D515*C515</f>
        <v>127904.414562194</v>
      </c>
      <c r="F515" s="46" t="n">
        <v>506</v>
      </c>
      <c r="G515" s="47" t="n">
        <f aca="false">F515*$H$6</f>
        <v>0.923296311318798</v>
      </c>
      <c r="H515" s="48" t="n">
        <f aca="false">$H$7*G515</f>
        <v>7.02777777777778</v>
      </c>
      <c r="I515" s="49" t="n">
        <f aca="false">0.5*c_rho*'P3 Energie'!F8*'P3 Energie'!F7*(H515-c_Vv)^2+'P3 Energie'!F13+'P3 Energie'!F15+'P3 Energie'!F6*$H$7</f>
        <v>19055.4415433417</v>
      </c>
      <c r="J515" s="50" t="n">
        <f aca="false">I515*H515</f>
        <v>133917.40862404</v>
      </c>
    </row>
    <row r="516" customFormat="false" ht="15" hidden="false" customHeight="false" outlineLevel="0" collapsed="false">
      <c r="A516" s="46" t="n">
        <v>507</v>
      </c>
      <c r="B516" s="47" t="n">
        <f aca="false">A516*$C$6</f>
        <v>0.927799803796895</v>
      </c>
      <c r="C516" s="48" t="n">
        <f aca="false">$C$7*B516</f>
        <v>7.04166666666667</v>
      </c>
      <c r="D516" s="49" t="n">
        <f aca="false">0.5*c_rho*'P3 Energie'!E8*'P3 Energie'!E7*(C516-c_Vv)^2+'P3 Energie'!E13+'P3 Energie'!E15+'P3 Energie'!E6*$C$7</f>
        <v>18199.9156991169</v>
      </c>
      <c r="E516" s="50" t="n">
        <f aca="false">D516*C516</f>
        <v>128157.739714615</v>
      </c>
      <c r="F516" s="46" t="n">
        <v>507</v>
      </c>
      <c r="G516" s="47" t="n">
        <f aca="false">F516*$H$6</f>
        <v>0.925121007586226</v>
      </c>
      <c r="H516" s="48" t="n">
        <f aca="false">$H$7*G516</f>
        <v>7.04166666666667</v>
      </c>
      <c r="I516" s="49" t="n">
        <f aca="false">0.5*c_rho*'P3 Energie'!F8*'P3 Energie'!F7*(H516-c_Vv)^2+'P3 Energie'!F13+'P3 Energie'!F15+'P3 Energie'!F6*$H$7</f>
        <v>19055.5093582984</v>
      </c>
      <c r="J516" s="50" t="n">
        <f aca="false">I516*H516</f>
        <v>134182.545064684</v>
      </c>
    </row>
    <row r="517" customFormat="false" ht="15" hidden="false" customHeight="false" outlineLevel="0" collapsed="false">
      <c r="A517" s="46" t="n">
        <v>508</v>
      </c>
      <c r="B517" s="47" t="n">
        <f aca="false">A517*$C$6</f>
        <v>0.929629783686041</v>
      </c>
      <c r="C517" s="48" t="n">
        <f aca="false">$C$7*B517</f>
        <v>7.05555555555556</v>
      </c>
      <c r="D517" s="49" t="n">
        <f aca="false">0.5*c_rho*'P3 Energie'!E8*'P3 Energie'!E7*(C517-c_Vv)^2+'P3 Energie'!E13+'P3 Energie'!E15+'P3 Energie'!E6*$C$7</f>
        <v>18199.9939071248</v>
      </c>
      <c r="E517" s="50" t="n">
        <f aca="false">D517*C517</f>
        <v>128411.068122492</v>
      </c>
      <c r="F517" s="46" t="n">
        <v>508</v>
      </c>
      <c r="G517" s="47" t="n">
        <f aca="false">F517*$H$6</f>
        <v>0.926945703853654</v>
      </c>
      <c r="H517" s="48" t="n">
        <f aca="false">$H$7*G517</f>
        <v>7.05555555555556</v>
      </c>
      <c r="I517" s="49" t="n">
        <f aca="false">0.5*c_rho*'P3 Energie'!F8*'P3 Energie'!F7*(H517-c_Vv)^2+'P3 Energie'!F13+'P3 Energie'!F15+'P3 Energie'!F6*$H$7</f>
        <v>19055.5773071444</v>
      </c>
      <c r="J517" s="50" t="n">
        <f aca="false">I517*H517</f>
        <v>134447.684333741</v>
      </c>
    </row>
    <row r="518" customFormat="false" ht="15" hidden="false" customHeight="false" outlineLevel="0" collapsed="false">
      <c r="A518" s="46" t="n">
        <v>509</v>
      </c>
      <c r="B518" s="47" t="n">
        <f aca="false">A518*$C$6</f>
        <v>0.931459763575187</v>
      </c>
      <c r="C518" s="48" t="n">
        <f aca="false">$C$7*B518</f>
        <v>7.06944444444445</v>
      </c>
      <c r="D518" s="49" t="n">
        <f aca="false">0.5*c_rho*'P3 Energie'!E8*'P3 Energie'!E7*(C518-c_Vv)^2+'P3 Energie'!E13+'P3 Energie'!E15+'P3 Energie'!E6*$C$7</f>
        <v>18200.0722692371</v>
      </c>
      <c r="E518" s="50" t="n">
        <f aca="false">D518*C518</f>
        <v>128664.399792246</v>
      </c>
      <c r="F518" s="46" t="n">
        <v>509</v>
      </c>
      <c r="G518" s="47" t="n">
        <f aca="false">F518*$H$6</f>
        <v>0.928770400121083</v>
      </c>
      <c r="H518" s="48" t="n">
        <f aca="false">$H$7*G518</f>
        <v>7.06944444444445</v>
      </c>
      <c r="I518" s="49" t="n">
        <f aca="false">0.5*c_rho*'P3 Energie'!F8*'P3 Energie'!F7*(H518-c_Vv)^2+'P3 Energie'!F13+'P3 Energie'!F15+'P3 Energie'!F6*$H$7</f>
        <v>19055.6453898799</v>
      </c>
      <c r="J518" s="50" t="n">
        <f aca="false">I518*H518</f>
        <v>134712.82643679</v>
      </c>
    </row>
    <row r="519" customFormat="false" ht="15" hidden="false" customHeight="false" outlineLevel="0" collapsed="false">
      <c r="A519" s="46" t="n">
        <v>510</v>
      </c>
      <c r="B519" s="47" t="n">
        <f aca="false">A519*$C$6</f>
        <v>0.933289743464332</v>
      </c>
      <c r="C519" s="48" t="n">
        <f aca="false">$C$7*B519</f>
        <v>7.08333333333333</v>
      </c>
      <c r="D519" s="49" t="n">
        <f aca="false">0.5*c_rho*'P3 Energie'!E8*'P3 Energie'!E7*(C519-c_Vv)^2+'P3 Energie'!E13+'P3 Energie'!E15+'P3 Energie'!E6*$C$7</f>
        <v>18200.1507854539</v>
      </c>
      <c r="E519" s="50" t="n">
        <f aca="false">D519*C519</f>
        <v>128917.734730299</v>
      </c>
      <c r="F519" s="46" t="n">
        <v>510</v>
      </c>
      <c r="G519" s="47" t="n">
        <f aca="false">F519*$H$6</f>
        <v>0.930595096388511</v>
      </c>
      <c r="H519" s="48" t="n">
        <f aca="false">$H$7*G519</f>
        <v>7.08333333333333</v>
      </c>
      <c r="I519" s="49" t="n">
        <f aca="false">0.5*c_rho*'P3 Energie'!F8*'P3 Energie'!F7*(H519-c_Vv)^2+'P3 Energie'!F13+'P3 Energie'!F15+'P3 Energie'!F6*$H$7</f>
        <v>19055.7136065046</v>
      </c>
      <c r="J519" s="50" t="n">
        <f aca="false">I519*H519</f>
        <v>134977.971379408</v>
      </c>
    </row>
    <row r="520" customFormat="false" ht="15" hidden="false" customHeight="false" outlineLevel="0" collapsed="false">
      <c r="A520" s="46" t="n">
        <v>511</v>
      </c>
      <c r="B520" s="47" t="n">
        <f aca="false">A520*$C$6</f>
        <v>0.935119723353478</v>
      </c>
      <c r="C520" s="48" t="n">
        <f aca="false">$C$7*B520</f>
        <v>7.09722222222222</v>
      </c>
      <c r="D520" s="49" t="n">
        <f aca="false">0.5*c_rho*'P3 Energie'!E8*'P3 Energie'!E7*(C520-c_Vv)^2+'P3 Energie'!E13+'P3 Energie'!E15+'P3 Energie'!E6*$C$7</f>
        <v>18200.2294557752</v>
      </c>
      <c r="E520" s="50" t="n">
        <f aca="false">D520*C520</f>
        <v>129171.072943071</v>
      </c>
      <c r="F520" s="46" t="n">
        <v>511</v>
      </c>
      <c r="G520" s="47" t="n">
        <f aca="false">F520*$H$6</f>
        <v>0.93241979265594</v>
      </c>
      <c r="H520" s="48" t="n">
        <f aca="false">$H$7*G520</f>
        <v>7.09722222222222</v>
      </c>
      <c r="I520" s="49" t="n">
        <f aca="false">0.5*c_rho*'P3 Energie'!F8*'P3 Energie'!F7*(H520-c_Vv)^2+'P3 Energie'!F13+'P3 Energie'!F15+'P3 Energie'!F6*$H$7</f>
        <v>19055.7819570188</v>
      </c>
      <c r="J520" s="50" t="n">
        <f aca="false">I520*H520</f>
        <v>135243.119167175</v>
      </c>
    </row>
    <row r="521" customFormat="false" ht="15" hidden="false" customHeight="false" outlineLevel="0" collapsed="false">
      <c r="A521" s="46" t="n">
        <v>512</v>
      </c>
      <c r="B521" s="47" t="n">
        <f aca="false">A521*$C$6</f>
        <v>0.936949703242624</v>
      </c>
      <c r="C521" s="48" t="n">
        <f aca="false">$C$7*B521</f>
        <v>7.11111111111111</v>
      </c>
      <c r="D521" s="49" t="n">
        <f aca="false">0.5*c_rho*'P3 Energie'!E8*'P3 Energie'!E7*(C521-c_Vv)^2+'P3 Energie'!E13+'P3 Energie'!E15+'P3 Energie'!E6*$C$7</f>
        <v>18200.3082802009</v>
      </c>
      <c r="E521" s="50" t="n">
        <f aca="false">D521*C521</f>
        <v>129424.414436984</v>
      </c>
      <c r="F521" s="46" t="n">
        <v>512</v>
      </c>
      <c r="G521" s="47" t="n">
        <f aca="false">F521*$H$6</f>
        <v>0.934244488923368</v>
      </c>
      <c r="H521" s="48" t="n">
        <f aca="false">$H$7*G521</f>
        <v>7.11111111111111</v>
      </c>
      <c r="I521" s="49" t="n">
        <f aca="false">0.5*c_rho*'P3 Energie'!F8*'P3 Energie'!F7*(H521-c_Vv)^2+'P3 Energie'!F13+'P3 Energie'!F15+'P3 Energie'!F6*$H$7</f>
        <v>19055.8504414222</v>
      </c>
      <c r="J521" s="50" t="n">
        <f aca="false">I521*H521</f>
        <v>135508.269805669</v>
      </c>
    </row>
    <row r="522" customFormat="false" ht="15" hidden="false" customHeight="false" outlineLevel="0" collapsed="false">
      <c r="A522" s="46" t="n">
        <v>513</v>
      </c>
      <c r="B522" s="47" t="n">
        <f aca="false">A522*$C$6</f>
        <v>0.93877968313177</v>
      </c>
      <c r="C522" s="48" t="n">
        <f aca="false">$C$7*B522</f>
        <v>7.125</v>
      </c>
      <c r="D522" s="49" t="n">
        <f aca="false">0.5*c_rho*'P3 Energie'!E8*'P3 Energie'!E7*(C522-c_Vv)^2+'P3 Energie'!E13+'P3 Energie'!E15+'P3 Energie'!E6*$C$7</f>
        <v>18200.387258731</v>
      </c>
      <c r="E522" s="50" t="n">
        <f aca="false">D522*C522</f>
        <v>129677.759218459</v>
      </c>
      <c r="F522" s="46" t="n">
        <v>513</v>
      </c>
      <c r="G522" s="47" t="n">
        <f aca="false">F522*$H$6</f>
        <v>0.936069185190797</v>
      </c>
      <c r="H522" s="48" t="n">
        <f aca="false">$H$7*G522</f>
        <v>7.125</v>
      </c>
      <c r="I522" s="49" t="n">
        <f aca="false">0.5*c_rho*'P3 Energie'!F8*'P3 Energie'!F7*(H522-c_Vv)^2+'P3 Energie'!F13+'P3 Energie'!F15+'P3 Energie'!F6*$H$7</f>
        <v>19055.9190597151</v>
      </c>
      <c r="J522" s="50" t="n">
        <f aca="false">I522*H522</f>
        <v>135773.42330047</v>
      </c>
    </row>
    <row r="523" customFormat="false" ht="15" hidden="false" customHeight="false" outlineLevel="0" collapsed="false">
      <c r="A523" s="46" t="n">
        <v>514</v>
      </c>
      <c r="B523" s="47" t="n">
        <f aca="false">A523*$C$6</f>
        <v>0.940609663020915</v>
      </c>
      <c r="C523" s="48" t="n">
        <f aca="false">$C$7*B523</f>
        <v>7.13888888888889</v>
      </c>
      <c r="D523" s="49" t="n">
        <f aca="false">0.5*c_rho*'P3 Energie'!E8*'P3 Energie'!E7*(C523-c_Vv)^2+'P3 Energie'!E13+'P3 Energie'!E15+'P3 Energie'!E6*$C$7</f>
        <v>18200.4663913656</v>
      </c>
      <c r="E523" s="50" t="n">
        <f aca="false">D523*C523</f>
        <v>129931.107293916</v>
      </c>
      <c r="F523" s="46" t="n">
        <v>514</v>
      </c>
      <c r="G523" s="47" t="n">
        <f aca="false">F523*$H$6</f>
        <v>0.937893881458225</v>
      </c>
      <c r="H523" s="48" t="n">
        <f aca="false">$H$7*G523</f>
        <v>7.13888888888889</v>
      </c>
      <c r="I523" s="49" t="n">
        <f aca="false">0.5*c_rho*'P3 Energie'!F8*'P3 Energie'!F7*(H523-c_Vv)^2+'P3 Energie'!F13+'P3 Energie'!F15+'P3 Energie'!F6*$H$7</f>
        <v>19055.9878118972</v>
      </c>
      <c r="J523" s="50" t="n">
        <f aca="false">I523*H523</f>
        <v>136038.579657155</v>
      </c>
    </row>
    <row r="524" customFormat="false" ht="15" hidden="false" customHeight="false" outlineLevel="0" collapsed="false">
      <c r="A524" s="46" t="n">
        <v>515</v>
      </c>
      <c r="B524" s="47" t="n">
        <f aca="false">A524*$C$6</f>
        <v>0.942439642910061</v>
      </c>
      <c r="C524" s="48" t="n">
        <f aca="false">$C$7*B524</f>
        <v>7.15277777777778</v>
      </c>
      <c r="D524" s="49" t="n">
        <f aca="false">0.5*c_rho*'P3 Energie'!E8*'P3 Energie'!E7*(C524-c_Vv)^2+'P3 Energie'!E13+'P3 Energie'!E15+'P3 Energie'!E6*$C$7</f>
        <v>18200.5456781047</v>
      </c>
      <c r="E524" s="50" t="n">
        <f aca="false">D524*C524</f>
        <v>130184.458669777</v>
      </c>
      <c r="F524" s="46" t="n">
        <v>515</v>
      </c>
      <c r="G524" s="47" t="n">
        <f aca="false">F524*$H$6</f>
        <v>0.939718577725654</v>
      </c>
      <c r="H524" s="48" t="n">
        <f aca="false">$H$7*G524</f>
        <v>7.15277777777778</v>
      </c>
      <c r="I524" s="49" t="n">
        <f aca="false">0.5*c_rho*'P3 Energie'!F8*'P3 Energie'!F7*(H524-c_Vv)^2+'P3 Energie'!F13+'P3 Energie'!F15+'P3 Energie'!F6*$H$7</f>
        <v>19056.0566979688</v>
      </c>
      <c r="J524" s="50" t="n">
        <f aca="false">I524*H524</f>
        <v>136303.738881304</v>
      </c>
    </row>
    <row r="525" customFormat="false" ht="15" hidden="false" customHeight="false" outlineLevel="0" collapsed="false">
      <c r="A525" s="46" t="n">
        <v>516</v>
      </c>
      <c r="B525" s="47" t="n">
        <f aca="false">A525*$C$6</f>
        <v>0.944269622799207</v>
      </c>
      <c r="C525" s="48" t="n">
        <f aca="false">$C$7*B525</f>
        <v>7.16666666666667</v>
      </c>
      <c r="D525" s="49" t="n">
        <f aca="false">0.5*c_rho*'P3 Energie'!E8*'P3 Energie'!E7*(C525-c_Vv)^2+'P3 Energie'!E13+'P3 Energie'!E15+'P3 Energie'!E6*$C$7</f>
        <v>18200.6251189482</v>
      </c>
      <c r="E525" s="50" t="n">
        <f aca="false">D525*C525</f>
        <v>130437.813352462</v>
      </c>
      <c r="F525" s="46" t="n">
        <v>516</v>
      </c>
      <c r="G525" s="47" t="n">
        <f aca="false">F525*$H$6</f>
        <v>0.941543273993082</v>
      </c>
      <c r="H525" s="48" t="n">
        <f aca="false">$H$7*G525</f>
        <v>7.16666666666667</v>
      </c>
      <c r="I525" s="49" t="n">
        <f aca="false">0.5*c_rho*'P3 Energie'!F8*'P3 Energie'!F7*(H525-c_Vv)^2+'P3 Energie'!F13+'P3 Energie'!F15+'P3 Energie'!F6*$H$7</f>
        <v>19056.1257179296</v>
      </c>
      <c r="J525" s="50" t="n">
        <f aca="false">I525*H525</f>
        <v>136568.900978496</v>
      </c>
    </row>
    <row r="526" customFormat="false" ht="15" hidden="false" customHeight="false" outlineLevel="0" collapsed="false">
      <c r="A526" s="46" t="n">
        <v>517</v>
      </c>
      <c r="B526" s="47" t="n">
        <f aca="false">A526*$C$6</f>
        <v>0.946099602688353</v>
      </c>
      <c r="C526" s="48" t="n">
        <f aca="false">$C$7*B526</f>
        <v>7.18055555555556</v>
      </c>
      <c r="D526" s="49" t="n">
        <f aca="false">0.5*c_rho*'P3 Energie'!E8*'P3 Energie'!E7*(C526-c_Vv)^2+'P3 Energie'!E13+'P3 Energie'!E15+'P3 Energie'!E6*$C$7</f>
        <v>18200.7047138961</v>
      </c>
      <c r="E526" s="50" t="n">
        <f aca="false">D526*C526</f>
        <v>130691.171348393</v>
      </c>
      <c r="F526" s="46" t="n">
        <v>517</v>
      </c>
      <c r="G526" s="47" t="n">
        <f aca="false">F526*$H$6</f>
        <v>0.94336797026051</v>
      </c>
      <c r="H526" s="48" t="n">
        <f aca="false">$H$7*G526</f>
        <v>7.18055555555556</v>
      </c>
      <c r="I526" s="49" t="n">
        <f aca="false">0.5*c_rho*'P3 Energie'!F8*'P3 Energie'!F7*(H526-c_Vv)^2+'P3 Energie'!F13+'P3 Energie'!F15+'P3 Energie'!F6*$H$7</f>
        <v>19056.1948717799</v>
      </c>
      <c r="J526" s="50" t="n">
        <f aca="false">I526*H526</f>
        <v>136834.065954308</v>
      </c>
    </row>
    <row r="527" customFormat="false" ht="15" hidden="false" customHeight="false" outlineLevel="0" collapsed="false">
      <c r="A527" s="46" t="n">
        <v>518</v>
      </c>
      <c r="B527" s="47" t="n">
        <f aca="false">A527*$C$6</f>
        <v>0.947929582577498</v>
      </c>
      <c r="C527" s="48" t="n">
        <f aca="false">$C$7*B527</f>
        <v>7.19444444444445</v>
      </c>
      <c r="D527" s="49" t="n">
        <f aca="false">0.5*c_rho*'P3 Energie'!E8*'P3 Energie'!E7*(C527-c_Vv)^2+'P3 Energie'!E13+'P3 Energie'!E15+'P3 Energie'!E6*$C$7</f>
        <v>18200.7844629485</v>
      </c>
      <c r="E527" s="50" t="n">
        <f aca="false">D527*C527</f>
        <v>130944.532663991</v>
      </c>
      <c r="F527" s="46" t="n">
        <v>518</v>
      </c>
      <c r="G527" s="47" t="n">
        <f aca="false">F527*$H$6</f>
        <v>0.945192666527939</v>
      </c>
      <c r="H527" s="48" t="n">
        <f aca="false">$H$7*G527</f>
        <v>7.19444444444445</v>
      </c>
      <c r="I527" s="49" t="n">
        <f aca="false">0.5*c_rho*'P3 Energie'!F8*'P3 Energie'!F7*(H527-c_Vv)^2+'P3 Energie'!F13+'P3 Energie'!F15+'P3 Energie'!F6*$H$7</f>
        <v>19056.2641595194</v>
      </c>
      <c r="J527" s="50" t="n">
        <f aca="false">I527*H527</f>
        <v>137099.23381432</v>
      </c>
    </row>
    <row r="528" customFormat="false" ht="15" hidden="false" customHeight="false" outlineLevel="0" collapsed="false">
      <c r="A528" s="46" t="n">
        <v>519</v>
      </c>
      <c r="B528" s="47" t="n">
        <f aca="false">A528*$C$6</f>
        <v>0.949759562466644</v>
      </c>
      <c r="C528" s="48" t="n">
        <f aca="false">$C$7*B528</f>
        <v>7.20833333333333</v>
      </c>
      <c r="D528" s="49" t="n">
        <f aca="false">0.5*c_rho*'P3 Energie'!E8*'P3 Energie'!E7*(C528-c_Vv)^2+'P3 Energie'!E13+'P3 Energie'!E15+'P3 Energie'!E6*$C$7</f>
        <v>18200.8643661054</v>
      </c>
      <c r="E528" s="50" t="n">
        <f aca="false">D528*C528</f>
        <v>131197.897305676</v>
      </c>
      <c r="F528" s="46" t="n">
        <v>519</v>
      </c>
      <c r="G528" s="47" t="n">
        <f aca="false">F528*$H$6</f>
        <v>0.947017362795367</v>
      </c>
      <c r="H528" s="48" t="n">
        <f aca="false">$H$7*G528</f>
        <v>7.20833333333333</v>
      </c>
      <c r="I528" s="49" t="n">
        <f aca="false">0.5*c_rho*'P3 Energie'!F8*'P3 Energie'!F7*(H528-c_Vv)^2+'P3 Energie'!F13+'P3 Energie'!F15+'P3 Energie'!F6*$H$7</f>
        <v>19056.3335811484</v>
      </c>
      <c r="J528" s="50" t="n">
        <f aca="false">I528*H528</f>
        <v>137364.404564111</v>
      </c>
    </row>
    <row r="529" customFormat="false" ht="15" hidden="false" customHeight="false" outlineLevel="0" collapsed="false">
      <c r="A529" s="46" t="n">
        <v>520</v>
      </c>
      <c r="B529" s="47" t="n">
        <f aca="false">A529*$C$6</f>
        <v>0.95158954235579</v>
      </c>
      <c r="C529" s="48" t="n">
        <f aca="false">$C$7*B529</f>
        <v>7.22222222222222</v>
      </c>
      <c r="D529" s="49" t="n">
        <f aca="false">0.5*c_rho*'P3 Energie'!E8*'P3 Energie'!E7*(C529-c_Vv)^2+'P3 Energie'!E13+'P3 Energie'!E15+'P3 Energie'!E6*$C$7</f>
        <v>18200.9444233667</v>
      </c>
      <c r="E529" s="50" t="n">
        <f aca="false">D529*C529</f>
        <v>131451.26527987</v>
      </c>
      <c r="F529" s="46" t="n">
        <v>520</v>
      </c>
      <c r="G529" s="47" t="n">
        <f aca="false">F529*$H$6</f>
        <v>0.948842059062796</v>
      </c>
      <c r="H529" s="48" t="n">
        <f aca="false">$H$7*G529</f>
        <v>7.22222222222222</v>
      </c>
      <c r="I529" s="49" t="n">
        <f aca="false">0.5*c_rho*'P3 Energie'!F8*'P3 Energie'!F7*(H529-c_Vv)^2+'P3 Energie'!F13+'P3 Energie'!F15+'P3 Energie'!F6*$H$7</f>
        <v>19056.4031366667</v>
      </c>
      <c r="J529" s="50" t="n">
        <f aca="false">I529*H529</f>
        <v>137629.578209259</v>
      </c>
    </row>
    <row r="530" customFormat="false" ht="15" hidden="false" customHeight="false" outlineLevel="0" collapsed="false">
      <c r="A530" s="46" t="n">
        <v>521</v>
      </c>
      <c r="B530" s="47" t="n">
        <f aca="false">A530*$C$6</f>
        <v>0.953419522244935</v>
      </c>
      <c r="C530" s="48" t="n">
        <f aca="false">$C$7*B530</f>
        <v>7.23611111111111</v>
      </c>
      <c r="D530" s="49" t="n">
        <f aca="false">0.5*c_rho*'P3 Energie'!E8*'P3 Energie'!E7*(C530-c_Vv)^2+'P3 Energie'!E13+'P3 Energie'!E15+'P3 Energie'!E6*$C$7</f>
        <v>18201.0246347324</v>
      </c>
      <c r="E530" s="50" t="n">
        <f aca="false">D530*C530</f>
        <v>131704.636592994</v>
      </c>
      <c r="F530" s="46" t="n">
        <v>521</v>
      </c>
      <c r="G530" s="47" t="n">
        <f aca="false">F530*$H$6</f>
        <v>0.950666755330224</v>
      </c>
      <c r="H530" s="48" t="n">
        <f aca="false">$H$7*G530</f>
        <v>7.23611111111111</v>
      </c>
      <c r="I530" s="49" t="n">
        <f aca="false">0.5*c_rho*'P3 Energie'!F8*'P3 Energie'!F7*(H530-c_Vv)^2+'P3 Energie'!F13+'P3 Energie'!F15+'P3 Energie'!F6*$H$7</f>
        <v>19056.4728260743</v>
      </c>
      <c r="J530" s="50" t="n">
        <f aca="false">I530*H530</f>
        <v>137894.754755343</v>
      </c>
    </row>
    <row r="531" customFormat="false" ht="15" hidden="false" customHeight="false" outlineLevel="0" collapsed="false">
      <c r="A531" s="46" t="n">
        <v>522</v>
      </c>
      <c r="B531" s="47" t="n">
        <f aca="false">A531*$C$6</f>
        <v>0.955249502134081</v>
      </c>
      <c r="C531" s="48" t="n">
        <f aca="false">$C$7*B531</f>
        <v>7.25</v>
      </c>
      <c r="D531" s="49" t="n">
        <f aca="false">0.5*c_rho*'P3 Energie'!E8*'P3 Energie'!E7*(C531-c_Vv)^2+'P3 Energie'!E13+'P3 Energie'!E15+'P3 Energie'!E6*$C$7</f>
        <v>18201.1050002026</v>
      </c>
      <c r="E531" s="50" t="n">
        <f aca="false">D531*C531</f>
        <v>131958.011251469</v>
      </c>
      <c r="F531" s="46" t="n">
        <v>522</v>
      </c>
      <c r="G531" s="47" t="n">
        <f aca="false">F531*$H$6</f>
        <v>0.952491451597653</v>
      </c>
      <c r="H531" s="48" t="n">
        <f aca="false">$H$7*G531</f>
        <v>7.25</v>
      </c>
      <c r="I531" s="49" t="n">
        <f aca="false">0.5*c_rho*'P3 Energie'!F8*'P3 Energie'!F7*(H531-c_Vv)^2+'P3 Energie'!F13+'P3 Energie'!F15+'P3 Energie'!F6*$H$7</f>
        <v>19056.5426493713</v>
      </c>
      <c r="J531" s="50" t="n">
        <f aca="false">I531*H531</f>
        <v>138159.934207942</v>
      </c>
    </row>
    <row r="532" customFormat="false" ht="15" hidden="false" customHeight="false" outlineLevel="0" collapsed="false">
      <c r="A532" s="46" t="n">
        <v>523</v>
      </c>
      <c r="B532" s="47" t="n">
        <f aca="false">A532*$C$6</f>
        <v>0.957079482023227</v>
      </c>
      <c r="C532" s="48" t="n">
        <f aca="false">$C$7*B532</f>
        <v>7.26388888888889</v>
      </c>
      <c r="D532" s="49" t="n">
        <f aca="false">0.5*c_rho*'P3 Energie'!E8*'P3 Energie'!E7*(C532-c_Vv)^2+'P3 Energie'!E13+'P3 Energie'!E15+'P3 Energie'!E6*$C$7</f>
        <v>18201.1855197773</v>
      </c>
      <c r="E532" s="50" t="n">
        <f aca="false">D532*C532</f>
        <v>132211.389261715</v>
      </c>
      <c r="F532" s="46" t="n">
        <v>523</v>
      </c>
      <c r="G532" s="47" t="n">
        <f aca="false">F532*$H$6</f>
        <v>0.954316147865081</v>
      </c>
      <c r="H532" s="48" t="n">
        <f aca="false">$H$7*G532</f>
        <v>7.26388888888889</v>
      </c>
      <c r="I532" s="49" t="n">
        <f aca="false">0.5*c_rho*'P3 Energie'!F8*'P3 Energie'!F7*(H532-c_Vv)^2+'P3 Energie'!F13+'P3 Energie'!F15+'P3 Energie'!F6*$H$7</f>
        <v>19056.6126065576</v>
      </c>
      <c r="J532" s="50" t="n">
        <f aca="false">I532*H532</f>
        <v>138425.116572634</v>
      </c>
    </row>
    <row r="533" customFormat="false" ht="15" hidden="false" customHeight="false" outlineLevel="0" collapsed="false">
      <c r="A533" s="46" t="n">
        <v>524</v>
      </c>
      <c r="B533" s="47" t="n">
        <f aca="false">A533*$C$6</f>
        <v>0.958909461912373</v>
      </c>
      <c r="C533" s="48" t="n">
        <f aca="false">$C$7*B533</f>
        <v>7.27777777777778</v>
      </c>
      <c r="D533" s="49" t="n">
        <f aca="false">0.5*c_rho*'P3 Energie'!E8*'P3 Energie'!E7*(C533-c_Vv)^2+'P3 Energie'!E13+'P3 Energie'!E15+'P3 Energie'!E6*$C$7</f>
        <v>18201.2661934563</v>
      </c>
      <c r="E533" s="50" t="n">
        <f aca="false">D533*C533</f>
        <v>132464.770630154</v>
      </c>
      <c r="F533" s="46" t="n">
        <v>524</v>
      </c>
      <c r="G533" s="47" t="n">
        <f aca="false">F533*$H$6</f>
        <v>0.95614084413251</v>
      </c>
      <c r="H533" s="48" t="n">
        <f aca="false">$H$7*G533</f>
        <v>7.27777777777778</v>
      </c>
      <c r="I533" s="49" t="n">
        <f aca="false">0.5*c_rho*'P3 Energie'!F8*'P3 Energie'!F7*(H533-c_Vv)^2+'P3 Energie'!F13+'P3 Energie'!F15+'P3 Energie'!F6*$H$7</f>
        <v>19056.6826976333</v>
      </c>
      <c r="J533" s="50" t="n">
        <f aca="false">I533*H533</f>
        <v>138690.301854998</v>
      </c>
    </row>
    <row r="534" customFormat="false" ht="15" hidden="false" customHeight="false" outlineLevel="0" collapsed="false">
      <c r="A534" s="46" t="n">
        <v>525</v>
      </c>
      <c r="B534" s="47" t="n">
        <f aca="false">A534*$C$6</f>
        <v>0.960739441801519</v>
      </c>
      <c r="C534" s="48" t="n">
        <f aca="false">$C$7*B534</f>
        <v>7.29166666666667</v>
      </c>
      <c r="D534" s="49" t="n">
        <f aca="false">0.5*c_rho*'P3 Energie'!E8*'P3 Energie'!E7*(C534-c_Vv)^2+'P3 Energie'!E13+'P3 Energie'!E15+'P3 Energie'!E6*$C$7</f>
        <v>18201.3470212399</v>
      </c>
      <c r="E534" s="50" t="n">
        <f aca="false">D534*C534</f>
        <v>132718.155363207</v>
      </c>
      <c r="F534" s="46" t="n">
        <v>525</v>
      </c>
      <c r="G534" s="47" t="n">
        <f aca="false">F534*$H$6</f>
        <v>0.957965540399938</v>
      </c>
      <c r="H534" s="48" t="n">
        <f aca="false">$H$7*G534</f>
        <v>7.29166666666667</v>
      </c>
      <c r="I534" s="49" t="n">
        <f aca="false">0.5*c_rho*'P3 Energie'!F8*'P3 Energie'!F7*(H534-c_Vv)^2+'P3 Energie'!F13+'P3 Energie'!F15+'P3 Energie'!F6*$H$7</f>
        <v>19056.7529225984</v>
      </c>
      <c r="J534" s="50" t="n">
        <f aca="false">I534*H534</f>
        <v>138955.490060613</v>
      </c>
    </row>
    <row r="535" customFormat="false" ht="15" hidden="false" customHeight="false" outlineLevel="0" collapsed="false">
      <c r="A535" s="46" t="n">
        <v>526</v>
      </c>
      <c r="B535" s="47" t="n">
        <f aca="false">A535*$C$6</f>
        <v>0.962569421690664</v>
      </c>
      <c r="C535" s="48" t="n">
        <f aca="false">$C$7*B535</f>
        <v>7.30555555555556</v>
      </c>
      <c r="D535" s="49" t="n">
        <f aca="false">0.5*c_rho*'P3 Energie'!E8*'P3 Energie'!E7*(C535-c_Vv)^2+'P3 Energie'!E13+'P3 Energie'!E15+'P3 Energie'!E6*$C$7</f>
        <v>18201.4280031279</v>
      </c>
      <c r="E535" s="50" t="n">
        <f aca="false">D535*C535</f>
        <v>132971.543467295</v>
      </c>
      <c r="F535" s="46" t="n">
        <v>526</v>
      </c>
      <c r="G535" s="47" t="n">
        <f aca="false">F535*$H$6</f>
        <v>0.959790236667367</v>
      </c>
      <c r="H535" s="48" t="n">
        <f aca="false">$H$7*G535</f>
        <v>7.30555555555556</v>
      </c>
      <c r="I535" s="49" t="n">
        <f aca="false">0.5*c_rho*'P3 Energie'!F8*'P3 Energie'!F7*(H535-c_Vv)^2+'P3 Energie'!F13+'P3 Energie'!F15+'P3 Energie'!F6*$H$7</f>
        <v>19056.8232814528</v>
      </c>
      <c r="J535" s="50" t="n">
        <f aca="false">I535*H535</f>
        <v>139220.681195058</v>
      </c>
    </row>
    <row r="536" customFormat="false" ht="15" hidden="false" customHeight="false" outlineLevel="0" collapsed="false">
      <c r="A536" s="46" t="n">
        <v>527</v>
      </c>
      <c r="B536" s="47" t="n">
        <f aca="false">A536*$C$6</f>
        <v>0.96439940157981</v>
      </c>
      <c r="C536" s="48" t="n">
        <f aca="false">$C$7*B536</f>
        <v>7.31944444444445</v>
      </c>
      <c r="D536" s="49" t="n">
        <f aca="false">0.5*c_rho*'P3 Energie'!E8*'P3 Energie'!E7*(C536-c_Vv)^2+'P3 Energie'!E13+'P3 Energie'!E15+'P3 Energie'!E6*$C$7</f>
        <v>18201.5091391203</v>
      </c>
      <c r="E536" s="50" t="n">
        <f aca="false">D536*C536</f>
        <v>133224.934948839</v>
      </c>
      <c r="F536" s="46" t="n">
        <v>527</v>
      </c>
      <c r="G536" s="47" t="n">
        <f aca="false">F536*$H$6</f>
        <v>0.961614932934795</v>
      </c>
      <c r="H536" s="48" t="n">
        <f aca="false">$H$7*G536</f>
        <v>7.31944444444445</v>
      </c>
      <c r="I536" s="49" t="n">
        <f aca="false">0.5*c_rho*'P3 Energie'!F8*'P3 Energie'!F7*(H536-c_Vv)^2+'P3 Energie'!F13+'P3 Energie'!F15+'P3 Energie'!F6*$H$7</f>
        <v>19056.8937741965</v>
      </c>
      <c r="J536" s="50" t="n">
        <f aca="false">I536*H536</f>
        <v>139485.875263911</v>
      </c>
    </row>
    <row r="537" customFormat="false" ht="15" hidden="false" customHeight="false" outlineLevel="0" collapsed="false">
      <c r="A537" s="46" t="n">
        <v>528</v>
      </c>
      <c r="B537" s="47" t="n">
        <f aca="false">A537*$C$6</f>
        <v>0.966229381468956</v>
      </c>
      <c r="C537" s="48" t="n">
        <f aca="false">$C$7*B537</f>
        <v>7.33333333333333</v>
      </c>
      <c r="D537" s="49" t="n">
        <f aca="false">0.5*c_rho*'P3 Energie'!E8*'P3 Energie'!E7*(C537-c_Vv)^2+'P3 Energie'!E13+'P3 Energie'!E15+'P3 Energie'!E6*$C$7</f>
        <v>18201.5904292172</v>
      </c>
      <c r="E537" s="50" t="n">
        <f aca="false">D537*C537</f>
        <v>133478.329814259</v>
      </c>
      <c r="F537" s="46" t="n">
        <v>528</v>
      </c>
      <c r="G537" s="47" t="n">
        <f aca="false">F537*$H$6</f>
        <v>0.963439629202224</v>
      </c>
      <c r="H537" s="48" t="n">
        <f aca="false">$H$7*G537</f>
        <v>7.33333333333333</v>
      </c>
      <c r="I537" s="49" t="n">
        <f aca="false">0.5*c_rho*'P3 Energie'!F8*'P3 Energie'!F7*(H537-c_Vv)^2+'P3 Energie'!F13+'P3 Energie'!F15+'P3 Energie'!F6*$H$7</f>
        <v>19056.9644008296</v>
      </c>
      <c r="J537" s="50" t="n">
        <f aca="false">I537*H537</f>
        <v>139751.072272751</v>
      </c>
    </row>
    <row r="538" customFormat="false" ht="15" hidden="false" customHeight="false" outlineLevel="0" collapsed="false">
      <c r="A538" s="46" t="n">
        <v>529</v>
      </c>
      <c r="B538" s="47" t="n">
        <f aca="false">A538*$C$6</f>
        <v>0.968059361358101</v>
      </c>
      <c r="C538" s="48" t="n">
        <f aca="false">$C$7*B538</f>
        <v>7.34722222222222</v>
      </c>
      <c r="D538" s="49" t="n">
        <f aca="false">0.5*c_rho*'P3 Energie'!E8*'P3 Energie'!E7*(C538-c_Vv)^2+'P3 Energie'!E13+'P3 Energie'!E15+'P3 Energie'!E6*$C$7</f>
        <v>18201.6718734185</v>
      </c>
      <c r="E538" s="50" t="n">
        <f aca="false">D538*C538</f>
        <v>133731.728069978</v>
      </c>
      <c r="F538" s="46" t="n">
        <v>529</v>
      </c>
      <c r="G538" s="47" t="n">
        <f aca="false">F538*$H$6</f>
        <v>0.965264325469652</v>
      </c>
      <c r="H538" s="48" t="n">
        <f aca="false">$H$7*G538</f>
        <v>7.34722222222222</v>
      </c>
      <c r="I538" s="49" t="n">
        <f aca="false">0.5*c_rho*'P3 Energie'!F8*'P3 Energie'!F7*(H538-c_Vv)^2+'P3 Energie'!F13+'P3 Energie'!F15+'P3 Energie'!F6*$H$7</f>
        <v>19057.0351613521</v>
      </c>
      <c r="J538" s="50" t="n">
        <f aca="false">I538*H538</f>
        <v>140016.272227156</v>
      </c>
    </row>
    <row r="539" customFormat="false" ht="15" hidden="false" customHeight="false" outlineLevel="0" collapsed="false">
      <c r="A539" s="46" t="n">
        <v>530</v>
      </c>
      <c r="B539" s="47" t="n">
        <f aca="false">A539*$C$6</f>
        <v>0.969889341247247</v>
      </c>
      <c r="C539" s="48" t="n">
        <f aca="false">$C$7*B539</f>
        <v>7.36111111111111</v>
      </c>
      <c r="D539" s="49" t="n">
        <f aca="false">0.5*c_rho*'P3 Energie'!E8*'P3 Energie'!E7*(C539-c_Vv)^2+'P3 Energie'!E13+'P3 Energie'!E15+'P3 Energie'!E6*$C$7</f>
        <v>18201.7534717243</v>
      </c>
      <c r="E539" s="50" t="n">
        <f aca="false">D539*C539</f>
        <v>133985.129722415</v>
      </c>
      <c r="F539" s="46" t="n">
        <v>530</v>
      </c>
      <c r="G539" s="47" t="n">
        <f aca="false">F539*$H$6</f>
        <v>0.96708902173708</v>
      </c>
      <c r="H539" s="48" t="n">
        <f aca="false">$H$7*G539</f>
        <v>7.36111111111111</v>
      </c>
      <c r="I539" s="49" t="n">
        <f aca="false">0.5*c_rho*'P3 Energie'!F8*'P3 Energie'!F7*(H539-c_Vv)^2+'P3 Energie'!F13+'P3 Energie'!F15+'P3 Energie'!F6*$H$7</f>
        <v>19057.1060557639</v>
      </c>
      <c r="J539" s="50" t="n">
        <f aca="false">I539*H539</f>
        <v>140281.475132706</v>
      </c>
    </row>
    <row r="540" customFormat="false" ht="15" hidden="false" customHeight="false" outlineLevel="0" collapsed="false">
      <c r="A540" s="46" t="n">
        <v>531</v>
      </c>
      <c r="B540" s="47" t="n">
        <f aca="false">A540*$C$6</f>
        <v>0.971719321136393</v>
      </c>
      <c r="C540" s="48" t="n">
        <f aca="false">$C$7*B540</f>
        <v>7.375</v>
      </c>
      <c r="D540" s="49" t="n">
        <f aca="false">0.5*c_rho*'P3 Energie'!E8*'P3 Energie'!E7*(C540-c_Vv)^2+'P3 Energie'!E13+'P3 Energie'!E15+'P3 Energie'!E6*$C$7</f>
        <v>18201.8352241345</v>
      </c>
      <c r="E540" s="50" t="n">
        <f aca="false">D540*C540</f>
        <v>134238.534777992</v>
      </c>
      <c r="F540" s="46" t="n">
        <v>531</v>
      </c>
      <c r="G540" s="47" t="n">
        <f aca="false">F540*$H$6</f>
        <v>0.968913718004509</v>
      </c>
      <c r="H540" s="48" t="n">
        <f aca="false">$H$7*G540</f>
        <v>7.375</v>
      </c>
      <c r="I540" s="49" t="n">
        <f aca="false">0.5*c_rho*'P3 Energie'!F8*'P3 Energie'!F7*(H540-c_Vv)^2+'P3 Energie'!F13+'P3 Energie'!F15+'P3 Energie'!F6*$H$7</f>
        <v>19057.177084065</v>
      </c>
      <c r="J540" s="50" t="n">
        <f aca="false">I540*H540</f>
        <v>140546.68099498</v>
      </c>
    </row>
    <row r="541" customFormat="false" ht="15" hidden="false" customHeight="false" outlineLevel="0" collapsed="false">
      <c r="A541" s="46" t="n">
        <v>532</v>
      </c>
      <c r="B541" s="47" t="n">
        <f aca="false">A541*$C$6</f>
        <v>0.973549301025539</v>
      </c>
      <c r="C541" s="48" t="n">
        <f aca="false">$C$7*B541</f>
        <v>7.38888888888889</v>
      </c>
      <c r="D541" s="49" t="n">
        <f aca="false">0.5*c_rho*'P3 Energie'!E8*'P3 Energie'!E7*(C541-c_Vv)^2+'P3 Energie'!E13+'P3 Energie'!E15+'P3 Energie'!E6*$C$7</f>
        <v>18201.9171306492</v>
      </c>
      <c r="E541" s="50" t="n">
        <f aca="false">D541*C541</f>
        <v>134491.94324313</v>
      </c>
      <c r="F541" s="46" t="n">
        <v>532</v>
      </c>
      <c r="G541" s="47" t="n">
        <f aca="false">F541*$H$6</f>
        <v>0.970738414271937</v>
      </c>
      <c r="H541" s="48" t="n">
        <f aca="false">$H$7*G541</f>
        <v>7.38888888888889</v>
      </c>
      <c r="I541" s="49" t="n">
        <f aca="false">0.5*c_rho*'P3 Energie'!F8*'P3 Energie'!F7*(H541-c_Vv)^2+'P3 Energie'!F13+'P3 Energie'!F15+'P3 Energie'!F6*$H$7</f>
        <v>19057.2482462556</v>
      </c>
      <c r="J541" s="50" t="n">
        <f aca="false">I541*H541</f>
        <v>140811.889819555</v>
      </c>
    </row>
    <row r="542" customFormat="false" ht="15" hidden="false" customHeight="false" outlineLevel="0" collapsed="false">
      <c r="A542" s="46" t="n">
        <v>533</v>
      </c>
      <c r="B542" s="47" t="n">
        <f aca="false">A542*$C$6</f>
        <v>0.975379280914685</v>
      </c>
      <c r="C542" s="48" t="n">
        <f aca="false">$C$7*B542</f>
        <v>7.40277777777778</v>
      </c>
      <c r="D542" s="49" t="n">
        <f aca="false">0.5*c_rho*'P3 Energie'!E8*'P3 Energie'!E7*(C542-c_Vv)^2+'P3 Energie'!E13+'P3 Energie'!E15+'P3 Energie'!E6*$C$7</f>
        <v>18201.9991912684</v>
      </c>
      <c r="E542" s="50" t="n">
        <f aca="false">D542*C542</f>
        <v>134745.355124251</v>
      </c>
      <c r="F542" s="46" t="n">
        <v>533</v>
      </c>
      <c r="G542" s="47" t="n">
        <f aca="false">F542*$H$6</f>
        <v>0.972563110539366</v>
      </c>
      <c r="H542" s="48" t="n">
        <f aca="false">$H$7*G542</f>
        <v>7.40277777777778</v>
      </c>
      <c r="I542" s="49" t="n">
        <f aca="false">0.5*c_rho*'P3 Energie'!F8*'P3 Energie'!F7*(H542-c_Vv)^2+'P3 Energie'!F13+'P3 Energie'!F15+'P3 Energie'!F6*$H$7</f>
        <v>19057.3195423354</v>
      </c>
      <c r="J542" s="50" t="n">
        <f aca="false">I542*H542</f>
        <v>141077.101612011</v>
      </c>
    </row>
    <row r="543" customFormat="false" ht="15" hidden="false" customHeight="false" outlineLevel="0" collapsed="false">
      <c r="A543" s="46" t="n">
        <v>534</v>
      </c>
      <c r="B543" s="47" t="n">
        <f aca="false">A543*$C$6</f>
        <v>0.97720926080383</v>
      </c>
      <c r="C543" s="48" t="n">
        <f aca="false">$C$7*B543</f>
        <v>7.41666666666667</v>
      </c>
      <c r="D543" s="49" t="n">
        <f aca="false">0.5*c_rho*'P3 Energie'!E8*'P3 Energie'!E7*(C543-c_Vv)^2+'P3 Energie'!E13+'P3 Energie'!E15+'P3 Energie'!E6*$C$7</f>
        <v>18202.0814059919</v>
      </c>
      <c r="E543" s="50" t="n">
        <f aca="false">D543*C543</f>
        <v>134998.770427774</v>
      </c>
      <c r="F543" s="46" t="n">
        <v>534</v>
      </c>
      <c r="G543" s="47" t="n">
        <f aca="false">F543*$H$6</f>
        <v>0.974387806806794</v>
      </c>
      <c r="H543" s="48" t="n">
        <f aca="false">$H$7*G543</f>
        <v>7.41666666666667</v>
      </c>
      <c r="I543" s="49" t="n">
        <f aca="false">0.5*c_rho*'P3 Energie'!F8*'P3 Energie'!F7*(H543-c_Vv)^2+'P3 Energie'!F13+'P3 Energie'!F15+'P3 Energie'!F6*$H$7</f>
        <v>19057.3909723046</v>
      </c>
      <c r="J543" s="50" t="n">
        <f aca="false">I543*H543</f>
        <v>141342.316377926</v>
      </c>
    </row>
    <row r="544" customFormat="false" ht="15" hidden="false" customHeight="false" outlineLevel="0" collapsed="false">
      <c r="A544" s="46" t="n">
        <v>535</v>
      </c>
      <c r="B544" s="47" t="n">
        <f aca="false">A544*$C$6</f>
        <v>0.979039240692976</v>
      </c>
      <c r="C544" s="48" t="n">
        <f aca="false">$C$7*B544</f>
        <v>7.43055555555556</v>
      </c>
      <c r="D544" s="49" t="n">
        <f aca="false">0.5*c_rho*'P3 Energie'!E8*'P3 Energie'!E7*(C544-c_Vv)^2+'P3 Energie'!E13+'P3 Energie'!E15+'P3 Energie'!E6*$C$7</f>
        <v>18202.16377482</v>
      </c>
      <c r="E544" s="50" t="n">
        <f aca="false">D544*C544</f>
        <v>135252.189160121</v>
      </c>
      <c r="F544" s="46" t="n">
        <v>535</v>
      </c>
      <c r="G544" s="47" t="n">
        <f aca="false">F544*$H$6</f>
        <v>0.976212503074223</v>
      </c>
      <c r="H544" s="48" t="n">
        <f aca="false">$H$7*G544</f>
        <v>7.43055555555556</v>
      </c>
      <c r="I544" s="49" t="n">
        <f aca="false">0.5*c_rho*'P3 Energie'!F8*'P3 Energie'!F7*(H544-c_Vv)^2+'P3 Energie'!F13+'P3 Energie'!F15+'P3 Energie'!F6*$H$7</f>
        <v>19057.4625361632</v>
      </c>
      <c r="J544" s="50" t="n">
        <f aca="false">I544*H544</f>
        <v>141607.534122879</v>
      </c>
    </row>
    <row r="545" customFormat="false" ht="15" hidden="false" customHeight="false" outlineLevel="0" collapsed="false">
      <c r="A545" s="46" t="n">
        <v>536</v>
      </c>
      <c r="B545" s="47" t="n">
        <f aca="false">A545*$C$6</f>
        <v>0.980869220582122</v>
      </c>
      <c r="C545" s="48" t="n">
        <f aca="false">$C$7*B545</f>
        <v>7.44444444444445</v>
      </c>
      <c r="D545" s="49" t="n">
        <f aca="false">0.5*c_rho*'P3 Energie'!E8*'P3 Energie'!E7*(C545-c_Vv)^2+'P3 Energie'!E13+'P3 Energie'!E15+'P3 Energie'!E6*$C$7</f>
        <v>18202.2462977525</v>
      </c>
      <c r="E545" s="50" t="n">
        <f aca="false">D545*C545</f>
        <v>135505.611327713</v>
      </c>
      <c r="F545" s="46" t="n">
        <v>536</v>
      </c>
      <c r="G545" s="47" t="n">
        <f aca="false">F545*$H$6</f>
        <v>0.978037199341651</v>
      </c>
      <c r="H545" s="48" t="n">
        <f aca="false">$H$7*G545</f>
        <v>7.44444444444445</v>
      </c>
      <c r="I545" s="49" t="n">
        <f aca="false">0.5*c_rho*'P3 Energie'!F8*'P3 Energie'!F7*(H545-c_Vv)^2+'P3 Energie'!F13+'P3 Energie'!F15+'P3 Energie'!F6*$H$7</f>
        <v>19057.5342339111</v>
      </c>
      <c r="J545" s="50" t="n">
        <f aca="false">I545*H545</f>
        <v>141872.754852449</v>
      </c>
    </row>
    <row r="546" customFormat="false" ht="15" hidden="false" customHeight="false" outlineLevel="0" collapsed="false">
      <c r="A546" s="46" t="n">
        <v>537</v>
      </c>
      <c r="B546" s="47" t="n">
        <f aca="false">A546*$C$6</f>
        <v>0.982699200471268</v>
      </c>
      <c r="C546" s="48" t="n">
        <f aca="false">$C$7*B546</f>
        <v>7.45833333333333</v>
      </c>
      <c r="D546" s="49" t="n">
        <f aca="false">0.5*c_rho*'P3 Energie'!E8*'P3 Energie'!E7*(C546-c_Vv)^2+'P3 Energie'!E13+'P3 Energie'!E15+'P3 Energie'!E6*$C$7</f>
        <v>18202.3289747894</v>
      </c>
      <c r="E546" s="50" t="n">
        <f aca="false">D546*C546</f>
        <v>135759.036936971</v>
      </c>
      <c r="F546" s="46" t="n">
        <v>537</v>
      </c>
      <c r="G546" s="47" t="n">
        <f aca="false">F546*$H$6</f>
        <v>0.97986189560908</v>
      </c>
      <c r="H546" s="48" t="n">
        <f aca="false">$H$7*G546</f>
        <v>7.45833333333333</v>
      </c>
      <c r="I546" s="49" t="n">
        <f aca="false">0.5*c_rho*'P3 Energie'!F8*'P3 Energie'!F7*(H546-c_Vv)^2+'P3 Energie'!F13+'P3 Energie'!F15+'P3 Energie'!F6*$H$7</f>
        <v>19057.6060655484</v>
      </c>
      <c r="J546" s="50" t="n">
        <f aca="false">I546*H546</f>
        <v>142137.978572215</v>
      </c>
    </row>
    <row r="547" customFormat="false" ht="15" hidden="false" customHeight="false" outlineLevel="0" collapsed="false">
      <c r="A547" s="46" t="n">
        <v>538</v>
      </c>
      <c r="B547" s="47" t="n">
        <f aca="false">A547*$C$6</f>
        <v>0.984529180360413</v>
      </c>
      <c r="C547" s="48" t="n">
        <f aca="false">$C$7*B547</f>
        <v>7.47222222222222</v>
      </c>
      <c r="D547" s="49" t="n">
        <f aca="false">0.5*c_rho*'P3 Energie'!E8*'P3 Energie'!E7*(C547-c_Vv)^2+'P3 Energie'!E13+'P3 Energie'!E15+'P3 Energie'!E6*$C$7</f>
        <v>18202.4118059308</v>
      </c>
      <c r="E547" s="50" t="n">
        <f aca="false">D547*C547</f>
        <v>136012.465994316</v>
      </c>
      <c r="F547" s="46" t="n">
        <v>538</v>
      </c>
      <c r="G547" s="47" t="n">
        <f aca="false">F547*$H$6</f>
        <v>0.981686591876508</v>
      </c>
      <c r="H547" s="48" t="n">
        <f aca="false">$H$7*G547</f>
        <v>7.47222222222222</v>
      </c>
      <c r="I547" s="49" t="n">
        <f aca="false">0.5*c_rho*'P3 Energie'!F8*'P3 Energie'!F7*(H547-c_Vv)^2+'P3 Energie'!F13+'P3 Energie'!F15+'P3 Energie'!F6*$H$7</f>
        <v>19057.678031075</v>
      </c>
      <c r="J547" s="50" t="n">
        <f aca="false">I547*H547</f>
        <v>142403.205287755</v>
      </c>
    </row>
    <row r="548" customFormat="false" ht="15" hidden="false" customHeight="false" outlineLevel="0" collapsed="false">
      <c r="A548" s="46" t="n">
        <v>539</v>
      </c>
      <c r="B548" s="47" t="n">
        <f aca="false">A548*$C$6</f>
        <v>0.986359160249559</v>
      </c>
      <c r="C548" s="48" t="n">
        <f aca="false">$C$7*B548</f>
        <v>7.48611111111111</v>
      </c>
      <c r="D548" s="49" t="n">
        <f aca="false">0.5*c_rho*'P3 Energie'!E8*'P3 Energie'!E7*(C548-c_Vv)^2+'P3 Energie'!E13+'P3 Energie'!E15+'P3 Energie'!E6*$C$7</f>
        <v>18202.4947911766</v>
      </c>
      <c r="E548" s="50" t="n">
        <f aca="false">D548*C548</f>
        <v>136265.898506169</v>
      </c>
      <c r="F548" s="46" t="n">
        <v>539</v>
      </c>
      <c r="G548" s="47" t="n">
        <f aca="false">F548*$H$6</f>
        <v>0.983511288143936</v>
      </c>
      <c r="H548" s="48" t="n">
        <f aca="false">$H$7*G548</f>
        <v>7.48611111111111</v>
      </c>
      <c r="I548" s="49" t="n">
        <f aca="false">0.5*c_rho*'P3 Energie'!F8*'P3 Energie'!F7*(H548-c_Vv)^2+'P3 Energie'!F13+'P3 Energie'!F15+'P3 Energie'!F6*$H$7</f>
        <v>19057.750130491</v>
      </c>
      <c r="J548" s="50" t="n">
        <f aca="false">I548*H548</f>
        <v>142668.435004648</v>
      </c>
    </row>
    <row r="549" customFormat="false" ht="15" hidden="false" customHeight="false" outlineLevel="0" collapsed="false">
      <c r="A549" s="46" t="n">
        <v>540</v>
      </c>
      <c r="B549" s="47" t="n">
        <f aca="false">A549*$C$6</f>
        <v>0.988189140138705</v>
      </c>
      <c r="C549" s="48" t="n">
        <f aca="false">$C$7*B549</f>
        <v>7.5</v>
      </c>
      <c r="D549" s="49" t="n">
        <f aca="false">0.5*c_rho*'P3 Energie'!E8*'P3 Energie'!E7*(C549-c_Vv)^2+'P3 Energie'!E13+'P3 Energie'!E15+'P3 Energie'!E6*$C$7</f>
        <v>18202.5779305269</v>
      </c>
      <c r="E549" s="50" t="n">
        <f aca="false">D549*C549</f>
        <v>136519.334478951</v>
      </c>
      <c r="F549" s="46" t="n">
        <v>540</v>
      </c>
      <c r="G549" s="47" t="n">
        <f aca="false">F549*$H$6</f>
        <v>0.985335984411365</v>
      </c>
      <c r="H549" s="48" t="n">
        <f aca="false">$H$7*G549</f>
        <v>7.5</v>
      </c>
      <c r="I549" s="49" t="n">
        <f aca="false">0.5*c_rho*'P3 Energie'!F8*'P3 Energie'!F7*(H549-c_Vv)^2+'P3 Energie'!F13+'P3 Energie'!F15+'P3 Energie'!F6*$H$7</f>
        <v>19057.8223637963</v>
      </c>
      <c r="J549" s="50" t="n">
        <f aca="false">I549*H549</f>
        <v>142933.667728472</v>
      </c>
    </row>
    <row r="550" customFormat="false" ht="15" hidden="false" customHeight="false" outlineLevel="0" collapsed="false">
      <c r="A550" s="46" t="n">
        <v>541</v>
      </c>
      <c r="B550" s="47" t="n">
        <f aca="false">A550*$C$6</f>
        <v>0.99001912002785</v>
      </c>
      <c r="C550" s="48" t="n">
        <f aca="false">$C$7*B550</f>
        <v>7.51388888888889</v>
      </c>
      <c r="D550" s="49" t="n">
        <f aca="false">0.5*c_rho*'P3 Energie'!E8*'P3 Energie'!E7*(C550-c_Vv)^2+'P3 Energie'!E13+'P3 Energie'!E15+'P3 Energie'!E6*$C$7</f>
        <v>18202.6612239816</v>
      </c>
      <c r="E550" s="50" t="n">
        <f aca="false">D550*C550</f>
        <v>136772.773919084</v>
      </c>
      <c r="F550" s="46" t="n">
        <v>541</v>
      </c>
      <c r="G550" s="47" t="n">
        <f aca="false">F550*$H$6</f>
        <v>0.987160680678793</v>
      </c>
      <c r="H550" s="48" t="n">
        <f aca="false">$H$7*G550</f>
        <v>7.51388888888889</v>
      </c>
      <c r="I550" s="49" t="n">
        <f aca="false">0.5*c_rho*'P3 Energie'!F8*'P3 Energie'!F7*(H550-c_Vv)^2+'P3 Energie'!F13+'P3 Energie'!F15+'P3 Energie'!F6*$H$7</f>
        <v>19057.894730991</v>
      </c>
      <c r="J550" s="50" t="n">
        <f aca="false">I550*H550</f>
        <v>143198.903464807</v>
      </c>
    </row>
    <row r="551" customFormat="false" ht="15" hidden="false" customHeight="false" outlineLevel="0" collapsed="false">
      <c r="A551" s="46" t="n">
        <v>542</v>
      </c>
      <c r="B551" s="47" t="n">
        <f aca="false">A551*$C$6</f>
        <v>0.991849099916996</v>
      </c>
      <c r="C551" s="48" t="n">
        <f aca="false">$C$7*B551</f>
        <v>7.52777777777778</v>
      </c>
      <c r="D551" s="49" t="n">
        <f aca="false">0.5*c_rho*'P3 Energie'!E8*'P3 Energie'!E7*(C551-c_Vv)^2+'P3 Energie'!E13+'P3 Energie'!E15+'P3 Energie'!E6*$C$7</f>
        <v>18202.7446715408</v>
      </c>
      <c r="E551" s="50" t="n">
        <f aca="false">D551*C551</f>
        <v>137026.216832987</v>
      </c>
      <c r="F551" s="46" t="n">
        <v>542</v>
      </c>
      <c r="G551" s="47" t="n">
        <f aca="false">F551*$H$6</f>
        <v>0.988985376946222</v>
      </c>
      <c r="H551" s="48" t="n">
        <f aca="false">$H$7*G551</f>
        <v>7.52777777777778</v>
      </c>
      <c r="I551" s="49" t="n">
        <f aca="false">0.5*c_rho*'P3 Energie'!F8*'P3 Energie'!F7*(H551-c_Vv)^2+'P3 Energie'!F13+'P3 Energie'!F15+'P3 Energie'!F6*$H$7</f>
        <v>19057.967232075</v>
      </c>
      <c r="J551" s="50" t="n">
        <f aca="false">I551*H551</f>
        <v>143464.142219231</v>
      </c>
    </row>
    <row r="552" customFormat="false" ht="15" hidden="false" customHeight="false" outlineLevel="0" collapsed="false">
      <c r="A552" s="46" t="n">
        <v>543</v>
      </c>
      <c r="B552" s="47" t="n">
        <f aca="false">A552*$C$6</f>
        <v>0.993679079806142</v>
      </c>
      <c r="C552" s="48" t="n">
        <f aca="false">$C$7*B552</f>
        <v>7.54166666666667</v>
      </c>
      <c r="D552" s="49" t="n">
        <f aca="false">0.5*c_rho*'P3 Energie'!E8*'P3 Energie'!E7*(C552-c_Vv)^2+'P3 Energie'!E13+'P3 Energie'!E15+'P3 Energie'!E6*$C$7</f>
        <v>18202.8282732044</v>
      </c>
      <c r="E552" s="50" t="n">
        <f aca="false">D552*C552</f>
        <v>137279.663227083</v>
      </c>
      <c r="F552" s="46" t="n">
        <v>543</v>
      </c>
      <c r="G552" s="47" t="n">
        <f aca="false">F552*$H$6</f>
        <v>0.99081007321365</v>
      </c>
      <c r="H552" s="48" t="n">
        <f aca="false">$H$7*G552</f>
        <v>7.54166666666667</v>
      </c>
      <c r="I552" s="49" t="n">
        <f aca="false">0.5*c_rho*'P3 Energie'!F8*'P3 Energie'!F7*(H552-c_Vv)^2+'P3 Energie'!F13+'P3 Energie'!F15+'P3 Energie'!F6*$H$7</f>
        <v>19058.0398670484</v>
      </c>
      <c r="J552" s="50" t="n">
        <f aca="false">I552*H552</f>
        <v>143729.383997323</v>
      </c>
    </row>
    <row r="553" customFormat="false" ht="15" hidden="false" customHeight="false" outlineLevel="0" collapsed="false">
      <c r="A553" s="46" t="n">
        <v>544</v>
      </c>
      <c r="B553" s="47" t="n">
        <f aca="false">A553*$C$6</f>
        <v>0.995509059695288</v>
      </c>
      <c r="C553" s="48" t="n">
        <f aca="false">$C$7*B553</f>
        <v>7.55555555555556</v>
      </c>
      <c r="D553" s="49" t="n">
        <f aca="false">0.5*c_rho*'P3 Energie'!E8*'P3 Energie'!E7*(C553-c_Vv)^2+'P3 Energie'!E13+'P3 Energie'!E15+'P3 Energie'!E6*$C$7</f>
        <v>18202.9120289725</v>
      </c>
      <c r="E553" s="50" t="n">
        <f aca="false">D553*C553</f>
        <v>137533.113107792</v>
      </c>
      <c r="F553" s="46" t="n">
        <v>544</v>
      </c>
      <c r="G553" s="47" t="n">
        <f aca="false">F553*$H$6</f>
        <v>0.992634769481079</v>
      </c>
      <c r="H553" s="48" t="n">
        <f aca="false">$H$7*G553</f>
        <v>7.55555555555556</v>
      </c>
      <c r="I553" s="49" t="n">
        <f aca="false">0.5*c_rho*'P3 Energie'!F8*'P3 Energie'!F7*(H553-c_Vv)^2+'P3 Energie'!F13+'P3 Energie'!F15+'P3 Energie'!F6*$H$7</f>
        <v>19058.1126359111</v>
      </c>
      <c r="J553" s="50" t="n">
        <f aca="false">I553*H553</f>
        <v>143994.628804662</v>
      </c>
    </row>
    <row r="554" customFormat="false" ht="15" hidden="false" customHeight="false" outlineLevel="0" collapsed="false">
      <c r="A554" s="46" t="n">
        <v>545</v>
      </c>
      <c r="B554" s="47" t="n">
        <f aca="false">A554*$C$6</f>
        <v>0.997339039584434</v>
      </c>
      <c r="C554" s="48" t="n">
        <f aca="false">$C$7*B554</f>
        <v>7.56944444444445</v>
      </c>
      <c r="D554" s="49" t="n">
        <f aca="false">0.5*c_rho*'P3 Energie'!E8*'P3 Energie'!E7*(C554-c_Vv)^2+'P3 Energie'!E13+'P3 Energie'!E15+'P3 Energie'!E6*$C$7</f>
        <v>18202.995938845</v>
      </c>
      <c r="E554" s="50" t="n">
        <f aca="false">D554*C554</f>
        <v>137786.566481535</v>
      </c>
      <c r="F554" s="46" t="n">
        <v>545</v>
      </c>
      <c r="G554" s="47" t="n">
        <f aca="false">F554*$H$6</f>
        <v>0.994459465748507</v>
      </c>
      <c r="H554" s="48" t="n">
        <f aca="false">$H$7*G554</f>
        <v>7.56944444444445</v>
      </c>
      <c r="I554" s="49" t="n">
        <f aca="false">0.5*c_rho*'P3 Energie'!F8*'P3 Energie'!F7*(H554-c_Vv)^2+'P3 Energie'!F13+'P3 Energie'!F15+'P3 Energie'!F6*$H$7</f>
        <v>19058.1855386632</v>
      </c>
      <c r="J554" s="50" t="n">
        <f aca="false">I554*H554</f>
        <v>144259.876646826</v>
      </c>
    </row>
    <row r="555" customFormat="false" ht="15" hidden="false" customHeight="false" outlineLevel="0" collapsed="false">
      <c r="A555" s="46" t="n">
        <v>546</v>
      </c>
      <c r="B555" s="47" t="n">
        <f aca="false">A555*$C$6</f>
        <v>0.999169019473579</v>
      </c>
      <c r="C555" s="48" t="n">
        <f aca="false">$C$7*B555</f>
        <v>7.58333333333333</v>
      </c>
      <c r="D555" s="49" t="n">
        <f aca="false">0.5*c_rho*'P3 Energie'!E8*'P3 Energie'!E7*(C555-c_Vv)^2+'P3 Energie'!E13+'P3 Energie'!E15+'P3 Energie'!E6*$C$7</f>
        <v>18203.0800028219</v>
      </c>
      <c r="E555" s="50" t="n">
        <f aca="false">D555*C555</f>
        <v>138040.023354733</v>
      </c>
      <c r="F555" s="46" t="n">
        <v>546</v>
      </c>
      <c r="G555" s="47" t="n">
        <f aca="false">F555*$H$6</f>
        <v>0.996284162015936</v>
      </c>
      <c r="H555" s="48" t="n">
        <f aca="false">$H$7*G555</f>
        <v>7.58333333333333</v>
      </c>
      <c r="I555" s="49" t="n">
        <f aca="false">0.5*c_rho*'P3 Energie'!F8*'P3 Energie'!F7*(H555-c_Vv)^2+'P3 Energie'!F13+'P3 Energie'!F15+'P3 Energie'!F6*$H$7</f>
        <v>19058.2585753046</v>
      </c>
      <c r="J555" s="50" t="n">
        <f aca="false">I555*H555</f>
        <v>144525.127529393</v>
      </c>
    </row>
    <row r="556" customFormat="false" ht="15" hidden="false" customHeight="false" outlineLevel="0" collapsed="false">
      <c r="A556" s="46" t="n">
        <v>547</v>
      </c>
      <c r="B556" s="47" t="n">
        <f aca="false">A556*$C$6</f>
        <v>1.00099899936272</v>
      </c>
      <c r="C556" s="48" t="n">
        <f aca="false">$C$7*B556</f>
        <v>7.59722222222222</v>
      </c>
      <c r="D556" s="49" t="n">
        <f aca="false">0.5*c_rho*'P3 Energie'!E8*'P3 Energie'!E7*(C556-c_Vv)^2+'P3 Energie'!E13+'P3 Energie'!E15+'P3 Energie'!E6*$C$7</f>
        <v>18203.1642209034</v>
      </c>
      <c r="E556" s="50" t="n">
        <f aca="false">D556*C556</f>
        <v>138293.483733807</v>
      </c>
      <c r="F556" s="46" t="n">
        <v>547</v>
      </c>
      <c r="G556" s="47" t="n">
        <f aca="false">F556*$H$6</f>
        <v>0.998108858283364</v>
      </c>
      <c r="H556" s="48" t="n">
        <f aca="false">$H$7*G556</f>
        <v>7.59722222222222</v>
      </c>
      <c r="I556" s="49" t="n">
        <f aca="false">0.5*c_rho*'P3 Energie'!F8*'P3 Energie'!F7*(H556-c_Vv)^2+'P3 Energie'!F13+'P3 Energie'!F15+'P3 Energie'!F6*$H$7</f>
        <v>19058.3317458354</v>
      </c>
      <c r="J556" s="50" t="n">
        <f aca="false">I556*H556</f>
        <v>144790.381457944</v>
      </c>
    </row>
    <row r="557" customFormat="false" ht="15" hidden="false" customHeight="false" outlineLevel="0" collapsed="false">
      <c r="A557" s="46" t="n">
        <v>548</v>
      </c>
      <c r="B557" s="47" t="n">
        <f aca="false">A557*$C$6</f>
        <v>1.00282897925187</v>
      </c>
      <c r="C557" s="48" t="n">
        <f aca="false">$C$7*B557</f>
        <v>7.61111111111111</v>
      </c>
      <c r="D557" s="49" t="n">
        <f aca="false">0.5*c_rho*'P3 Energie'!E8*'P3 Energie'!E7*(C557-c_Vv)^2+'P3 Energie'!E13+'P3 Energie'!E15+'P3 Energie'!E6*$C$7</f>
        <v>18203.2485930892</v>
      </c>
      <c r="E557" s="50" t="n">
        <f aca="false">D557*C557</f>
        <v>138546.947625179</v>
      </c>
      <c r="F557" s="46" t="n">
        <v>548</v>
      </c>
      <c r="G557" s="47" t="n">
        <f aca="false">F557*$H$6</f>
        <v>0.999933554550793</v>
      </c>
      <c r="H557" s="48" t="n">
        <f aca="false">$H$7*G557</f>
        <v>7.61111111111111</v>
      </c>
      <c r="I557" s="49" t="n">
        <f aca="false">0.5*c_rho*'P3 Energie'!F8*'P3 Energie'!F7*(H557-c_Vv)^2+'P3 Energie'!F13+'P3 Energie'!F15+'P3 Energie'!F6*$H$7</f>
        <v>19058.4050502556</v>
      </c>
      <c r="J557" s="50" t="n">
        <f aca="false">I557*H557</f>
        <v>145055.638438056</v>
      </c>
    </row>
    <row r="558" customFormat="false" ht="15" hidden="false" customHeight="false" outlineLevel="0" collapsed="false">
      <c r="A558" s="46" t="n">
        <v>549</v>
      </c>
      <c r="B558" s="47" t="n">
        <f aca="false">A558*$C$6</f>
        <v>1.00465895914102</v>
      </c>
      <c r="C558" s="48" t="n">
        <f aca="false">$C$7*B558</f>
        <v>7.625</v>
      </c>
      <c r="D558" s="49" t="n">
        <f aca="false">0.5*c_rho*'P3 Energie'!E8*'P3 Energie'!E7*(C558-c_Vv)^2+'P3 Energie'!E13+'P3 Energie'!E15+'P3 Energie'!E6*$C$7</f>
        <v>18203.3331193795</v>
      </c>
      <c r="E558" s="50" t="n">
        <f aca="false">D558*C558</f>
        <v>138800.415035269</v>
      </c>
      <c r="F558" s="46" t="n">
        <v>549</v>
      </c>
      <c r="G558" s="47" t="n">
        <f aca="false">F558*$H$6</f>
        <v>1.00175825081822</v>
      </c>
      <c r="H558" s="48" t="n">
        <f aca="false">$H$7*G558</f>
        <v>7.625</v>
      </c>
      <c r="I558" s="49" t="n">
        <f aca="false">0.5*c_rho*'P3 Energie'!F8*'P3 Energie'!F7*(H558-c_Vv)^2+'P3 Energie'!F13+'P3 Energie'!F15+'P3 Energie'!F6*$H$7</f>
        <v>19058.478488565</v>
      </c>
      <c r="J558" s="50" t="n">
        <f aca="false">I558*H558</f>
        <v>145320.898475309</v>
      </c>
    </row>
    <row r="559" customFormat="false" ht="15" hidden="false" customHeight="false" outlineLevel="0" collapsed="false">
      <c r="A559" s="46" t="n">
        <v>550</v>
      </c>
      <c r="B559" s="47" t="n">
        <f aca="false">A559*$C$6</f>
        <v>1.00648893903016</v>
      </c>
      <c r="C559" s="48" t="n">
        <f aca="false">$C$7*B559</f>
        <v>7.63888888888889</v>
      </c>
      <c r="D559" s="49" t="n">
        <f aca="false">0.5*c_rho*'P3 Energie'!E8*'P3 Energie'!E7*(C559-c_Vv)^2+'P3 Energie'!E13+'P3 Energie'!E15+'P3 Energie'!E6*$C$7</f>
        <v>18203.4177997743</v>
      </c>
      <c r="E559" s="50" t="n">
        <f aca="false">D559*C559</f>
        <v>139053.885970498</v>
      </c>
      <c r="F559" s="46" t="n">
        <v>550</v>
      </c>
      <c r="G559" s="47" t="n">
        <f aca="false">F559*$H$6</f>
        <v>1.00358294708565</v>
      </c>
      <c r="H559" s="48" t="n">
        <f aca="false">$H$7*G559</f>
        <v>7.63888888888889</v>
      </c>
      <c r="I559" s="49" t="n">
        <f aca="false">0.5*c_rho*'P3 Energie'!F8*'P3 Energie'!F7*(H559-c_Vv)^2+'P3 Energie'!F13+'P3 Energie'!F15+'P3 Energie'!F6*$H$7</f>
        <v>19058.5520607639</v>
      </c>
      <c r="J559" s="50" t="n">
        <f aca="false">I559*H559</f>
        <v>145586.16157528</v>
      </c>
    </row>
    <row r="560" customFormat="false" ht="15" hidden="false" customHeight="false" outlineLevel="0" collapsed="false">
      <c r="A560" s="46" t="n">
        <v>551</v>
      </c>
      <c r="B560" s="47" t="n">
        <f aca="false">A560*$C$6</f>
        <v>1.00831891891931</v>
      </c>
      <c r="C560" s="48" t="n">
        <f aca="false">$C$7*B560</f>
        <v>7.65277777777778</v>
      </c>
      <c r="D560" s="49" t="n">
        <f aca="false">0.5*c_rho*'P3 Energie'!E8*'P3 Energie'!E7*(C560-c_Vv)^2+'P3 Energie'!E13+'P3 Energie'!E15+'P3 Energie'!E6*$C$7</f>
        <v>18203.5026342735</v>
      </c>
      <c r="E560" s="50" t="n">
        <f aca="false">D560*C560</f>
        <v>139307.360437288</v>
      </c>
      <c r="F560" s="46" t="n">
        <v>551</v>
      </c>
      <c r="G560" s="47" t="n">
        <f aca="false">F560*$H$6</f>
        <v>1.00540764335308</v>
      </c>
      <c r="H560" s="48" t="n">
        <f aca="false">$H$7*G560</f>
        <v>7.65277777777778</v>
      </c>
      <c r="I560" s="49" t="n">
        <f aca="false">0.5*c_rho*'P3 Energie'!F8*'P3 Energie'!F7*(H560-c_Vv)^2+'P3 Energie'!F13+'P3 Energie'!F15+'P3 Energie'!F6*$H$7</f>
        <v>19058.6257668521</v>
      </c>
      <c r="J560" s="50" t="n">
        <f aca="false">I560*H560</f>
        <v>145851.427743549</v>
      </c>
    </row>
    <row r="561" customFormat="false" ht="15" hidden="false" customHeight="false" outlineLevel="0" collapsed="false">
      <c r="A561" s="46" t="n">
        <v>552</v>
      </c>
      <c r="B561" s="47" t="n">
        <f aca="false">A561*$C$6</f>
        <v>1.01014889880845</v>
      </c>
      <c r="C561" s="48" t="n">
        <f aca="false">$C$7*B561</f>
        <v>7.66666666666667</v>
      </c>
      <c r="D561" s="49" t="n">
        <f aca="false">0.5*c_rho*'P3 Energie'!E8*'P3 Energie'!E7*(C561-c_Vv)^2+'P3 Energie'!E13+'P3 Energie'!E15+'P3 Energie'!E6*$C$7</f>
        <v>18203.5876228772</v>
      </c>
      <c r="E561" s="50" t="n">
        <f aca="false">D561*C561</f>
        <v>139560.838442058</v>
      </c>
      <c r="F561" s="46" t="n">
        <v>552</v>
      </c>
      <c r="G561" s="47" t="n">
        <f aca="false">F561*$H$6</f>
        <v>1.00723233962051</v>
      </c>
      <c r="H561" s="48" t="n">
        <f aca="false">$H$7*G561</f>
        <v>7.66666666666667</v>
      </c>
      <c r="I561" s="49" t="n">
        <f aca="false">0.5*c_rho*'P3 Energie'!F8*'P3 Energie'!F7*(H561-c_Vv)^2+'P3 Energie'!F13+'P3 Energie'!F15+'P3 Energie'!F6*$H$7</f>
        <v>19058.6996068296</v>
      </c>
      <c r="J561" s="50" t="n">
        <f aca="false">I561*H561</f>
        <v>146116.696985694</v>
      </c>
    </row>
    <row r="562" customFormat="false" ht="15" hidden="false" customHeight="false" outlineLevel="0" collapsed="false">
      <c r="A562" s="46" t="n">
        <v>553</v>
      </c>
      <c r="B562" s="47" t="n">
        <f aca="false">A562*$C$6</f>
        <v>1.0119788786976</v>
      </c>
      <c r="C562" s="48" t="n">
        <f aca="false">$C$7*B562</f>
        <v>7.68055555555556</v>
      </c>
      <c r="D562" s="49" t="n">
        <f aca="false">0.5*c_rho*'P3 Energie'!E8*'P3 Energie'!E7*(C562-c_Vv)^2+'P3 Energie'!E13+'P3 Energie'!E15+'P3 Energie'!E6*$C$7</f>
        <v>18203.6727655853</v>
      </c>
      <c r="E562" s="50" t="n">
        <f aca="false">D562*C562</f>
        <v>139814.319991232</v>
      </c>
      <c r="F562" s="46" t="n">
        <v>553</v>
      </c>
      <c r="G562" s="47" t="n">
        <f aca="false">F562*$H$6</f>
        <v>1.00905703588793</v>
      </c>
      <c r="H562" s="48" t="n">
        <f aca="false">$H$7*G562</f>
        <v>7.68055555555556</v>
      </c>
      <c r="I562" s="49" t="n">
        <f aca="false">0.5*c_rho*'P3 Energie'!F8*'P3 Energie'!F7*(H562-c_Vv)^2+'P3 Energie'!F13+'P3 Energie'!F15+'P3 Energie'!F6*$H$7</f>
        <v>19058.7735806965</v>
      </c>
      <c r="J562" s="50" t="n">
        <f aca="false">I562*H562</f>
        <v>146381.969307294</v>
      </c>
    </row>
    <row r="563" customFormat="false" ht="15" hidden="false" customHeight="false" outlineLevel="0" collapsed="false">
      <c r="A563" s="46" t="n">
        <v>554</v>
      </c>
      <c r="B563" s="47" t="n">
        <f aca="false">A563*$C$6</f>
        <v>1.01380885858675</v>
      </c>
      <c r="C563" s="48" t="n">
        <f aca="false">$C$7*B563</f>
        <v>7.69444444444445</v>
      </c>
      <c r="D563" s="49" t="n">
        <f aca="false">0.5*c_rho*'P3 Energie'!E8*'P3 Energie'!E7*(C563-c_Vv)^2+'P3 Energie'!E13+'P3 Energie'!E15+'P3 Energie'!E6*$C$7</f>
        <v>18203.7580623979</v>
      </c>
      <c r="E563" s="50" t="n">
        <f aca="false">D563*C563</f>
        <v>140067.805091228</v>
      </c>
      <c r="F563" s="46" t="n">
        <v>554</v>
      </c>
      <c r="G563" s="47" t="n">
        <f aca="false">F563*$H$6</f>
        <v>1.01088173215536</v>
      </c>
      <c r="H563" s="48" t="n">
        <f aca="false">$H$7*G563</f>
        <v>7.69444444444445</v>
      </c>
      <c r="I563" s="49" t="n">
        <f aca="false">0.5*c_rho*'P3 Energie'!F8*'P3 Energie'!F7*(H563-c_Vv)^2+'P3 Energie'!F13+'P3 Energie'!F15+'P3 Energie'!F6*$H$7</f>
        <v>19058.8476884528</v>
      </c>
      <c r="J563" s="50" t="n">
        <f aca="false">I563*H563</f>
        <v>146647.244713928</v>
      </c>
    </row>
    <row r="564" customFormat="false" ht="15" hidden="false" customHeight="false" outlineLevel="0" collapsed="false">
      <c r="A564" s="46" t="n">
        <v>555</v>
      </c>
      <c r="B564" s="47" t="n">
        <f aca="false">A564*$C$6</f>
        <v>1.01563883847589</v>
      </c>
      <c r="C564" s="48" t="n">
        <f aca="false">$C$7*B564</f>
        <v>7.70833333333333</v>
      </c>
      <c r="D564" s="49" t="n">
        <f aca="false">0.5*c_rho*'P3 Energie'!E8*'P3 Energie'!E7*(C564-c_Vv)^2+'P3 Energie'!E13+'P3 Energie'!E15+'P3 Energie'!E6*$C$7</f>
        <v>18203.8435133149</v>
      </c>
      <c r="E564" s="50" t="n">
        <f aca="false">D564*C564</f>
        <v>140321.293748469</v>
      </c>
      <c r="F564" s="46" t="n">
        <v>555</v>
      </c>
      <c r="G564" s="47" t="n">
        <f aca="false">F564*$H$6</f>
        <v>1.01270642842279</v>
      </c>
      <c r="H564" s="48" t="n">
        <f aca="false">$H$7*G564</f>
        <v>7.70833333333334</v>
      </c>
      <c r="I564" s="49" t="n">
        <f aca="false">0.5*c_rho*'P3 Energie'!F8*'P3 Energie'!F7*(H564-c_Vv)^2+'P3 Energie'!F13+'P3 Energie'!F15+'P3 Energie'!F6*$H$7</f>
        <v>19058.9219300984</v>
      </c>
      <c r="J564" s="50" t="n">
        <f aca="false">I564*H564</f>
        <v>146912.523211175</v>
      </c>
    </row>
    <row r="565" customFormat="false" ht="15" hidden="false" customHeight="false" outlineLevel="0" collapsed="false">
      <c r="A565" s="46" t="n">
        <v>556</v>
      </c>
      <c r="B565" s="47" t="n">
        <f aca="false">A565*$C$6</f>
        <v>1.01746881836504</v>
      </c>
      <c r="C565" s="48" t="n">
        <f aca="false">$C$7*B565</f>
        <v>7.72222222222222</v>
      </c>
      <c r="D565" s="49" t="n">
        <f aca="false">0.5*c_rho*'P3 Energie'!E8*'P3 Energie'!E7*(C565-c_Vv)^2+'P3 Energie'!E13+'P3 Energie'!E15+'P3 Energie'!E6*$C$7</f>
        <v>18203.9291183363</v>
      </c>
      <c r="E565" s="50" t="n">
        <f aca="false">D565*C565</f>
        <v>140574.785969375</v>
      </c>
      <c r="F565" s="46" t="n">
        <v>556</v>
      </c>
      <c r="G565" s="47" t="n">
        <f aca="false">F565*$H$6</f>
        <v>1.01453112469022</v>
      </c>
      <c r="H565" s="48" t="n">
        <f aca="false">$H$7*G565</f>
        <v>7.72222222222222</v>
      </c>
      <c r="I565" s="49" t="n">
        <f aca="false">0.5*c_rho*'P3 Energie'!F8*'P3 Energie'!F7*(H565-c_Vv)^2+'P3 Energie'!F13+'P3 Energie'!F15+'P3 Energie'!F6*$H$7</f>
        <v>19058.9963056333</v>
      </c>
      <c r="J565" s="50" t="n">
        <f aca="false">I565*H565</f>
        <v>147177.804804613</v>
      </c>
    </row>
    <row r="566" customFormat="false" ht="15" hidden="false" customHeight="false" outlineLevel="0" collapsed="false">
      <c r="A566" s="46" t="n">
        <v>557</v>
      </c>
      <c r="B566" s="47" t="n">
        <f aca="false">A566*$C$6</f>
        <v>1.01929879825418</v>
      </c>
      <c r="C566" s="48" t="n">
        <f aca="false">$C$7*B566</f>
        <v>7.73611111111111</v>
      </c>
      <c r="D566" s="49" t="n">
        <f aca="false">0.5*c_rho*'P3 Energie'!E8*'P3 Energie'!E7*(C566-c_Vv)^2+'P3 Energie'!E13+'P3 Energie'!E15+'P3 Energie'!E6*$C$7</f>
        <v>18204.0148774623</v>
      </c>
      <c r="E566" s="50" t="n">
        <f aca="false">D566*C566</f>
        <v>140828.281760368</v>
      </c>
      <c r="F566" s="46" t="n">
        <v>557</v>
      </c>
      <c r="G566" s="47" t="n">
        <f aca="false">F566*$H$6</f>
        <v>1.01635582095765</v>
      </c>
      <c r="H566" s="48" t="n">
        <f aca="false">$H$7*G566</f>
        <v>7.73611111111111</v>
      </c>
      <c r="I566" s="49" t="n">
        <f aca="false">0.5*c_rho*'P3 Energie'!F8*'P3 Energie'!F7*(H566-c_Vv)^2+'P3 Energie'!F13+'P3 Energie'!F15+'P3 Energie'!F6*$H$7</f>
        <v>19059.0708150576</v>
      </c>
      <c r="J566" s="50" t="n">
        <f aca="false">I566*H566</f>
        <v>147443.089499821</v>
      </c>
    </row>
    <row r="567" customFormat="false" ht="15" hidden="false" customHeight="false" outlineLevel="0" collapsed="false">
      <c r="A567" s="46" t="n">
        <v>558</v>
      </c>
      <c r="B567" s="47" t="n">
        <f aca="false">A567*$C$6</f>
        <v>1.02112877814333</v>
      </c>
      <c r="C567" s="48" t="n">
        <f aca="false">$C$7*B567</f>
        <v>7.75</v>
      </c>
      <c r="D567" s="49" t="n">
        <f aca="false">0.5*c_rho*'P3 Energie'!E8*'P3 Energie'!E7*(C567-c_Vv)^2+'P3 Energie'!E13+'P3 Energie'!E15+'P3 Energie'!E6*$C$7</f>
        <v>18204.1007906926</v>
      </c>
      <c r="E567" s="50" t="n">
        <f aca="false">D567*C567</f>
        <v>141081.781127868</v>
      </c>
      <c r="F567" s="46" t="n">
        <v>558</v>
      </c>
      <c r="G567" s="47" t="n">
        <f aca="false">F567*$H$6</f>
        <v>1.01818051722508</v>
      </c>
      <c r="H567" s="48" t="n">
        <f aca="false">$H$7*G567</f>
        <v>7.75</v>
      </c>
      <c r="I567" s="49" t="n">
        <f aca="false">0.5*c_rho*'P3 Energie'!F8*'P3 Energie'!F7*(H567-c_Vv)^2+'P3 Energie'!F13+'P3 Energie'!F15+'P3 Energie'!F6*$H$7</f>
        <v>19059.1454583713</v>
      </c>
      <c r="J567" s="50" t="n">
        <f aca="false">I567*H567</f>
        <v>147708.377302378</v>
      </c>
    </row>
    <row r="568" customFormat="false" ht="15" hidden="false" customHeight="false" outlineLevel="0" collapsed="false">
      <c r="A568" s="46" t="n">
        <v>559</v>
      </c>
      <c r="B568" s="47" t="n">
        <f aca="false">A568*$C$6</f>
        <v>1.02295875803247</v>
      </c>
      <c r="C568" s="48" t="n">
        <f aca="false">$C$7*B568</f>
        <v>7.76388888888889</v>
      </c>
      <c r="D568" s="49" t="n">
        <f aca="false">0.5*c_rho*'P3 Energie'!E8*'P3 Energie'!E7*(C568-c_Vv)^2+'P3 Energie'!E13+'P3 Energie'!E15+'P3 Energie'!E6*$C$7</f>
        <v>18204.1868580274</v>
      </c>
      <c r="E568" s="50" t="n">
        <f aca="false">D568*C568</f>
        <v>141335.284078296</v>
      </c>
      <c r="F568" s="46" t="n">
        <v>559</v>
      </c>
      <c r="G568" s="47" t="n">
        <f aca="false">F568*$H$6</f>
        <v>1.02000521349251</v>
      </c>
      <c r="H568" s="48" t="n">
        <f aca="false">$H$7*G568</f>
        <v>7.76388888888889</v>
      </c>
      <c r="I568" s="49" t="n">
        <f aca="false">0.5*c_rho*'P3 Energie'!F8*'P3 Energie'!F7*(H568-c_Vv)^2+'P3 Energie'!F13+'P3 Energie'!F15+'P3 Energie'!F6*$H$7</f>
        <v>19059.2202355743</v>
      </c>
      <c r="J568" s="50" t="n">
        <f aca="false">I568*H568</f>
        <v>147973.668217862</v>
      </c>
    </row>
    <row r="569" customFormat="false" ht="15" hidden="false" customHeight="false" outlineLevel="0" collapsed="false">
      <c r="A569" s="46" t="n">
        <v>560</v>
      </c>
      <c r="B569" s="47" t="n">
        <f aca="false">A569*$C$6</f>
        <v>1.02478873792162</v>
      </c>
      <c r="C569" s="48" t="n">
        <f aca="false">$C$7*B569</f>
        <v>7.77777777777778</v>
      </c>
      <c r="D569" s="49" t="n">
        <f aca="false">0.5*c_rho*'P3 Energie'!E8*'P3 Energie'!E7*(C569-c_Vv)^2+'P3 Energie'!E13+'P3 Energie'!E15+'P3 Energie'!E6*$C$7</f>
        <v>18204.2730794667</v>
      </c>
      <c r="E569" s="50" t="n">
        <f aca="false">D569*C569</f>
        <v>141588.790618074</v>
      </c>
      <c r="F569" s="46" t="n">
        <v>560</v>
      </c>
      <c r="G569" s="47" t="n">
        <f aca="false">F569*$H$6</f>
        <v>1.02182990975993</v>
      </c>
      <c r="H569" s="48" t="n">
        <f aca="false">$H$7*G569</f>
        <v>7.77777777777778</v>
      </c>
      <c r="I569" s="49" t="n">
        <f aca="false">0.5*c_rho*'P3 Energie'!F8*'P3 Energie'!F7*(H569-c_Vv)^2+'P3 Energie'!F13+'P3 Energie'!F15+'P3 Energie'!F6*$H$7</f>
        <v>19059.2951466667</v>
      </c>
      <c r="J569" s="50" t="n">
        <f aca="false">I569*H569</f>
        <v>148238.962251852</v>
      </c>
    </row>
    <row r="570" customFormat="false" ht="15" hidden="false" customHeight="false" outlineLevel="0" collapsed="false">
      <c r="A570" s="46" t="n">
        <v>561</v>
      </c>
      <c r="B570" s="47" t="n">
        <f aca="false">A570*$C$6</f>
        <v>1.02661871781077</v>
      </c>
      <c r="C570" s="48" t="n">
        <f aca="false">$C$7*B570</f>
        <v>7.79166666666667</v>
      </c>
      <c r="D570" s="49" t="n">
        <f aca="false">0.5*c_rho*'P3 Energie'!E8*'P3 Energie'!E7*(C570-c_Vv)^2+'P3 Energie'!E13+'P3 Energie'!E15+'P3 Energie'!E6*$C$7</f>
        <v>18204.3594550104</v>
      </c>
      <c r="E570" s="50" t="n">
        <f aca="false">D570*C570</f>
        <v>141842.300753623</v>
      </c>
      <c r="F570" s="46" t="n">
        <v>561</v>
      </c>
      <c r="G570" s="47" t="n">
        <f aca="false">F570*$H$6</f>
        <v>1.02365460602736</v>
      </c>
      <c r="H570" s="48" t="n">
        <f aca="false">$H$7*G570</f>
        <v>7.79166666666667</v>
      </c>
      <c r="I570" s="49" t="n">
        <f aca="false">0.5*c_rho*'P3 Energie'!F8*'P3 Energie'!F7*(H570-c_Vv)^2+'P3 Energie'!F13+'P3 Energie'!F15+'P3 Energie'!F6*$H$7</f>
        <v>19059.3701916484</v>
      </c>
      <c r="J570" s="50" t="n">
        <f aca="false">I570*H570</f>
        <v>148504.259409927</v>
      </c>
    </row>
    <row r="571" customFormat="false" ht="15" hidden="false" customHeight="false" outlineLevel="0" collapsed="false">
      <c r="A571" s="46" t="n">
        <v>562</v>
      </c>
      <c r="B571" s="47" t="n">
        <f aca="false">A571*$C$6</f>
        <v>1.02844869769991</v>
      </c>
      <c r="C571" s="48" t="n">
        <f aca="false">$C$7*B571</f>
        <v>7.80555555555556</v>
      </c>
      <c r="D571" s="49" t="n">
        <f aca="false">0.5*c_rho*'P3 Energie'!E8*'P3 Energie'!E7*(C571-c_Vv)^2+'P3 Energie'!E13+'P3 Energie'!E15+'P3 Energie'!E6*$C$7</f>
        <v>18204.4459846585</v>
      </c>
      <c r="E571" s="50" t="n">
        <f aca="false">D571*C571</f>
        <v>142095.814491362</v>
      </c>
      <c r="F571" s="46" t="n">
        <v>562</v>
      </c>
      <c r="G571" s="47" t="n">
        <f aca="false">F571*$H$6</f>
        <v>1.02547930229479</v>
      </c>
      <c r="H571" s="48" t="n">
        <f aca="false">$H$7*G571</f>
        <v>7.80555555555556</v>
      </c>
      <c r="I571" s="49" t="n">
        <f aca="false">0.5*c_rho*'P3 Energie'!F8*'P3 Energie'!F7*(H571-c_Vv)^2+'P3 Energie'!F13+'P3 Energie'!F15+'P3 Energie'!F6*$H$7</f>
        <v>19059.4453705194</v>
      </c>
      <c r="J571" s="50" t="n">
        <f aca="false">I571*H571</f>
        <v>148769.559697666</v>
      </c>
    </row>
    <row r="572" customFormat="false" ht="15" hidden="false" customHeight="false" outlineLevel="0" collapsed="false">
      <c r="A572" s="46" t="n">
        <v>563</v>
      </c>
      <c r="B572" s="47" t="n">
        <f aca="false">A572*$C$6</f>
        <v>1.03027867758906</v>
      </c>
      <c r="C572" s="48" t="n">
        <f aca="false">$C$7*B572</f>
        <v>7.81944444444445</v>
      </c>
      <c r="D572" s="49" t="n">
        <f aca="false">0.5*c_rho*'P3 Energie'!E8*'P3 Energie'!E7*(C572-c_Vv)^2+'P3 Energie'!E13+'P3 Energie'!E15+'P3 Energie'!E6*$C$7</f>
        <v>18204.5326684111</v>
      </c>
      <c r="E572" s="50" t="n">
        <f aca="false">D572*C572</f>
        <v>142349.331837715</v>
      </c>
      <c r="F572" s="46" t="n">
        <v>563</v>
      </c>
      <c r="G572" s="47" t="n">
        <f aca="false">F572*$H$6</f>
        <v>1.02730399856222</v>
      </c>
      <c r="H572" s="48" t="n">
        <f aca="false">$H$7*G572</f>
        <v>7.81944444444445</v>
      </c>
      <c r="I572" s="49" t="n">
        <f aca="false">0.5*c_rho*'P3 Energie'!F8*'P3 Energie'!F7*(H572-c_Vv)^2+'P3 Energie'!F13+'P3 Energie'!F15+'P3 Energie'!F6*$H$7</f>
        <v>19059.5206832799</v>
      </c>
      <c r="J572" s="50" t="n">
        <f aca="false">I572*H572</f>
        <v>149034.863120647</v>
      </c>
    </row>
    <row r="573" customFormat="false" ht="15" hidden="false" customHeight="false" outlineLevel="0" collapsed="false">
      <c r="A573" s="46" t="n">
        <v>564</v>
      </c>
      <c r="B573" s="47" t="n">
        <f aca="false">A573*$C$6</f>
        <v>1.0321086574782</v>
      </c>
      <c r="C573" s="48" t="n">
        <f aca="false">$C$7*B573</f>
        <v>7.83333333333333</v>
      </c>
      <c r="D573" s="49" t="n">
        <f aca="false">0.5*c_rho*'P3 Energie'!E8*'P3 Energie'!E7*(C573-c_Vv)^2+'P3 Energie'!E13+'P3 Energie'!E15+'P3 Energie'!E6*$C$7</f>
        <v>18204.6195062682</v>
      </c>
      <c r="E573" s="50" t="n">
        <f aca="false">D573*C573</f>
        <v>142602.852799101</v>
      </c>
      <c r="F573" s="46" t="n">
        <v>564</v>
      </c>
      <c r="G573" s="47" t="n">
        <f aca="false">F573*$H$6</f>
        <v>1.02912869482965</v>
      </c>
      <c r="H573" s="48" t="n">
        <f aca="false">$H$7*G573</f>
        <v>7.83333333333334</v>
      </c>
      <c r="I573" s="49" t="n">
        <f aca="false">0.5*c_rho*'P3 Energie'!F8*'P3 Energie'!F7*(H573-c_Vv)^2+'P3 Energie'!F13+'P3 Energie'!F15+'P3 Energie'!F6*$H$7</f>
        <v>19059.5961299296</v>
      </c>
      <c r="J573" s="50" t="n">
        <f aca="false">I573*H573</f>
        <v>149300.169684449</v>
      </c>
    </row>
    <row r="574" customFormat="false" ht="15" hidden="false" customHeight="false" outlineLevel="0" collapsed="false">
      <c r="A574" s="46" t="n">
        <v>565</v>
      </c>
      <c r="B574" s="47" t="n">
        <f aca="false">A574*$C$6</f>
        <v>1.03393863736735</v>
      </c>
      <c r="C574" s="48" t="n">
        <f aca="false">$C$7*B574</f>
        <v>7.84722222222222</v>
      </c>
      <c r="D574" s="49" t="n">
        <f aca="false">0.5*c_rho*'P3 Energie'!E8*'P3 Energie'!E7*(C574-c_Vv)^2+'P3 Energie'!E13+'P3 Energie'!E15+'P3 Energie'!E6*$C$7</f>
        <v>18204.7064982297</v>
      </c>
      <c r="E574" s="50" t="n">
        <f aca="false">D574*C574</f>
        <v>142856.377381941</v>
      </c>
      <c r="F574" s="46" t="n">
        <v>565</v>
      </c>
      <c r="G574" s="47" t="n">
        <f aca="false">F574*$H$6</f>
        <v>1.03095339109708</v>
      </c>
      <c r="H574" s="48" t="n">
        <f aca="false">$H$7*G574</f>
        <v>7.84722222222222</v>
      </c>
      <c r="I574" s="49" t="n">
        <f aca="false">0.5*c_rho*'P3 Energie'!F8*'P3 Energie'!F7*(H574-c_Vv)^2+'P3 Energie'!F13+'P3 Energie'!F15+'P3 Energie'!F6*$H$7</f>
        <v>19059.6717104688</v>
      </c>
      <c r="J574" s="50" t="n">
        <f aca="false">I574*H574</f>
        <v>149565.479394651</v>
      </c>
    </row>
    <row r="575" customFormat="false" ht="15" hidden="false" customHeight="false" outlineLevel="0" collapsed="false">
      <c r="A575" s="46" t="n">
        <v>566</v>
      </c>
      <c r="B575" s="47" t="n">
        <f aca="false">A575*$C$6</f>
        <v>1.03576861725649</v>
      </c>
      <c r="C575" s="48" t="n">
        <f aca="false">$C$7*B575</f>
        <v>7.86111111111111</v>
      </c>
      <c r="D575" s="49" t="n">
        <f aca="false">0.5*c_rho*'P3 Energie'!E8*'P3 Energie'!E7*(C575-c_Vv)^2+'P3 Energie'!E13+'P3 Energie'!E15+'P3 Energie'!E6*$C$7</f>
        <v>18204.7936442956</v>
      </c>
      <c r="E575" s="50" t="n">
        <f aca="false">D575*C575</f>
        <v>143109.905592657</v>
      </c>
      <c r="F575" s="46" t="n">
        <v>566</v>
      </c>
      <c r="G575" s="47" t="n">
        <f aca="false">F575*$H$6</f>
        <v>1.0327780873645</v>
      </c>
      <c r="H575" s="48" t="n">
        <f aca="false">$H$7*G575</f>
        <v>7.86111111111111</v>
      </c>
      <c r="I575" s="49" t="n">
        <f aca="false">0.5*c_rho*'P3 Energie'!F8*'P3 Energie'!F7*(H575-c_Vv)^2+'P3 Energie'!F13+'P3 Energie'!F15+'P3 Energie'!F6*$H$7</f>
        <v>19059.7474248972</v>
      </c>
      <c r="J575" s="50" t="n">
        <f aca="false">I575*H575</f>
        <v>149830.792256831</v>
      </c>
    </row>
    <row r="576" customFormat="false" ht="15" hidden="false" customHeight="false" outlineLevel="0" collapsed="false">
      <c r="A576" s="46" t="n">
        <v>567</v>
      </c>
      <c r="B576" s="47" t="n">
        <f aca="false">A576*$C$6</f>
        <v>1.03759859714564</v>
      </c>
      <c r="C576" s="48" t="n">
        <f aca="false">$C$7*B576</f>
        <v>7.875</v>
      </c>
      <c r="D576" s="49" t="n">
        <f aca="false">0.5*c_rho*'P3 Energie'!E8*'P3 Energie'!E7*(C576-c_Vv)^2+'P3 Energie'!E13+'P3 Energie'!E15+'P3 Energie'!E6*$C$7</f>
        <v>18204.880944466</v>
      </c>
      <c r="E576" s="50" t="n">
        <f aca="false">D576*C576</f>
        <v>143363.43743767</v>
      </c>
      <c r="F576" s="46" t="n">
        <v>567</v>
      </c>
      <c r="G576" s="47" t="n">
        <f aca="false">F576*$H$6</f>
        <v>1.03460278363193</v>
      </c>
      <c r="H576" s="48" t="n">
        <f aca="false">$H$7*G576</f>
        <v>7.875</v>
      </c>
      <c r="I576" s="49" t="n">
        <f aca="false">0.5*c_rho*'P3 Energie'!F8*'P3 Energie'!F7*(H576-c_Vv)^2+'P3 Energie'!F13+'P3 Energie'!F15+'P3 Energie'!F6*$H$7</f>
        <v>19059.823273215</v>
      </c>
      <c r="J576" s="50" t="n">
        <f aca="false">I576*H576</f>
        <v>150096.108276569</v>
      </c>
    </row>
    <row r="577" customFormat="false" ht="15" hidden="false" customHeight="false" outlineLevel="0" collapsed="false">
      <c r="A577" s="46" t="n">
        <v>568</v>
      </c>
      <c r="B577" s="47" t="n">
        <f aca="false">A577*$C$6</f>
        <v>1.03942857703479</v>
      </c>
      <c r="C577" s="48" t="n">
        <f aca="false">$C$7*B577</f>
        <v>7.88888888888889</v>
      </c>
      <c r="D577" s="49" t="n">
        <f aca="false">0.5*c_rho*'P3 Energie'!E8*'P3 Energie'!E7*(C577-c_Vv)^2+'P3 Energie'!E13+'P3 Energie'!E15+'P3 Energie'!E6*$C$7</f>
        <v>18204.9683987409</v>
      </c>
      <c r="E577" s="50" t="n">
        <f aca="false">D577*C577</f>
        <v>143616.9729234</v>
      </c>
      <c r="F577" s="46" t="n">
        <v>568</v>
      </c>
      <c r="G577" s="47" t="n">
        <f aca="false">F577*$H$6</f>
        <v>1.03642747989936</v>
      </c>
      <c r="H577" s="48" t="n">
        <f aca="false">$H$7*G577</f>
        <v>7.88888888888889</v>
      </c>
      <c r="I577" s="49" t="n">
        <f aca="false">0.5*c_rho*'P3 Energie'!F8*'P3 Energie'!F7*(H577-c_Vv)^2+'P3 Energie'!F13+'P3 Energie'!F15+'P3 Energie'!F6*$H$7</f>
        <v>19059.8992554222</v>
      </c>
      <c r="J577" s="50" t="n">
        <f aca="false">I577*H577</f>
        <v>150361.427459442</v>
      </c>
    </row>
    <row r="578" customFormat="false" ht="15" hidden="false" customHeight="false" outlineLevel="0" collapsed="false">
      <c r="A578" s="46" t="n">
        <v>569</v>
      </c>
      <c r="B578" s="47" t="n">
        <f aca="false">A578*$C$6</f>
        <v>1.04125855692393</v>
      </c>
      <c r="C578" s="48" t="n">
        <f aca="false">$C$7*B578</f>
        <v>7.90277777777778</v>
      </c>
      <c r="D578" s="49" t="n">
        <f aca="false">0.5*c_rho*'P3 Energie'!E8*'P3 Energie'!E7*(C578-c_Vv)^2+'P3 Energie'!E13+'P3 Energie'!E15+'P3 Energie'!E6*$C$7</f>
        <v>18205.0560071202</v>
      </c>
      <c r="E578" s="50" t="n">
        <f aca="false">D578*C578</f>
        <v>143870.512056269</v>
      </c>
      <c r="F578" s="46" t="n">
        <v>569</v>
      </c>
      <c r="G578" s="47" t="n">
        <f aca="false">F578*$H$6</f>
        <v>1.03825217616679</v>
      </c>
      <c r="H578" s="48" t="n">
        <f aca="false">$H$7*G578</f>
        <v>7.90277777777778</v>
      </c>
      <c r="I578" s="49" t="n">
        <f aca="false">0.5*c_rho*'P3 Energie'!F8*'P3 Energie'!F7*(H578-c_Vv)^2+'P3 Energie'!F13+'P3 Energie'!F15+'P3 Energie'!F6*$H$7</f>
        <v>19059.9753715188</v>
      </c>
      <c r="J578" s="50" t="n">
        <f aca="false">I578*H578</f>
        <v>150626.74981103</v>
      </c>
    </row>
    <row r="579" customFormat="false" ht="15" hidden="false" customHeight="false" outlineLevel="0" collapsed="false">
      <c r="A579" s="46" t="n">
        <v>570</v>
      </c>
      <c r="B579" s="47" t="n">
        <f aca="false">A579*$C$6</f>
        <v>1.04308853681308</v>
      </c>
      <c r="C579" s="48" t="n">
        <f aca="false">$C$7*B579</f>
        <v>7.91666666666667</v>
      </c>
      <c r="D579" s="49" t="n">
        <f aca="false">0.5*c_rho*'P3 Energie'!E8*'P3 Energie'!E7*(C579-c_Vv)^2+'P3 Energie'!E13+'P3 Energie'!E15+'P3 Energie'!E6*$C$7</f>
        <v>18205.1437696039</v>
      </c>
      <c r="E579" s="50" t="n">
        <f aca="false">D579*C579</f>
        <v>144124.054842698</v>
      </c>
      <c r="F579" s="46" t="n">
        <v>570</v>
      </c>
      <c r="G579" s="47" t="n">
        <f aca="false">F579*$H$6</f>
        <v>1.04007687243422</v>
      </c>
      <c r="H579" s="48" t="n">
        <f aca="false">$H$7*G579</f>
        <v>7.91666666666667</v>
      </c>
      <c r="I579" s="49" t="n">
        <f aca="false">0.5*c_rho*'P3 Energie'!F8*'P3 Energie'!F7*(H579-c_Vv)^2+'P3 Energie'!F13+'P3 Energie'!F15+'P3 Energie'!F6*$H$7</f>
        <v>19060.0516215046</v>
      </c>
      <c r="J579" s="50" t="n">
        <f aca="false">I579*H579</f>
        <v>150892.075336912</v>
      </c>
    </row>
    <row r="580" customFormat="false" ht="15" hidden="false" customHeight="false" outlineLevel="0" collapsed="false">
      <c r="A580" s="46" t="n">
        <v>571</v>
      </c>
      <c r="B580" s="47" t="n">
        <f aca="false">A580*$C$6</f>
        <v>1.04491851670222</v>
      </c>
      <c r="C580" s="48" t="n">
        <f aca="false">$C$7*B580</f>
        <v>7.93055555555556</v>
      </c>
      <c r="D580" s="49" t="n">
        <f aca="false">0.5*c_rho*'P3 Energie'!E8*'P3 Energie'!E7*(C580-c_Vv)^2+'P3 Energie'!E13+'P3 Energie'!E15+'P3 Energie'!E6*$C$7</f>
        <v>18205.2316861921</v>
      </c>
      <c r="E580" s="50" t="n">
        <f aca="false">D580*C580</f>
        <v>144377.601289107</v>
      </c>
      <c r="F580" s="46" t="n">
        <v>571</v>
      </c>
      <c r="G580" s="47" t="n">
        <f aca="false">F580*$H$6</f>
        <v>1.04190156870165</v>
      </c>
      <c r="H580" s="48" t="n">
        <f aca="false">$H$7*G580</f>
        <v>7.93055555555556</v>
      </c>
      <c r="I580" s="49" t="n">
        <f aca="false">0.5*c_rho*'P3 Energie'!F8*'P3 Energie'!F7*(H580-c_Vv)^2+'P3 Energie'!F13+'P3 Energie'!F15+'P3 Energie'!F6*$H$7</f>
        <v>19060.1280053799</v>
      </c>
      <c r="J580" s="50" t="n">
        <f aca="false">I580*H580</f>
        <v>151157.404042665</v>
      </c>
    </row>
    <row r="581" customFormat="false" ht="15" hidden="false" customHeight="false" outlineLevel="0" collapsed="false">
      <c r="A581" s="46" t="n">
        <v>572</v>
      </c>
      <c r="B581" s="47" t="n">
        <f aca="false">A581*$C$6</f>
        <v>1.04674849659137</v>
      </c>
      <c r="C581" s="48" t="n">
        <f aca="false">$C$7*B581</f>
        <v>7.94444444444445</v>
      </c>
      <c r="D581" s="49" t="n">
        <f aca="false">0.5*c_rho*'P3 Energie'!E8*'P3 Energie'!E7*(C581-c_Vv)^2+'P3 Energie'!E13+'P3 Energie'!E15+'P3 Energie'!E6*$C$7</f>
        <v>18205.3197568848</v>
      </c>
      <c r="E581" s="50" t="n">
        <f aca="false">D581*C581</f>
        <v>144631.151401918</v>
      </c>
      <c r="F581" s="46" t="n">
        <v>572</v>
      </c>
      <c r="G581" s="47" t="n">
        <f aca="false">F581*$H$6</f>
        <v>1.04372626496908</v>
      </c>
      <c r="H581" s="48" t="n">
        <f aca="false">$H$7*G581</f>
        <v>7.94444444444445</v>
      </c>
      <c r="I581" s="49" t="n">
        <f aca="false">0.5*c_rho*'P3 Energie'!F8*'P3 Energie'!F7*(H581-c_Vv)^2+'P3 Energie'!F13+'P3 Energie'!F15+'P3 Energie'!F6*$H$7</f>
        <v>19060.2045231444</v>
      </c>
      <c r="J581" s="50" t="n">
        <f aca="false">I581*H581</f>
        <v>151422.73593387</v>
      </c>
    </row>
    <row r="582" customFormat="false" ht="15" hidden="false" customHeight="false" outlineLevel="0" collapsed="false">
      <c r="A582" s="46" t="n">
        <v>573</v>
      </c>
      <c r="B582" s="47" t="n">
        <f aca="false">A582*$C$6</f>
        <v>1.04857847648051</v>
      </c>
      <c r="C582" s="48" t="n">
        <f aca="false">$C$7*B582</f>
        <v>7.95833333333333</v>
      </c>
      <c r="D582" s="49" t="n">
        <f aca="false">0.5*c_rho*'P3 Energie'!E8*'P3 Energie'!E7*(C582-c_Vv)^2+'P3 Energie'!E13+'P3 Energie'!E15+'P3 Energie'!E6*$C$7</f>
        <v>18205.4079816819</v>
      </c>
      <c r="E582" s="50" t="n">
        <f aca="false">D582*C582</f>
        <v>144884.705187552</v>
      </c>
      <c r="F582" s="46" t="n">
        <v>573</v>
      </c>
      <c r="G582" s="47" t="n">
        <f aca="false">F582*$H$6</f>
        <v>1.0455509612365</v>
      </c>
      <c r="H582" s="48" t="n">
        <f aca="false">$H$7*G582</f>
        <v>7.95833333333334</v>
      </c>
      <c r="I582" s="49" t="n">
        <f aca="false">0.5*c_rho*'P3 Energie'!F8*'P3 Energie'!F7*(H582-c_Vv)^2+'P3 Energie'!F13+'P3 Energie'!F15+'P3 Energie'!F6*$H$7</f>
        <v>19060.2811747984</v>
      </c>
      <c r="J582" s="50" t="n">
        <f aca="false">I582*H582</f>
        <v>151688.071016104</v>
      </c>
    </row>
    <row r="583" customFormat="false" ht="15" hidden="false" customHeight="false" outlineLevel="0" collapsed="false">
      <c r="A583" s="46" t="n">
        <v>574</v>
      </c>
      <c r="B583" s="47" t="n">
        <f aca="false">A583*$C$6</f>
        <v>1.05040845636966</v>
      </c>
      <c r="C583" s="48" t="n">
        <f aca="false">$C$7*B583</f>
        <v>7.97222222222222</v>
      </c>
      <c r="D583" s="49" t="n">
        <f aca="false">0.5*c_rho*'P3 Energie'!E8*'P3 Energie'!E7*(C583-c_Vv)^2+'P3 Energie'!E13+'P3 Energie'!E15+'P3 Energie'!E6*$C$7</f>
        <v>18205.4963605834</v>
      </c>
      <c r="E583" s="50" t="n">
        <f aca="false">D583*C583</f>
        <v>145138.262652429</v>
      </c>
      <c r="F583" s="46" t="n">
        <v>574</v>
      </c>
      <c r="G583" s="47" t="n">
        <f aca="false">F583*$H$6</f>
        <v>1.04737565750393</v>
      </c>
      <c r="H583" s="48" t="n">
        <f aca="false">$H$7*G583</f>
        <v>7.97222222222222</v>
      </c>
      <c r="I583" s="49" t="n">
        <f aca="false">0.5*c_rho*'P3 Energie'!F8*'P3 Energie'!F7*(H583-c_Vv)^2+'P3 Energie'!F13+'P3 Energie'!F15+'P3 Energie'!F6*$H$7</f>
        <v>19060.3579603417</v>
      </c>
      <c r="J583" s="50" t="n">
        <f aca="false">I583*H583</f>
        <v>151953.409294946</v>
      </c>
    </row>
    <row r="584" customFormat="false" ht="15" hidden="false" customHeight="false" outlineLevel="0" collapsed="false">
      <c r="A584" s="46" t="n">
        <v>575</v>
      </c>
      <c r="B584" s="47" t="n">
        <f aca="false">A584*$C$6</f>
        <v>1.05223843625881</v>
      </c>
      <c r="C584" s="48" t="n">
        <f aca="false">$C$7*B584</f>
        <v>7.98611111111111</v>
      </c>
      <c r="D584" s="49" t="n">
        <f aca="false">0.5*c_rho*'P3 Energie'!E8*'P3 Energie'!E7*(C584-c_Vv)^2+'P3 Energie'!E13+'P3 Energie'!E15+'P3 Energie'!E6*$C$7</f>
        <v>18205.5848935894</v>
      </c>
      <c r="E584" s="50" t="n">
        <f aca="false">D584*C584</f>
        <v>145391.823802971</v>
      </c>
      <c r="F584" s="46" t="n">
        <v>575</v>
      </c>
      <c r="G584" s="47" t="n">
        <f aca="false">F584*$H$6</f>
        <v>1.04920035377136</v>
      </c>
      <c r="H584" s="48" t="n">
        <f aca="false">$H$7*G584</f>
        <v>7.98611111111111</v>
      </c>
      <c r="I584" s="49" t="n">
        <f aca="false">0.5*c_rho*'P3 Energie'!F8*'P3 Energie'!F7*(H584-c_Vv)^2+'P3 Energie'!F13+'P3 Energie'!F15+'P3 Energie'!F6*$H$7</f>
        <v>19060.4348797743</v>
      </c>
      <c r="J584" s="50" t="n">
        <f aca="false">I584*H584</f>
        <v>152218.750775975</v>
      </c>
    </row>
    <row r="585" customFormat="false" ht="15" hidden="false" customHeight="false" outlineLevel="0" collapsed="false">
      <c r="A585" s="46" t="n">
        <v>576</v>
      </c>
      <c r="B585" s="47" t="n">
        <f aca="false">A585*$C$6</f>
        <v>1.05406841614795</v>
      </c>
      <c r="C585" s="48" t="n">
        <f aca="false">$C$7*B585</f>
        <v>8</v>
      </c>
      <c r="D585" s="49" t="n">
        <f aca="false">0.5*c_rho*'P3 Energie'!E8*'P3 Energie'!E7*(C585-c_Vv)^2+'P3 Energie'!E13+'P3 Energie'!E15+'P3 Energie'!E6*$C$7</f>
        <v>18205.6735806999</v>
      </c>
      <c r="E585" s="50" t="n">
        <f aca="false">D585*C585</f>
        <v>145645.388645599</v>
      </c>
      <c r="F585" s="46" t="n">
        <v>576</v>
      </c>
      <c r="G585" s="47" t="n">
        <f aca="false">F585*$H$6</f>
        <v>1.05102505003879</v>
      </c>
      <c r="H585" s="48" t="n">
        <f aca="false">$H$7*G585</f>
        <v>8</v>
      </c>
      <c r="I585" s="49" t="n">
        <f aca="false">0.5*c_rho*'P3 Energie'!F8*'P3 Energie'!F7*(H585-c_Vv)^2+'P3 Energie'!F13+'P3 Energie'!F15+'P3 Energie'!F6*$H$7</f>
        <v>19060.5119330963</v>
      </c>
      <c r="J585" s="50" t="n">
        <f aca="false">I585*H585</f>
        <v>152484.09546477</v>
      </c>
    </row>
    <row r="586" customFormat="false" ht="15" hidden="false" customHeight="false" outlineLevel="0" collapsed="false">
      <c r="A586" s="46" t="n">
        <v>577</v>
      </c>
      <c r="B586" s="47" t="n">
        <f aca="false">A586*$C$6</f>
        <v>1.0558983960371</v>
      </c>
      <c r="C586" s="48" t="n">
        <f aca="false">$C$7*B586</f>
        <v>8.01388888888889</v>
      </c>
      <c r="D586" s="49" t="n">
        <f aca="false">0.5*c_rho*'P3 Energie'!E8*'P3 Energie'!E7*(C586-c_Vv)^2+'P3 Energie'!E13+'P3 Energie'!E15+'P3 Energie'!E6*$C$7</f>
        <v>18205.7624219148</v>
      </c>
      <c r="E586" s="50" t="n">
        <f aca="false">D586*C586</f>
        <v>145898.957186734</v>
      </c>
      <c r="F586" s="46" t="n">
        <v>577</v>
      </c>
      <c r="G586" s="47" t="n">
        <f aca="false">F586*$H$6</f>
        <v>1.05284974630622</v>
      </c>
      <c r="H586" s="48" t="n">
        <f aca="false">$H$7*G586</f>
        <v>8.01388888888889</v>
      </c>
      <c r="I586" s="49" t="n">
        <f aca="false">0.5*c_rho*'P3 Energie'!F8*'P3 Energie'!F7*(H586-c_Vv)^2+'P3 Energie'!F13+'P3 Energie'!F15+'P3 Energie'!F6*$H$7</f>
        <v>19060.5891203076</v>
      </c>
      <c r="J586" s="50" t="n">
        <f aca="false">I586*H586</f>
        <v>152749.44336691</v>
      </c>
    </row>
    <row r="587" customFormat="false" ht="15" hidden="false" customHeight="false" outlineLevel="0" collapsed="false">
      <c r="A587" s="46" t="n">
        <v>578</v>
      </c>
      <c r="B587" s="47" t="n">
        <f aca="false">A587*$C$6</f>
        <v>1.05772837592624</v>
      </c>
      <c r="C587" s="48" t="n">
        <f aca="false">$C$7*B587</f>
        <v>8.02777777777778</v>
      </c>
      <c r="D587" s="49" t="n">
        <f aca="false">0.5*c_rho*'P3 Energie'!E8*'P3 Energie'!E7*(C587-c_Vv)^2+'P3 Energie'!E13+'P3 Energie'!E15+'P3 Energie'!E6*$C$7</f>
        <v>18205.8514172341</v>
      </c>
      <c r="E587" s="50" t="n">
        <f aca="false">D587*C587</f>
        <v>146152.529432796</v>
      </c>
      <c r="F587" s="46" t="n">
        <v>578</v>
      </c>
      <c r="G587" s="47" t="n">
        <f aca="false">F587*$H$6</f>
        <v>1.05467444257365</v>
      </c>
      <c r="H587" s="48" t="n">
        <f aca="false">$H$7*G587</f>
        <v>8.02777777777778</v>
      </c>
      <c r="I587" s="49" t="n">
        <f aca="false">0.5*c_rho*'P3 Energie'!F8*'P3 Energie'!F7*(H587-c_Vv)^2+'P3 Energie'!F13+'P3 Energie'!F15+'P3 Energie'!F6*$H$7</f>
        <v>19060.6664414083</v>
      </c>
      <c r="J587" s="50" t="n">
        <f aca="false">I587*H587</f>
        <v>153014.794487972</v>
      </c>
    </row>
    <row r="588" customFormat="false" ht="15" hidden="false" customHeight="false" outlineLevel="0" collapsed="false">
      <c r="A588" s="46" t="n">
        <v>579</v>
      </c>
      <c r="B588" s="47" t="n">
        <f aca="false">A588*$C$6</f>
        <v>1.05955835581539</v>
      </c>
      <c r="C588" s="48" t="n">
        <f aca="false">$C$7*B588</f>
        <v>8.04166666666667</v>
      </c>
      <c r="D588" s="49" t="n">
        <f aca="false">0.5*c_rho*'P3 Energie'!E8*'P3 Energie'!E7*(C588-c_Vv)^2+'P3 Energie'!E13+'P3 Energie'!E15+'P3 Energie'!E6*$C$7</f>
        <v>18205.9405666579</v>
      </c>
      <c r="E588" s="50" t="n">
        <f aca="false">D588*C588</f>
        <v>146406.105390207</v>
      </c>
      <c r="F588" s="46" t="n">
        <v>579</v>
      </c>
      <c r="G588" s="47" t="n">
        <f aca="false">F588*$H$6</f>
        <v>1.05649913884107</v>
      </c>
      <c r="H588" s="48" t="n">
        <f aca="false">$H$7*G588</f>
        <v>8.04166666666667</v>
      </c>
      <c r="I588" s="49" t="n">
        <f aca="false">0.5*c_rho*'P3 Energie'!F8*'P3 Energie'!F7*(H588-c_Vv)^2+'P3 Energie'!F13+'P3 Energie'!F15+'P3 Energie'!F6*$H$7</f>
        <v>19060.7438963984</v>
      </c>
      <c r="J588" s="50" t="n">
        <f aca="false">I588*H588</f>
        <v>153280.148833537</v>
      </c>
    </row>
    <row r="589" customFormat="false" ht="15" hidden="false" customHeight="false" outlineLevel="0" collapsed="false">
      <c r="A589" s="46" t="n">
        <v>580</v>
      </c>
      <c r="B589" s="47" t="n">
        <f aca="false">A589*$C$6</f>
        <v>1.06138833570453</v>
      </c>
      <c r="C589" s="48" t="n">
        <f aca="false">$C$7*B589</f>
        <v>8.05555555555556</v>
      </c>
      <c r="D589" s="49" t="n">
        <f aca="false">0.5*c_rho*'P3 Energie'!E8*'P3 Energie'!E7*(C589-c_Vv)^2+'P3 Energie'!E13+'P3 Energie'!E15+'P3 Energie'!E6*$C$7</f>
        <v>18206.0298701861</v>
      </c>
      <c r="E589" s="50" t="n">
        <f aca="false">D589*C589</f>
        <v>146659.685065388</v>
      </c>
      <c r="F589" s="46" t="n">
        <v>580</v>
      </c>
      <c r="G589" s="47" t="n">
        <f aca="false">F589*$H$6</f>
        <v>1.0583238351085</v>
      </c>
      <c r="H589" s="48" t="n">
        <f aca="false">$H$7*G589</f>
        <v>8.05555555555556</v>
      </c>
      <c r="I589" s="49" t="n">
        <f aca="false">0.5*c_rho*'P3 Energie'!F8*'P3 Energie'!F7*(H589-c_Vv)^2+'P3 Energie'!F13+'P3 Energie'!F15+'P3 Energie'!F6*$H$7</f>
        <v>19060.8214852778</v>
      </c>
      <c r="J589" s="50" t="n">
        <f aca="false">I589*H589</f>
        <v>153545.506409182</v>
      </c>
    </row>
    <row r="590" customFormat="false" ht="15" hidden="false" customHeight="false" outlineLevel="0" collapsed="false">
      <c r="A590" s="46" t="n">
        <v>581</v>
      </c>
      <c r="B590" s="47" t="n">
        <f aca="false">A590*$C$6</f>
        <v>1.06321831559368</v>
      </c>
      <c r="C590" s="48" t="n">
        <f aca="false">$C$7*B590</f>
        <v>8.06944444444445</v>
      </c>
      <c r="D590" s="49" t="n">
        <f aca="false">0.5*c_rho*'P3 Energie'!E8*'P3 Energie'!E7*(C590-c_Vv)^2+'P3 Energie'!E13+'P3 Energie'!E15+'P3 Energie'!E6*$C$7</f>
        <v>18206.1193278188</v>
      </c>
      <c r="E590" s="50" t="n">
        <f aca="false">D590*C590</f>
        <v>146913.26846476</v>
      </c>
      <c r="F590" s="46" t="n">
        <v>581</v>
      </c>
      <c r="G590" s="47" t="n">
        <f aca="false">F590*$H$6</f>
        <v>1.06014853137593</v>
      </c>
      <c r="H590" s="48" t="n">
        <f aca="false">$H$7*G590</f>
        <v>8.06944444444445</v>
      </c>
      <c r="I590" s="49" t="n">
        <f aca="false">0.5*c_rho*'P3 Energie'!F8*'P3 Energie'!F7*(H590-c_Vv)^2+'P3 Energie'!F13+'P3 Energie'!F15+'P3 Energie'!F6*$H$7</f>
        <v>19060.8992080465</v>
      </c>
      <c r="J590" s="50" t="n">
        <f aca="false">I590*H590</f>
        <v>153810.867220487</v>
      </c>
    </row>
    <row r="591" customFormat="false" ht="15" hidden="false" customHeight="false" outlineLevel="0" collapsed="false">
      <c r="A591" s="46" t="n">
        <v>582</v>
      </c>
      <c r="B591" s="47" t="n">
        <f aca="false">A591*$C$6</f>
        <v>1.06504829548283</v>
      </c>
      <c r="C591" s="48" t="n">
        <f aca="false">$C$7*B591</f>
        <v>8.08333333333333</v>
      </c>
      <c r="D591" s="49" t="n">
        <f aca="false">0.5*c_rho*'P3 Energie'!E8*'P3 Energie'!E7*(C591-c_Vv)^2+'P3 Energie'!E13+'P3 Energie'!E15+'P3 Energie'!E6*$C$7</f>
        <v>18206.2089395559</v>
      </c>
      <c r="E591" s="50" t="n">
        <f aca="false">D591*C591</f>
        <v>147166.855594744</v>
      </c>
      <c r="F591" s="46" t="n">
        <v>582</v>
      </c>
      <c r="G591" s="47" t="n">
        <f aca="false">F591*$H$6</f>
        <v>1.06197322764336</v>
      </c>
      <c r="H591" s="48" t="n">
        <f aca="false">$H$7*G591</f>
        <v>8.08333333333333</v>
      </c>
      <c r="I591" s="49" t="n">
        <f aca="false">0.5*c_rho*'P3 Energie'!F8*'P3 Energie'!F7*(H591-c_Vv)^2+'P3 Energie'!F13+'P3 Energie'!F15+'P3 Energie'!F6*$H$7</f>
        <v>19060.9770647046</v>
      </c>
      <c r="J591" s="50" t="n">
        <f aca="false">I591*H591</f>
        <v>154076.231273029</v>
      </c>
    </row>
    <row r="592" customFormat="false" ht="15" hidden="false" customHeight="false" outlineLevel="0" collapsed="false">
      <c r="A592" s="46" t="n">
        <v>583</v>
      </c>
      <c r="B592" s="47" t="n">
        <f aca="false">A592*$C$6</f>
        <v>1.06687827537197</v>
      </c>
      <c r="C592" s="48" t="n">
        <f aca="false">$C$7*B592</f>
        <v>8.09722222222222</v>
      </c>
      <c r="D592" s="49" t="n">
        <f aca="false">0.5*c_rho*'P3 Energie'!E8*'P3 Energie'!E7*(C592-c_Vv)^2+'P3 Energie'!E13+'P3 Energie'!E15+'P3 Energie'!E6*$C$7</f>
        <v>18206.2987053975</v>
      </c>
      <c r="E592" s="50" t="n">
        <f aca="false">D592*C592</f>
        <v>147420.446461761</v>
      </c>
      <c r="F592" s="46" t="n">
        <v>583</v>
      </c>
      <c r="G592" s="47" t="n">
        <f aca="false">F592*$H$6</f>
        <v>1.06379792391079</v>
      </c>
      <c r="H592" s="48" t="n">
        <f aca="false">$H$7*G592</f>
        <v>8.09722222222222</v>
      </c>
      <c r="I592" s="49" t="n">
        <f aca="false">0.5*c_rho*'P3 Energie'!F8*'P3 Energie'!F7*(H592-c_Vv)^2+'P3 Energie'!F13+'P3 Energie'!F15+'P3 Energie'!F6*$H$7</f>
        <v>19061.0550552521</v>
      </c>
      <c r="J592" s="50" t="n">
        <f aca="false">I592*H592</f>
        <v>154341.598572388</v>
      </c>
    </row>
    <row r="593" customFormat="false" ht="15" hidden="false" customHeight="false" outlineLevel="0" collapsed="false">
      <c r="A593" s="46" t="n">
        <v>584</v>
      </c>
      <c r="B593" s="47" t="n">
        <f aca="false">A593*$C$6</f>
        <v>1.06870825526112</v>
      </c>
      <c r="C593" s="48" t="n">
        <f aca="false">$C$7*B593</f>
        <v>8.11111111111111</v>
      </c>
      <c r="D593" s="49" t="n">
        <f aca="false">0.5*c_rho*'P3 Energie'!E8*'P3 Energie'!E7*(C593-c_Vv)^2+'P3 Energie'!E13+'P3 Energie'!E15+'P3 Energie'!E6*$C$7</f>
        <v>18206.3886253436</v>
      </c>
      <c r="E593" s="50" t="n">
        <f aca="false">D593*C593</f>
        <v>147674.041072231</v>
      </c>
      <c r="F593" s="46" t="n">
        <v>584</v>
      </c>
      <c r="G593" s="47" t="n">
        <f aca="false">F593*$H$6</f>
        <v>1.06562262017822</v>
      </c>
      <c r="H593" s="48" t="n">
        <f aca="false">$H$7*G593</f>
        <v>8.11111111111111</v>
      </c>
      <c r="I593" s="49" t="n">
        <f aca="false">0.5*c_rho*'P3 Energie'!F8*'P3 Energie'!F7*(H593-c_Vv)^2+'P3 Energie'!F13+'P3 Energie'!F15+'P3 Energie'!F6*$H$7</f>
        <v>19061.1331796889</v>
      </c>
      <c r="J593" s="50" t="n">
        <f aca="false">I593*H593</f>
        <v>154606.969124143</v>
      </c>
    </row>
    <row r="594" customFormat="false" ht="15" hidden="false" customHeight="false" outlineLevel="0" collapsed="false">
      <c r="A594" s="46" t="n">
        <v>585</v>
      </c>
      <c r="B594" s="47" t="n">
        <f aca="false">A594*$C$6</f>
        <v>1.07053823515026</v>
      </c>
      <c r="C594" s="48" t="n">
        <f aca="false">$C$7*B594</f>
        <v>8.125</v>
      </c>
      <c r="D594" s="49" t="n">
        <f aca="false">0.5*c_rho*'P3 Energie'!E8*'P3 Energie'!E7*(C594-c_Vv)^2+'P3 Energie'!E13+'P3 Energie'!E15+'P3 Energie'!E6*$C$7</f>
        <v>18206.478699394</v>
      </c>
      <c r="E594" s="50" t="n">
        <f aca="false">D594*C594</f>
        <v>147927.639432577</v>
      </c>
      <c r="F594" s="46" t="n">
        <v>585</v>
      </c>
      <c r="G594" s="47" t="n">
        <f aca="false">F594*$H$6</f>
        <v>1.06744731644565</v>
      </c>
      <c r="H594" s="48" t="n">
        <f aca="false">$H$7*G594</f>
        <v>8.125</v>
      </c>
      <c r="I594" s="49" t="n">
        <f aca="false">0.5*c_rho*'P3 Energie'!F8*'P3 Energie'!F7*(H594-c_Vv)^2+'P3 Energie'!F13+'P3 Energie'!F15+'P3 Energie'!F6*$H$7</f>
        <v>19061.211438015</v>
      </c>
      <c r="J594" s="50" t="n">
        <f aca="false">I594*H594</f>
        <v>154872.342933872</v>
      </c>
    </row>
    <row r="595" customFormat="false" ht="15" hidden="false" customHeight="false" outlineLevel="0" collapsed="false">
      <c r="A595" s="46" t="n">
        <v>586</v>
      </c>
      <c r="B595" s="47" t="n">
        <f aca="false">A595*$C$6</f>
        <v>1.07236821503941</v>
      </c>
      <c r="C595" s="48" t="n">
        <f aca="false">$C$7*B595</f>
        <v>8.13888888888889</v>
      </c>
      <c r="D595" s="49" t="n">
        <f aca="false">0.5*c_rho*'P3 Energie'!E8*'P3 Energie'!E7*(C595-c_Vv)^2+'P3 Energie'!E13+'P3 Energie'!E15+'P3 Energie'!E6*$C$7</f>
        <v>18206.568927549</v>
      </c>
      <c r="E595" s="50" t="n">
        <f aca="false">D595*C595</f>
        <v>148181.241549218</v>
      </c>
      <c r="F595" s="46" t="n">
        <v>586</v>
      </c>
      <c r="G595" s="47" t="n">
        <f aca="false">F595*$H$6</f>
        <v>1.06927201271307</v>
      </c>
      <c r="H595" s="48" t="n">
        <f aca="false">$H$7*G595</f>
        <v>8.13888888888889</v>
      </c>
      <c r="I595" s="49" t="n">
        <f aca="false">0.5*c_rho*'P3 Energie'!F8*'P3 Energie'!F7*(H595-c_Vv)^2+'P3 Energie'!F13+'P3 Energie'!F15+'P3 Energie'!F6*$H$7</f>
        <v>19061.2898302306</v>
      </c>
      <c r="J595" s="50" t="n">
        <f aca="false">I595*H595</f>
        <v>155137.720007154</v>
      </c>
    </row>
    <row r="596" customFormat="false" ht="15" hidden="false" customHeight="false" outlineLevel="0" collapsed="false">
      <c r="A596" s="46" t="n">
        <v>587</v>
      </c>
      <c r="B596" s="47" t="n">
        <f aca="false">A596*$C$6</f>
        <v>1.07419819492855</v>
      </c>
      <c r="C596" s="48" t="n">
        <f aca="false">$C$7*B596</f>
        <v>8.15277777777778</v>
      </c>
      <c r="D596" s="49" t="n">
        <f aca="false">0.5*c_rho*'P3 Energie'!E8*'P3 Energie'!E7*(C596-c_Vv)^2+'P3 Energie'!E13+'P3 Energie'!E15+'P3 Energie'!E6*$C$7</f>
        <v>18206.6593098084</v>
      </c>
      <c r="E596" s="50" t="n">
        <f aca="false">D596*C596</f>
        <v>148434.847428577</v>
      </c>
      <c r="F596" s="46" t="n">
        <v>587</v>
      </c>
      <c r="G596" s="47" t="n">
        <f aca="false">F596*$H$6</f>
        <v>1.0710967089805</v>
      </c>
      <c r="H596" s="48" t="n">
        <f aca="false">$H$7*G596</f>
        <v>8.15277777777778</v>
      </c>
      <c r="I596" s="49" t="n">
        <f aca="false">0.5*c_rho*'P3 Energie'!F8*'P3 Energie'!F7*(H596-c_Vv)^2+'P3 Energie'!F13+'P3 Energie'!F15+'P3 Energie'!F6*$H$7</f>
        <v>19061.3683563354</v>
      </c>
      <c r="J596" s="50" t="n">
        <f aca="false">I596*H596</f>
        <v>155403.100349568</v>
      </c>
    </row>
    <row r="597" customFormat="false" ht="15" hidden="false" customHeight="false" outlineLevel="0" collapsed="false">
      <c r="A597" s="46" t="n">
        <v>588</v>
      </c>
      <c r="B597" s="47" t="n">
        <f aca="false">A597*$C$6</f>
        <v>1.0760281748177</v>
      </c>
      <c r="C597" s="48" t="n">
        <f aca="false">$C$7*B597</f>
        <v>8.16666666666667</v>
      </c>
      <c r="D597" s="49" t="n">
        <f aca="false">0.5*c_rho*'P3 Energie'!E8*'P3 Energie'!E7*(C597-c_Vv)^2+'P3 Energie'!E13+'P3 Energie'!E15+'P3 Energie'!E6*$C$7</f>
        <v>18206.7498461722</v>
      </c>
      <c r="E597" s="50" t="n">
        <f aca="false">D597*C597</f>
        <v>148688.457077073</v>
      </c>
      <c r="F597" s="46" t="n">
        <v>588</v>
      </c>
      <c r="G597" s="47" t="n">
        <f aca="false">F597*$H$6</f>
        <v>1.07292140524793</v>
      </c>
      <c r="H597" s="48" t="n">
        <f aca="false">$H$7*G597</f>
        <v>8.16666666666667</v>
      </c>
      <c r="I597" s="49" t="n">
        <f aca="false">0.5*c_rho*'P3 Energie'!F8*'P3 Energie'!F7*(H597-c_Vv)^2+'P3 Energie'!F13+'P3 Energie'!F15+'P3 Energie'!F6*$H$7</f>
        <v>19061.4470163296</v>
      </c>
      <c r="J597" s="50" t="n">
        <f aca="false">I597*H597</f>
        <v>155668.483966692</v>
      </c>
    </row>
    <row r="598" customFormat="false" ht="15" hidden="false" customHeight="false" outlineLevel="0" collapsed="false">
      <c r="A598" s="46" t="n">
        <v>589</v>
      </c>
      <c r="B598" s="47" t="n">
        <f aca="false">A598*$C$6</f>
        <v>1.07785815470685</v>
      </c>
      <c r="C598" s="48" t="n">
        <f aca="false">$C$7*B598</f>
        <v>8.18055555555556</v>
      </c>
      <c r="D598" s="49" t="n">
        <f aca="false">0.5*c_rho*'P3 Energie'!E8*'P3 Energie'!E7*(C598-c_Vv)^2+'P3 Energie'!E13+'P3 Energie'!E15+'P3 Energie'!E6*$C$7</f>
        <v>18206.8405366405</v>
      </c>
      <c r="E598" s="50" t="n">
        <f aca="false">D598*C598</f>
        <v>148942.070501128</v>
      </c>
      <c r="F598" s="46" t="n">
        <v>589</v>
      </c>
      <c r="G598" s="47" t="n">
        <f aca="false">F598*$H$6</f>
        <v>1.07474610151536</v>
      </c>
      <c r="H598" s="48" t="n">
        <f aca="false">$H$7*G598</f>
        <v>8.18055555555556</v>
      </c>
      <c r="I598" s="49" t="n">
        <f aca="false">0.5*c_rho*'P3 Energie'!F8*'P3 Energie'!F7*(H598-c_Vv)^2+'P3 Energie'!F13+'P3 Energie'!F15+'P3 Energie'!F6*$H$7</f>
        <v>19061.5258102132</v>
      </c>
      <c r="J598" s="50" t="n">
        <f aca="false">I598*H598</f>
        <v>155933.870864105</v>
      </c>
    </row>
    <row r="599" customFormat="false" ht="15" hidden="false" customHeight="false" outlineLevel="0" collapsed="false">
      <c r="A599" s="46" t="n">
        <v>590</v>
      </c>
      <c r="B599" s="47" t="n">
        <f aca="false">A599*$C$6</f>
        <v>1.07968813459599</v>
      </c>
      <c r="C599" s="48" t="n">
        <f aca="false">$C$7*B599</f>
        <v>8.19444444444445</v>
      </c>
      <c r="D599" s="49" t="n">
        <f aca="false">0.5*c_rho*'P3 Energie'!E8*'P3 Energie'!E7*(C599-c_Vv)^2+'P3 Energie'!E13+'P3 Energie'!E15+'P3 Energie'!E6*$C$7</f>
        <v>18206.9313812132</v>
      </c>
      <c r="E599" s="50" t="n">
        <f aca="false">D599*C599</f>
        <v>149195.687707164</v>
      </c>
      <c r="F599" s="46" t="n">
        <v>590</v>
      </c>
      <c r="G599" s="47" t="n">
        <f aca="false">F599*$H$6</f>
        <v>1.07657079778279</v>
      </c>
      <c r="H599" s="48" t="n">
        <f aca="false">$H$7*G599</f>
        <v>8.19444444444445</v>
      </c>
      <c r="I599" s="49" t="n">
        <f aca="false">0.5*c_rho*'P3 Energie'!F8*'P3 Energie'!F7*(H599-c_Vv)^2+'P3 Energie'!F13+'P3 Energie'!F15+'P3 Energie'!F6*$H$7</f>
        <v>19061.6047379861</v>
      </c>
      <c r="J599" s="50" t="n">
        <f aca="false">I599*H599</f>
        <v>156199.261047386</v>
      </c>
    </row>
    <row r="600" customFormat="false" ht="15" hidden="false" customHeight="false" outlineLevel="0" collapsed="false">
      <c r="A600" s="46" t="n">
        <v>591</v>
      </c>
      <c r="B600" s="47" t="n">
        <f aca="false">A600*$C$6</f>
        <v>1.08151811448514</v>
      </c>
      <c r="C600" s="48" t="n">
        <f aca="false">$C$7*B600</f>
        <v>8.20833333333333</v>
      </c>
      <c r="D600" s="49" t="n">
        <f aca="false">0.5*c_rho*'P3 Energie'!E8*'P3 Energie'!E7*(C600-c_Vv)^2+'P3 Energie'!E13+'P3 Energie'!E15+'P3 Energie'!E6*$C$7</f>
        <v>18207.0223798904</v>
      </c>
      <c r="E600" s="50" t="n">
        <f aca="false">D600*C600</f>
        <v>149449.3087016</v>
      </c>
      <c r="F600" s="46" t="n">
        <v>591</v>
      </c>
      <c r="G600" s="47" t="n">
        <f aca="false">F600*$H$6</f>
        <v>1.07839549405022</v>
      </c>
      <c r="H600" s="48" t="n">
        <f aca="false">$H$7*G600</f>
        <v>8.20833333333333</v>
      </c>
      <c r="I600" s="49" t="n">
        <f aca="false">0.5*c_rho*'P3 Energie'!F8*'P3 Energie'!F7*(H600-c_Vv)^2+'P3 Energie'!F13+'P3 Energie'!F15+'P3 Energie'!F6*$H$7</f>
        <v>19061.6837996484</v>
      </c>
      <c r="J600" s="50" t="n">
        <f aca="false">I600*H600</f>
        <v>156464.654522114</v>
      </c>
    </row>
    <row r="601" customFormat="false" ht="15" hidden="false" customHeight="false" outlineLevel="0" collapsed="false">
      <c r="A601" s="46" t="n">
        <v>592</v>
      </c>
      <c r="B601" s="47" t="n">
        <f aca="false">A601*$C$6</f>
        <v>1.08334809437428</v>
      </c>
      <c r="C601" s="48" t="n">
        <f aca="false">$C$7*B601</f>
        <v>8.22222222222222</v>
      </c>
      <c r="D601" s="49" t="n">
        <f aca="false">0.5*c_rho*'P3 Energie'!E8*'P3 Energie'!E7*(C601-c_Vv)^2+'P3 Energie'!E13+'P3 Energie'!E15+'P3 Energie'!E6*$C$7</f>
        <v>18207.113532672</v>
      </c>
      <c r="E601" s="50" t="n">
        <f aca="false">D601*C601</f>
        <v>149702.933490859</v>
      </c>
      <c r="F601" s="46" t="n">
        <v>592</v>
      </c>
      <c r="G601" s="47" t="n">
        <f aca="false">F601*$H$6</f>
        <v>1.08022019031764</v>
      </c>
      <c r="H601" s="48" t="n">
        <f aca="false">$H$7*G601</f>
        <v>8.22222222222222</v>
      </c>
      <c r="I601" s="49" t="n">
        <f aca="false">0.5*c_rho*'P3 Energie'!F8*'P3 Energie'!F7*(H601-c_Vv)^2+'P3 Energie'!F13+'P3 Energie'!F15+'P3 Energie'!F6*$H$7</f>
        <v>19061.7629952</v>
      </c>
      <c r="J601" s="50" t="n">
        <f aca="false">I601*H601</f>
        <v>156730.051293867</v>
      </c>
    </row>
    <row r="602" customFormat="false" ht="15" hidden="false" customHeight="false" outlineLevel="0" collapsed="false">
      <c r="A602" s="46" t="n">
        <v>593</v>
      </c>
      <c r="B602" s="47" t="n">
        <f aca="false">A602*$C$6</f>
        <v>1.08517807426343</v>
      </c>
      <c r="C602" s="48" t="n">
        <f aca="false">$C$7*B602</f>
        <v>8.23611111111111</v>
      </c>
      <c r="D602" s="49" t="n">
        <f aca="false">0.5*c_rho*'P3 Energie'!E8*'P3 Energie'!E7*(C602-c_Vv)^2+'P3 Energie'!E13+'P3 Energie'!E15+'P3 Energie'!E6*$C$7</f>
        <v>18207.2048395581</v>
      </c>
      <c r="E602" s="50" t="n">
        <f aca="false">D602*C602</f>
        <v>149956.56208136</v>
      </c>
      <c r="F602" s="46" t="n">
        <v>593</v>
      </c>
      <c r="G602" s="47" t="n">
        <f aca="false">F602*$H$6</f>
        <v>1.08204488658507</v>
      </c>
      <c r="H602" s="48" t="n">
        <f aca="false">$H$7*G602</f>
        <v>8.23611111111111</v>
      </c>
      <c r="I602" s="49" t="n">
        <f aca="false">0.5*c_rho*'P3 Energie'!F8*'P3 Energie'!F7*(H602-c_Vv)^2+'P3 Energie'!F13+'P3 Energie'!F15+'P3 Energie'!F6*$H$7</f>
        <v>19061.842324641</v>
      </c>
      <c r="J602" s="50" t="n">
        <f aca="false">I602*H602</f>
        <v>156995.451368224</v>
      </c>
    </row>
    <row r="603" customFormat="false" ht="15" hidden="false" customHeight="false" outlineLevel="0" collapsed="false">
      <c r="A603" s="46" t="n">
        <v>594</v>
      </c>
      <c r="B603" s="47" t="n">
        <f aca="false">A603*$C$6</f>
        <v>1.08700805415258</v>
      </c>
      <c r="C603" s="48" t="n">
        <f aca="false">$C$7*B603</f>
        <v>8.25</v>
      </c>
      <c r="D603" s="49" t="n">
        <f aca="false">0.5*c_rho*'P3 Energie'!E8*'P3 Energie'!E7*(C603-c_Vv)^2+'P3 Energie'!E13+'P3 Energie'!E15+'P3 Energie'!E6*$C$7</f>
        <v>18207.2963005486</v>
      </c>
      <c r="E603" s="50" t="n">
        <f aca="false">D603*C603</f>
        <v>150210.194479526</v>
      </c>
      <c r="F603" s="46" t="n">
        <v>594</v>
      </c>
      <c r="G603" s="47" t="n">
        <f aca="false">F603*$H$6</f>
        <v>1.0838695828525</v>
      </c>
      <c r="H603" s="48" t="n">
        <f aca="false">$H$7*G603</f>
        <v>8.25</v>
      </c>
      <c r="I603" s="49" t="n">
        <f aca="false">0.5*c_rho*'P3 Energie'!F8*'P3 Energie'!F7*(H603-c_Vv)^2+'P3 Energie'!F13+'P3 Energie'!F15+'P3 Energie'!F6*$H$7</f>
        <v>19061.9217879713</v>
      </c>
      <c r="J603" s="50" t="n">
        <f aca="false">I603*H603</f>
        <v>157260.854750763</v>
      </c>
    </row>
    <row r="604" customFormat="false" ht="15" hidden="false" customHeight="false" outlineLevel="0" collapsed="false">
      <c r="A604" s="46" t="n">
        <v>595</v>
      </c>
      <c r="B604" s="47" t="n">
        <f aca="false">A604*$C$6</f>
        <v>1.08883803404172</v>
      </c>
      <c r="C604" s="48" t="n">
        <f aca="false">$C$7*B604</f>
        <v>8.26388888888889</v>
      </c>
      <c r="D604" s="49" t="n">
        <f aca="false">0.5*c_rho*'P3 Energie'!E8*'P3 Energie'!E7*(C604-c_Vv)^2+'P3 Energie'!E13+'P3 Energie'!E15+'P3 Energie'!E6*$C$7</f>
        <v>18207.3879156436</v>
      </c>
      <c r="E604" s="50" t="n">
        <f aca="false">D604*C604</f>
        <v>150463.830691777</v>
      </c>
      <c r="F604" s="46" t="n">
        <v>595</v>
      </c>
      <c r="G604" s="47" t="n">
        <f aca="false">F604*$H$6</f>
        <v>1.08569427911993</v>
      </c>
      <c r="H604" s="48" t="n">
        <f aca="false">$H$7*G604</f>
        <v>8.26388888888889</v>
      </c>
      <c r="I604" s="49" t="n">
        <f aca="false">0.5*c_rho*'P3 Energie'!F8*'P3 Energie'!F7*(H604-c_Vv)^2+'P3 Energie'!F13+'P3 Energie'!F15+'P3 Energie'!F6*$H$7</f>
        <v>19062.001385191</v>
      </c>
      <c r="J604" s="50" t="n">
        <f aca="false">I604*H604</f>
        <v>157526.261447064</v>
      </c>
    </row>
    <row r="605" customFormat="false" ht="15" hidden="false" customHeight="false" outlineLevel="0" collapsed="false">
      <c r="A605" s="46" t="n">
        <v>596</v>
      </c>
      <c r="B605" s="47" t="n">
        <f aca="false">A605*$C$6</f>
        <v>1.09066801393087</v>
      </c>
      <c r="C605" s="48" t="n">
        <f aca="false">$C$7*B605</f>
        <v>8.27777777777778</v>
      </c>
      <c r="D605" s="49" t="n">
        <f aca="false">0.5*c_rho*'P3 Energie'!E8*'P3 Energie'!E7*(C605-c_Vv)^2+'P3 Energie'!E13+'P3 Energie'!E15+'P3 Energie'!E6*$C$7</f>
        <v>18207.479684843</v>
      </c>
      <c r="E605" s="50" t="n">
        <f aca="false">D605*C605</f>
        <v>150717.470724534</v>
      </c>
      <c r="F605" s="46" t="n">
        <v>596</v>
      </c>
      <c r="G605" s="47" t="n">
        <f aca="false">F605*$H$6</f>
        <v>1.08751897538736</v>
      </c>
      <c r="H605" s="48" t="n">
        <f aca="false">$H$7*G605</f>
        <v>8.27777777777778</v>
      </c>
      <c r="I605" s="49" t="n">
        <f aca="false">0.5*c_rho*'P3 Energie'!F8*'P3 Energie'!F7*(H605-c_Vv)^2+'P3 Energie'!F13+'P3 Energie'!F15+'P3 Energie'!F6*$H$7</f>
        <v>19062.0811163</v>
      </c>
      <c r="J605" s="50" t="n">
        <f aca="false">I605*H605</f>
        <v>157791.671462706</v>
      </c>
    </row>
    <row r="606" customFormat="false" ht="15" hidden="false" customHeight="false" outlineLevel="0" collapsed="false">
      <c r="A606" s="46" t="n">
        <v>597</v>
      </c>
      <c r="B606" s="47" t="n">
        <f aca="false">A606*$C$6</f>
        <v>1.09249799382001</v>
      </c>
      <c r="C606" s="48" t="n">
        <f aca="false">$C$7*B606</f>
        <v>8.29166666666667</v>
      </c>
      <c r="D606" s="49" t="n">
        <f aca="false">0.5*c_rho*'P3 Energie'!E8*'P3 Energie'!E7*(C606-c_Vv)^2+'P3 Energie'!E13+'P3 Energie'!E15+'P3 Energie'!E6*$C$7</f>
        <v>18207.5716081469</v>
      </c>
      <c r="E606" s="50" t="n">
        <f aca="false">D606*C606</f>
        <v>150971.114584218</v>
      </c>
      <c r="F606" s="46" t="n">
        <v>597</v>
      </c>
      <c r="G606" s="47" t="n">
        <f aca="false">F606*$H$6</f>
        <v>1.08934367165479</v>
      </c>
      <c r="H606" s="48" t="n">
        <f aca="false">$H$7*G606</f>
        <v>8.29166666666667</v>
      </c>
      <c r="I606" s="49" t="n">
        <f aca="false">0.5*c_rho*'P3 Energie'!F8*'P3 Energie'!F7*(H606-c_Vv)^2+'P3 Energie'!F13+'P3 Energie'!F15+'P3 Energie'!F6*$H$7</f>
        <v>19062.1609812984</v>
      </c>
      <c r="J606" s="50" t="n">
        <f aca="false">I606*H606</f>
        <v>158057.084803266</v>
      </c>
    </row>
    <row r="607" customFormat="false" ht="15" hidden="false" customHeight="false" outlineLevel="0" collapsed="false">
      <c r="A607" s="46" t="n">
        <v>598</v>
      </c>
      <c r="B607" s="47" t="n">
        <f aca="false">A607*$C$6</f>
        <v>1.09432797370916</v>
      </c>
      <c r="C607" s="48" t="n">
        <f aca="false">$C$7*B607</f>
        <v>8.30555555555556</v>
      </c>
      <c r="D607" s="49" t="n">
        <f aca="false">0.5*c_rho*'P3 Energie'!E8*'P3 Energie'!E7*(C607-c_Vv)^2+'P3 Energie'!E13+'P3 Energie'!E15+'P3 Energie'!E6*$C$7</f>
        <v>18207.6636855552</v>
      </c>
      <c r="E607" s="50" t="n">
        <f aca="false">D607*C607</f>
        <v>151224.76227725</v>
      </c>
      <c r="F607" s="46" t="n">
        <v>598</v>
      </c>
      <c r="G607" s="47" t="n">
        <f aca="false">F607*$H$6</f>
        <v>1.09116836792222</v>
      </c>
      <c r="H607" s="48" t="n">
        <f aca="false">$H$7*G607</f>
        <v>8.30555555555556</v>
      </c>
      <c r="I607" s="49" t="n">
        <f aca="false">0.5*c_rho*'P3 Energie'!F8*'P3 Energie'!F7*(H607-c_Vv)^2+'P3 Energie'!F13+'P3 Energie'!F15+'P3 Energie'!F6*$H$7</f>
        <v>19062.2409801861</v>
      </c>
      <c r="J607" s="50" t="n">
        <f aca="false">I607*H607</f>
        <v>158322.501474324</v>
      </c>
    </row>
    <row r="608" customFormat="false" ht="15" hidden="false" customHeight="false" outlineLevel="0" collapsed="false">
      <c r="A608" s="46" t="n">
        <v>599</v>
      </c>
      <c r="B608" s="47" t="n">
        <f aca="false">A608*$C$6</f>
        <v>1.0961579535983</v>
      </c>
      <c r="C608" s="48" t="n">
        <f aca="false">$C$7*B608</f>
        <v>8.31944444444445</v>
      </c>
      <c r="D608" s="49" t="n">
        <f aca="false">0.5*c_rho*'P3 Energie'!E8*'P3 Energie'!E7*(C608-c_Vv)^2+'P3 Energie'!E13+'P3 Energie'!E15+'P3 Energie'!E6*$C$7</f>
        <v>18207.755917068</v>
      </c>
      <c r="E608" s="50" t="n">
        <f aca="false">D608*C608</f>
        <v>151478.413810052</v>
      </c>
      <c r="F608" s="46" t="n">
        <v>599</v>
      </c>
      <c r="G608" s="47" t="n">
        <f aca="false">F608*$H$6</f>
        <v>1.09299306418964</v>
      </c>
      <c r="H608" s="48" t="n">
        <f aca="false">$H$7*G608</f>
        <v>8.31944444444445</v>
      </c>
      <c r="I608" s="49" t="n">
        <f aca="false">0.5*c_rho*'P3 Energie'!F8*'P3 Energie'!F7*(H608-c_Vv)^2+'P3 Energie'!F13+'P3 Energie'!F15+'P3 Energie'!F6*$H$7</f>
        <v>19062.3211129632</v>
      </c>
      <c r="J608" s="50" t="n">
        <f aca="false">I608*H608</f>
        <v>158587.921481458</v>
      </c>
    </row>
    <row r="609" customFormat="false" ht="15" hidden="false" customHeight="false" outlineLevel="0" collapsed="false">
      <c r="A609" s="46" t="n">
        <v>600</v>
      </c>
      <c r="B609" s="47" t="n">
        <f aca="false">A609*$C$6</f>
        <v>1.09798793348745</v>
      </c>
      <c r="C609" s="48" t="n">
        <f aca="false">$C$7*B609</f>
        <v>8.33333333333333</v>
      </c>
      <c r="D609" s="49" t="n">
        <f aca="false">0.5*c_rho*'P3 Energie'!E8*'P3 Energie'!E7*(C609-c_Vv)^2+'P3 Energie'!E13+'P3 Energie'!E15+'P3 Energie'!E6*$C$7</f>
        <v>18207.8483026852</v>
      </c>
      <c r="E609" s="50" t="n">
        <f aca="false">D609*C609</f>
        <v>151732.069189043</v>
      </c>
      <c r="F609" s="46" t="n">
        <v>600</v>
      </c>
      <c r="G609" s="47" t="n">
        <f aca="false">F609*$H$6</f>
        <v>1.09481776045707</v>
      </c>
      <c r="H609" s="48" t="n">
        <f aca="false">$H$7*G609</f>
        <v>8.33333333333333</v>
      </c>
      <c r="I609" s="49" t="n">
        <f aca="false">0.5*c_rho*'P3 Energie'!F8*'P3 Energie'!F7*(H609-c_Vv)^2+'P3 Energie'!F13+'P3 Energie'!F15+'P3 Energie'!F6*$H$7</f>
        <v>19062.4013796296</v>
      </c>
      <c r="J609" s="50" t="n">
        <f aca="false">I609*H609</f>
        <v>158853.344830247</v>
      </c>
    </row>
    <row r="610" customFormat="false" ht="15" hidden="false" customHeight="false" outlineLevel="0" collapsed="false">
      <c r="A610" s="46" t="n">
        <v>601</v>
      </c>
      <c r="B610" s="47" t="n">
        <f aca="false">A610*$C$6</f>
        <v>1.0998179133766</v>
      </c>
      <c r="C610" s="48" t="n">
        <f aca="false">$C$7*B610</f>
        <v>8.34722222222222</v>
      </c>
      <c r="D610" s="49" t="n">
        <f aca="false">0.5*c_rho*'P3 Energie'!E8*'P3 Energie'!E7*(C610-c_Vv)^2+'P3 Energie'!E13+'P3 Energie'!E15+'P3 Energie'!E6*$C$7</f>
        <v>18207.9408424069</v>
      </c>
      <c r="E610" s="50" t="n">
        <f aca="false">D610*C610</f>
        <v>151985.728420646</v>
      </c>
      <c r="F610" s="46" t="n">
        <v>601</v>
      </c>
      <c r="G610" s="47" t="n">
        <f aca="false">F610*$H$6</f>
        <v>1.0966424567245</v>
      </c>
      <c r="H610" s="48" t="n">
        <f aca="false">$H$7*G610</f>
        <v>8.34722222222222</v>
      </c>
      <c r="I610" s="49" t="n">
        <f aca="false">0.5*c_rho*'P3 Energie'!F8*'P3 Energie'!F7*(H610-c_Vv)^2+'P3 Energie'!F13+'P3 Energie'!F15+'P3 Energie'!F6*$H$7</f>
        <v>19062.4817801854</v>
      </c>
      <c r="J610" s="50" t="n">
        <f aca="false">I610*H610</f>
        <v>159118.77152627</v>
      </c>
    </row>
    <row r="611" customFormat="false" ht="15" hidden="false" customHeight="false" outlineLevel="0" collapsed="false">
      <c r="A611" s="46" t="n">
        <v>602</v>
      </c>
      <c r="B611" s="47" t="n">
        <f aca="false">A611*$C$6</f>
        <v>1.10164789326574</v>
      </c>
      <c r="C611" s="48" t="n">
        <f aca="false">$C$7*B611</f>
        <v>8.36111111111111</v>
      </c>
      <c r="D611" s="49" t="n">
        <f aca="false">0.5*c_rho*'P3 Energie'!E8*'P3 Energie'!E7*(C611-c_Vv)^2+'P3 Energie'!E13+'P3 Energie'!E15+'P3 Energie'!E6*$C$7</f>
        <v>18208.033536233</v>
      </c>
      <c r="E611" s="50" t="n">
        <f aca="false">D611*C611</f>
        <v>152239.391511281</v>
      </c>
      <c r="F611" s="46" t="n">
        <v>602</v>
      </c>
      <c r="G611" s="47" t="n">
        <f aca="false">F611*$H$6</f>
        <v>1.09846715299193</v>
      </c>
      <c r="H611" s="48" t="n">
        <f aca="false">$H$7*G611</f>
        <v>8.36111111111111</v>
      </c>
      <c r="I611" s="49" t="n">
        <f aca="false">0.5*c_rho*'P3 Energie'!F8*'P3 Energie'!F7*(H611-c_Vv)^2+'P3 Energie'!F13+'P3 Energie'!F15+'P3 Energie'!F6*$H$7</f>
        <v>19062.5623146306</v>
      </c>
      <c r="J611" s="50" t="n">
        <f aca="false">I611*H611</f>
        <v>159384.201575106</v>
      </c>
    </row>
    <row r="612" customFormat="false" ht="15" hidden="false" customHeight="false" outlineLevel="0" collapsed="false">
      <c r="A612" s="46" t="n">
        <v>603</v>
      </c>
      <c r="B612" s="47" t="n">
        <f aca="false">A612*$C$6</f>
        <v>1.10347787315489</v>
      </c>
      <c r="C612" s="48" t="n">
        <f aca="false">$C$7*B612</f>
        <v>8.375</v>
      </c>
      <c r="D612" s="49" t="n">
        <f aca="false">0.5*c_rho*'P3 Energie'!E8*'P3 Energie'!E7*(C612-c_Vv)^2+'P3 Energie'!E13+'P3 Energie'!E15+'P3 Energie'!E6*$C$7</f>
        <v>18208.1263841635</v>
      </c>
      <c r="E612" s="50" t="n">
        <f aca="false">D612*C612</f>
        <v>152493.05846737</v>
      </c>
      <c r="F612" s="46" t="n">
        <v>603</v>
      </c>
      <c r="G612" s="47" t="n">
        <f aca="false">F612*$H$6</f>
        <v>1.10029184925936</v>
      </c>
      <c r="H612" s="48" t="n">
        <f aca="false">$H$7*G612</f>
        <v>8.375</v>
      </c>
      <c r="I612" s="49" t="n">
        <f aca="false">0.5*c_rho*'P3 Energie'!F8*'P3 Energie'!F7*(H612-c_Vv)^2+'P3 Energie'!F13+'P3 Energie'!F15+'P3 Energie'!F6*$H$7</f>
        <v>19062.642982965</v>
      </c>
      <c r="J612" s="50" t="n">
        <f aca="false">I612*H612</f>
        <v>159649.634982332</v>
      </c>
    </row>
    <row r="613" customFormat="false" ht="15" hidden="false" customHeight="false" outlineLevel="0" collapsed="false">
      <c r="A613" s="46" t="n">
        <v>604</v>
      </c>
      <c r="B613" s="47" t="n">
        <f aca="false">A613*$C$6</f>
        <v>1.10530785304403</v>
      </c>
      <c r="C613" s="48" t="n">
        <f aca="false">$C$7*B613</f>
        <v>8.38888888888889</v>
      </c>
      <c r="D613" s="49" t="n">
        <f aca="false">0.5*c_rho*'P3 Energie'!E8*'P3 Energie'!E7*(C613-c_Vv)^2+'P3 Energie'!E13+'P3 Energie'!E15+'P3 Energie'!E6*$C$7</f>
        <v>18208.2193861986</v>
      </c>
      <c r="E613" s="50" t="n">
        <f aca="false">D613*C613</f>
        <v>152746.729295332</v>
      </c>
      <c r="F613" s="46" t="n">
        <v>604</v>
      </c>
      <c r="G613" s="47" t="n">
        <f aca="false">F613*$H$6</f>
        <v>1.10211654552679</v>
      </c>
      <c r="H613" s="48" t="n">
        <f aca="false">$H$7*G613</f>
        <v>8.38888888888889</v>
      </c>
      <c r="I613" s="49" t="n">
        <f aca="false">0.5*c_rho*'P3 Energie'!F8*'P3 Energie'!F7*(H613-c_Vv)^2+'P3 Energie'!F13+'P3 Energie'!F15+'P3 Energie'!F6*$H$7</f>
        <v>19062.7237851889</v>
      </c>
      <c r="J613" s="50" t="n">
        <f aca="false">I613*H613</f>
        <v>159915.071753529</v>
      </c>
    </row>
    <row r="614" customFormat="false" ht="15" hidden="false" customHeight="false" outlineLevel="0" collapsed="false">
      <c r="A614" s="46" t="n">
        <v>605</v>
      </c>
      <c r="B614" s="47" t="n">
        <f aca="false">A614*$C$6</f>
        <v>1.10713783293318</v>
      </c>
      <c r="C614" s="48" t="n">
        <f aca="false">$C$7*B614</f>
        <v>8.40277777777778</v>
      </c>
      <c r="D614" s="49" t="n">
        <f aca="false">0.5*c_rho*'P3 Energie'!E8*'P3 Energie'!E7*(C614-c_Vv)^2+'P3 Energie'!E13+'P3 Energie'!E15+'P3 Energie'!E6*$C$7</f>
        <v>18208.312542338</v>
      </c>
      <c r="E614" s="50" t="n">
        <f aca="false">D614*C614</f>
        <v>153000.40400159</v>
      </c>
      <c r="F614" s="46" t="n">
        <v>605</v>
      </c>
      <c r="G614" s="47" t="n">
        <f aca="false">F614*$H$6</f>
        <v>1.10394124179421</v>
      </c>
      <c r="H614" s="48" t="n">
        <f aca="false">$H$7*G614</f>
        <v>8.40277777777778</v>
      </c>
      <c r="I614" s="49" t="n">
        <f aca="false">0.5*c_rho*'P3 Energie'!F8*'P3 Energie'!F7*(H614-c_Vv)^2+'P3 Energie'!F13+'P3 Energie'!F15+'P3 Energie'!F6*$H$7</f>
        <v>19062.8047213021</v>
      </c>
      <c r="J614" s="50" t="n">
        <f aca="false">I614*H614</f>
        <v>160180.511894274</v>
      </c>
    </row>
    <row r="615" customFormat="false" ht="15" hidden="false" customHeight="false" outlineLevel="0" collapsed="false">
      <c r="A615" s="46" t="n">
        <v>606</v>
      </c>
      <c r="B615" s="47" t="n">
        <f aca="false">A615*$C$6</f>
        <v>1.10896781282232</v>
      </c>
      <c r="C615" s="48" t="n">
        <f aca="false">$C$7*B615</f>
        <v>8.41666666666667</v>
      </c>
      <c r="D615" s="49" t="n">
        <f aca="false">0.5*c_rho*'P3 Energie'!E8*'P3 Energie'!E7*(C615-c_Vv)^2+'P3 Energie'!E13+'P3 Energie'!E15+'P3 Energie'!E6*$C$7</f>
        <v>18208.4058525819</v>
      </c>
      <c r="E615" s="50" t="n">
        <f aca="false">D615*C615</f>
        <v>153254.082592565</v>
      </c>
      <c r="F615" s="46" t="n">
        <v>606</v>
      </c>
      <c r="G615" s="47" t="n">
        <f aca="false">F615*$H$6</f>
        <v>1.10576593806164</v>
      </c>
      <c r="H615" s="48" t="n">
        <f aca="false">$H$7*G615</f>
        <v>8.41666666666667</v>
      </c>
      <c r="I615" s="49" t="n">
        <f aca="false">0.5*c_rho*'P3 Energie'!F8*'P3 Energie'!F7*(H615-c_Vv)^2+'P3 Energie'!F13+'P3 Energie'!F15+'P3 Energie'!F6*$H$7</f>
        <v>19062.8857913046</v>
      </c>
      <c r="J615" s="50" t="n">
        <f aca="false">I615*H615</f>
        <v>160445.955410147</v>
      </c>
    </row>
    <row r="616" customFormat="false" ht="15" hidden="false" customHeight="false" outlineLevel="0" collapsed="false">
      <c r="A616" s="46" t="n">
        <v>607</v>
      </c>
      <c r="B616" s="47" t="n">
        <f aca="false">A616*$C$6</f>
        <v>1.11079779271147</v>
      </c>
      <c r="C616" s="48" t="n">
        <f aca="false">$C$7*B616</f>
        <v>8.43055555555556</v>
      </c>
      <c r="D616" s="49" t="n">
        <f aca="false">0.5*c_rho*'P3 Energie'!E8*'P3 Energie'!E7*(C616-c_Vv)^2+'P3 Energie'!E13+'P3 Energie'!E15+'P3 Energie'!E6*$C$7</f>
        <v>18208.4993169303</v>
      </c>
      <c r="E616" s="50" t="n">
        <f aca="false">D616*C616</f>
        <v>153507.765074676</v>
      </c>
      <c r="F616" s="46" t="n">
        <v>607</v>
      </c>
      <c r="G616" s="47" t="n">
        <f aca="false">F616*$H$6</f>
        <v>1.10759063432907</v>
      </c>
      <c r="H616" s="48" t="n">
        <f aca="false">$H$7*G616</f>
        <v>8.43055555555556</v>
      </c>
      <c r="I616" s="49" t="n">
        <f aca="false">0.5*c_rho*'P3 Energie'!F8*'P3 Energie'!F7*(H616-c_Vv)^2+'P3 Energie'!F13+'P3 Energie'!F15+'P3 Energie'!F6*$H$7</f>
        <v>19062.9669951965</v>
      </c>
      <c r="J616" s="50" t="n">
        <f aca="false">I616*H616</f>
        <v>160711.402306726</v>
      </c>
    </row>
    <row r="617" customFormat="false" ht="15" hidden="false" customHeight="false" outlineLevel="0" collapsed="false">
      <c r="A617" s="46" t="n">
        <v>608</v>
      </c>
      <c r="B617" s="47" t="n">
        <f aca="false">A617*$C$6</f>
        <v>1.11262777260062</v>
      </c>
      <c r="C617" s="48" t="n">
        <f aca="false">$C$7*B617</f>
        <v>8.44444444444445</v>
      </c>
      <c r="D617" s="49" t="n">
        <f aca="false">0.5*c_rho*'P3 Energie'!E8*'P3 Energie'!E7*(C617-c_Vv)^2+'P3 Energie'!E13+'P3 Energie'!E15+'P3 Energie'!E6*$C$7</f>
        <v>18208.5929353831</v>
      </c>
      <c r="E617" s="50" t="n">
        <f aca="false">D617*C617</f>
        <v>153761.451454346</v>
      </c>
      <c r="F617" s="46" t="n">
        <v>608</v>
      </c>
      <c r="G617" s="47" t="n">
        <f aca="false">F617*$H$6</f>
        <v>1.1094153305965</v>
      </c>
      <c r="H617" s="48" t="n">
        <f aca="false">$H$7*G617</f>
        <v>8.44444444444445</v>
      </c>
      <c r="I617" s="49" t="n">
        <f aca="false">0.5*c_rho*'P3 Energie'!F8*'P3 Energie'!F7*(H617-c_Vv)^2+'P3 Energie'!F13+'P3 Energie'!F15+'P3 Energie'!F6*$H$7</f>
        <v>19063.0483329778</v>
      </c>
      <c r="J617" s="50" t="n">
        <f aca="false">I617*H617</f>
        <v>160976.85258959</v>
      </c>
    </row>
    <row r="618" customFormat="false" ht="15" hidden="false" customHeight="false" outlineLevel="0" collapsed="false">
      <c r="A618" s="46" t="n">
        <v>609</v>
      </c>
      <c r="B618" s="47" t="n">
        <f aca="false">A618*$C$6</f>
        <v>1.11445775248976</v>
      </c>
      <c r="C618" s="48" t="n">
        <f aca="false">$C$7*B618</f>
        <v>8.45833333333333</v>
      </c>
      <c r="D618" s="49" t="n">
        <f aca="false">0.5*c_rho*'P3 Energie'!E8*'P3 Energie'!E7*(C618-c_Vv)^2+'P3 Energie'!E13+'P3 Energie'!E15+'P3 Energie'!E6*$C$7</f>
        <v>18208.6867079404</v>
      </c>
      <c r="E618" s="50" t="n">
        <f aca="false">D618*C618</f>
        <v>154015.141737996</v>
      </c>
      <c r="F618" s="46" t="n">
        <v>609</v>
      </c>
      <c r="G618" s="47" t="n">
        <f aca="false">F618*$H$6</f>
        <v>1.11124002686393</v>
      </c>
      <c r="H618" s="48" t="n">
        <f aca="false">$H$7*G618</f>
        <v>8.45833333333333</v>
      </c>
      <c r="I618" s="49" t="n">
        <f aca="false">0.5*c_rho*'P3 Energie'!F8*'P3 Energie'!F7*(H618-c_Vv)^2+'P3 Energie'!F13+'P3 Energie'!F15+'P3 Energie'!F6*$H$7</f>
        <v>19063.1298046484</v>
      </c>
      <c r="J618" s="50" t="n">
        <f aca="false">I618*H618</f>
        <v>161242.306264318</v>
      </c>
    </row>
    <row r="619" customFormat="false" ht="15" hidden="false" customHeight="false" outlineLevel="0" collapsed="false">
      <c r="A619" s="46" t="n">
        <v>610</v>
      </c>
      <c r="B619" s="47" t="n">
        <f aca="false">A619*$C$6</f>
        <v>1.11628773237891</v>
      </c>
      <c r="C619" s="48" t="n">
        <f aca="false">$C$7*B619</f>
        <v>8.47222222222222</v>
      </c>
      <c r="D619" s="49" t="n">
        <f aca="false">0.5*c_rho*'P3 Energie'!E8*'P3 Energie'!E7*(C619-c_Vv)^2+'P3 Energie'!E13+'P3 Energie'!E15+'P3 Energie'!E6*$C$7</f>
        <v>18208.7806346021</v>
      </c>
      <c r="E619" s="50" t="n">
        <f aca="false">D619*C619</f>
        <v>154268.835932045</v>
      </c>
      <c r="F619" s="46" t="n">
        <v>610</v>
      </c>
      <c r="G619" s="47" t="n">
        <f aca="false">F619*$H$6</f>
        <v>1.11306472313136</v>
      </c>
      <c r="H619" s="48" t="n">
        <f aca="false">$H$7*G619</f>
        <v>8.47222222222222</v>
      </c>
      <c r="I619" s="49" t="n">
        <f aca="false">0.5*c_rho*'P3 Energie'!F8*'P3 Energie'!F7*(H619-c_Vv)^2+'P3 Energie'!F13+'P3 Energie'!F15+'P3 Energie'!F6*$H$7</f>
        <v>19063.2114102083</v>
      </c>
      <c r="J619" s="50" t="n">
        <f aca="false">I619*H619</f>
        <v>161507.763336487</v>
      </c>
    </row>
    <row r="620" customFormat="false" ht="15" hidden="false" customHeight="false" outlineLevel="0" collapsed="false">
      <c r="A620" s="46" t="n">
        <v>611</v>
      </c>
      <c r="B620" s="47" t="n">
        <f aca="false">A620*$C$6</f>
        <v>1.11811771226805</v>
      </c>
      <c r="C620" s="48" t="n">
        <f aca="false">$C$7*B620</f>
        <v>8.48611111111111</v>
      </c>
      <c r="D620" s="49" t="n">
        <f aca="false">0.5*c_rho*'P3 Energie'!E8*'P3 Energie'!E7*(C620-c_Vv)^2+'P3 Energie'!E13+'P3 Energie'!E15+'P3 Energie'!E6*$C$7</f>
        <v>18208.8747153683</v>
      </c>
      <c r="E620" s="50" t="n">
        <f aca="false">D620*C620</f>
        <v>154522.534042917</v>
      </c>
      <c r="F620" s="46" t="n">
        <v>611</v>
      </c>
      <c r="G620" s="47" t="n">
        <f aca="false">F620*$H$6</f>
        <v>1.11488941939879</v>
      </c>
      <c r="H620" s="48" t="n">
        <f aca="false">$H$7*G620</f>
        <v>8.48611111111111</v>
      </c>
      <c r="I620" s="49" t="n">
        <f aca="false">0.5*c_rho*'P3 Energie'!F8*'P3 Energie'!F7*(H620-c_Vv)^2+'P3 Energie'!F13+'P3 Energie'!F15+'P3 Energie'!F6*$H$7</f>
        <v>19063.2931496576</v>
      </c>
      <c r="J620" s="50" t="n">
        <f aca="false">I620*H620</f>
        <v>161773.223811678</v>
      </c>
    </row>
    <row r="621" customFormat="false" ht="15" hidden="false" customHeight="false" outlineLevel="0" collapsed="false">
      <c r="A621" s="46" t="n">
        <v>612</v>
      </c>
      <c r="B621" s="47" t="n">
        <f aca="false">A621*$C$6</f>
        <v>1.1199476921572</v>
      </c>
      <c r="C621" s="48" t="n">
        <f aca="false">$C$7*B621</f>
        <v>8.5</v>
      </c>
      <c r="D621" s="49" t="n">
        <f aca="false">0.5*c_rho*'P3 Energie'!E8*'P3 Energie'!E7*(C621-c_Vv)^2+'P3 Energie'!E13+'P3 Energie'!E15+'P3 Energie'!E6*$C$7</f>
        <v>18208.9689502389</v>
      </c>
      <c r="E621" s="50" t="n">
        <f aca="false">D621*C621</f>
        <v>154776.23607703</v>
      </c>
      <c r="F621" s="46" t="n">
        <v>612</v>
      </c>
      <c r="G621" s="47" t="n">
        <f aca="false">F621*$H$6</f>
        <v>1.11671411566621</v>
      </c>
      <c r="H621" s="48" t="n">
        <f aca="false">$H$7*G621</f>
        <v>8.5</v>
      </c>
      <c r="I621" s="49" t="n">
        <f aca="false">0.5*c_rho*'P3 Energie'!F8*'P3 Energie'!F7*(H621-c_Vv)^2+'P3 Energie'!F13+'P3 Energie'!F15+'P3 Energie'!F6*$H$7</f>
        <v>19063.3750229963</v>
      </c>
      <c r="J621" s="50" t="n">
        <f aca="false">I621*H621</f>
        <v>162038.687695469</v>
      </c>
    </row>
    <row r="622" customFormat="false" ht="15" hidden="false" customHeight="false" outlineLevel="0" collapsed="false">
      <c r="A622" s="46" t="n">
        <v>613</v>
      </c>
      <c r="B622" s="47" t="n">
        <f aca="false">A622*$C$6</f>
        <v>1.12177767204634</v>
      </c>
      <c r="C622" s="48" t="n">
        <f aca="false">$C$7*B622</f>
        <v>8.51388888888889</v>
      </c>
      <c r="D622" s="49" t="n">
        <f aca="false">0.5*c_rho*'P3 Energie'!E8*'P3 Energie'!E7*(C622-c_Vv)^2+'P3 Energie'!E13+'P3 Energie'!E15+'P3 Energie'!E6*$C$7</f>
        <v>18209.0633392139</v>
      </c>
      <c r="E622" s="50" t="n">
        <f aca="false">D622*C622</f>
        <v>155029.942040807</v>
      </c>
      <c r="F622" s="46" t="n">
        <v>613</v>
      </c>
      <c r="G622" s="47" t="n">
        <f aca="false">F622*$H$6</f>
        <v>1.11853881193364</v>
      </c>
      <c r="H622" s="48" t="n">
        <f aca="false">$H$7*G622</f>
        <v>8.51388888888889</v>
      </c>
      <c r="I622" s="49" t="n">
        <f aca="false">0.5*c_rho*'P3 Energie'!F8*'P3 Energie'!F7*(H622-c_Vv)^2+'P3 Energie'!F13+'P3 Energie'!F15+'P3 Energie'!F6*$H$7</f>
        <v>19063.4570302243</v>
      </c>
      <c r="J622" s="50" t="n">
        <f aca="false">I622*H622</f>
        <v>162304.154993438</v>
      </c>
    </row>
    <row r="623" customFormat="false" ht="15" hidden="false" customHeight="false" outlineLevel="0" collapsed="false">
      <c r="A623" s="46" t="n">
        <v>614</v>
      </c>
      <c r="B623" s="47" t="n">
        <f aca="false">A623*$C$6</f>
        <v>1.12360765193549</v>
      </c>
      <c r="C623" s="48" t="n">
        <f aca="false">$C$7*B623</f>
        <v>8.52777777777778</v>
      </c>
      <c r="D623" s="49" t="n">
        <f aca="false">0.5*c_rho*'P3 Energie'!E8*'P3 Energie'!E7*(C623-c_Vv)^2+'P3 Energie'!E13+'P3 Energie'!E15+'P3 Energie'!E6*$C$7</f>
        <v>18209.1578822934</v>
      </c>
      <c r="E623" s="50" t="n">
        <f aca="false">D623*C623</f>
        <v>155283.651940669</v>
      </c>
      <c r="F623" s="46" t="n">
        <v>614</v>
      </c>
      <c r="G623" s="47" t="n">
        <f aca="false">F623*$H$6</f>
        <v>1.12036350820107</v>
      </c>
      <c r="H623" s="48" t="n">
        <f aca="false">$H$7*G623</f>
        <v>8.52777777777778</v>
      </c>
      <c r="I623" s="49" t="n">
        <f aca="false">0.5*c_rho*'P3 Energie'!F8*'P3 Energie'!F7*(H623-c_Vv)^2+'P3 Energie'!F13+'P3 Energie'!F15+'P3 Energie'!F6*$H$7</f>
        <v>19063.5391713417</v>
      </c>
      <c r="J623" s="50" t="n">
        <f aca="false">I623*H623</f>
        <v>162569.625711164</v>
      </c>
    </row>
    <row r="624" customFormat="false" ht="15" hidden="false" customHeight="false" outlineLevel="0" collapsed="false">
      <c r="A624" s="46" t="n">
        <v>615</v>
      </c>
      <c r="B624" s="47" t="n">
        <f aca="false">A624*$C$6</f>
        <v>1.12543763182464</v>
      </c>
      <c r="C624" s="48" t="n">
        <f aca="false">$C$7*B624</f>
        <v>8.54166666666667</v>
      </c>
      <c r="D624" s="49" t="n">
        <f aca="false">0.5*c_rho*'P3 Energie'!E8*'P3 Energie'!E7*(C624-c_Vv)^2+'P3 Energie'!E13+'P3 Energie'!E15+'P3 Energie'!E6*$C$7</f>
        <v>18209.2525794774</v>
      </c>
      <c r="E624" s="50" t="n">
        <f aca="false">D624*C624</f>
        <v>155537.365783036</v>
      </c>
      <c r="F624" s="46" t="n">
        <v>615</v>
      </c>
      <c r="G624" s="47" t="n">
        <f aca="false">F624*$H$6</f>
        <v>1.1221882044685</v>
      </c>
      <c r="H624" s="48" t="n">
        <f aca="false">$H$7*G624</f>
        <v>8.54166666666667</v>
      </c>
      <c r="I624" s="49" t="n">
        <f aca="false">0.5*c_rho*'P3 Energie'!F8*'P3 Energie'!F7*(H624-c_Vv)^2+'P3 Energie'!F13+'P3 Energie'!F15+'P3 Energie'!F6*$H$7</f>
        <v>19063.6214463484</v>
      </c>
      <c r="J624" s="50" t="n">
        <f aca="false">I624*H624</f>
        <v>162835.099854226</v>
      </c>
    </row>
    <row r="625" customFormat="false" ht="15" hidden="false" customHeight="false" outlineLevel="0" collapsed="false">
      <c r="A625" s="46" t="n">
        <v>616</v>
      </c>
      <c r="B625" s="47" t="n">
        <f aca="false">A625*$C$6</f>
        <v>1.12726761171378</v>
      </c>
      <c r="C625" s="48" t="n">
        <f aca="false">$C$7*B625</f>
        <v>8.55555555555556</v>
      </c>
      <c r="D625" s="49" t="n">
        <f aca="false">0.5*c_rho*'P3 Energie'!E8*'P3 Energie'!E7*(C625-c_Vv)^2+'P3 Energie'!E13+'P3 Energie'!E15+'P3 Energie'!E6*$C$7</f>
        <v>18209.3474307658</v>
      </c>
      <c r="E625" s="50" t="n">
        <f aca="false">D625*C625</f>
        <v>155791.08357433</v>
      </c>
      <c r="F625" s="46" t="n">
        <v>616</v>
      </c>
      <c r="G625" s="47" t="n">
        <f aca="false">F625*$H$6</f>
        <v>1.12401290073593</v>
      </c>
      <c r="H625" s="48" t="n">
        <f aca="false">$H$7*G625</f>
        <v>8.55555555555556</v>
      </c>
      <c r="I625" s="49" t="n">
        <f aca="false">0.5*c_rho*'P3 Energie'!F8*'P3 Energie'!F7*(H625-c_Vv)^2+'P3 Energie'!F13+'P3 Energie'!F15+'P3 Energie'!F6*$H$7</f>
        <v>19063.7038552444</v>
      </c>
      <c r="J625" s="50" t="n">
        <f aca="false">I625*H625</f>
        <v>163100.577428203</v>
      </c>
    </row>
    <row r="626" customFormat="false" ht="15" hidden="false" customHeight="false" outlineLevel="0" collapsed="false">
      <c r="A626" s="46" t="n">
        <v>617</v>
      </c>
      <c r="B626" s="47" t="n">
        <f aca="false">A626*$C$6</f>
        <v>1.12909759160293</v>
      </c>
      <c r="C626" s="48" t="n">
        <f aca="false">$C$7*B626</f>
        <v>8.56944444444445</v>
      </c>
      <c r="D626" s="49" t="n">
        <f aca="false">0.5*c_rho*'P3 Energie'!E8*'P3 Energie'!E7*(C626-c_Vv)^2+'P3 Energie'!E13+'P3 Energie'!E15+'P3 Energie'!E6*$C$7</f>
        <v>18209.4424361586</v>
      </c>
      <c r="E626" s="50" t="n">
        <f aca="false">D626*C626</f>
        <v>156044.805320971</v>
      </c>
      <c r="F626" s="46" t="n">
        <v>617</v>
      </c>
      <c r="G626" s="47" t="n">
        <f aca="false">F626*$H$6</f>
        <v>1.12583759700336</v>
      </c>
      <c r="H626" s="48" t="n">
        <f aca="false">$H$7*G626</f>
        <v>8.56944444444445</v>
      </c>
      <c r="I626" s="49" t="n">
        <f aca="false">0.5*c_rho*'P3 Energie'!F8*'P3 Energie'!F7*(H626-c_Vv)^2+'P3 Energie'!F13+'P3 Energie'!F15+'P3 Energie'!F6*$H$7</f>
        <v>19063.7863980299</v>
      </c>
      <c r="J626" s="50" t="n">
        <f aca="false">I626*H626</f>
        <v>163366.058438673</v>
      </c>
    </row>
    <row r="627" customFormat="false" ht="15" hidden="false" customHeight="false" outlineLevel="0" collapsed="false">
      <c r="A627" s="46" t="n">
        <v>618</v>
      </c>
      <c r="B627" s="47" t="n">
        <f aca="false">A627*$C$6</f>
        <v>1.13092757149207</v>
      </c>
      <c r="C627" s="48" t="n">
        <f aca="false">$C$7*B627</f>
        <v>8.58333333333333</v>
      </c>
      <c r="D627" s="49" t="n">
        <f aca="false">0.5*c_rho*'P3 Energie'!E8*'P3 Energie'!E7*(C627-c_Vv)^2+'P3 Energie'!E13+'P3 Energie'!E15+'P3 Energie'!E6*$C$7</f>
        <v>18209.5375956559</v>
      </c>
      <c r="E627" s="50" t="n">
        <f aca="false">D627*C627</f>
        <v>156298.53102938</v>
      </c>
      <c r="F627" s="46" t="n">
        <v>618</v>
      </c>
      <c r="G627" s="47" t="n">
        <f aca="false">F627*$H$6</f>
        <v>1.12766229327078</v>
      </c>
      <c r="H627" s="48" t="n">
        <f aca="false">$H$7*G627</f>
        <v>8.58333333333333</v>
      </c>
      <c r="I627" s="49" t="n">
        <f aca="false">0.5*c_rho*'P3 Energie'!F8*'P3 Energie'!F7*(H627-c_Vv)^2+'P3 Energie'!F13+'P3 Energie'!F15+'P3 Energie'!F6*$H$7</f>
        <v>19063.8690747046</v>
      </c>
      <c r="J627" s="50" t="n">
        <f aca="false">I627*H627</f>
        <v>163631.542891215</v>
      </c>
    </row>
    <row r="628" customFormat="false" ht="15" hidden="false" customHeight="false" outlineLevel="0" collapsed="false">
      <c r="A628" s="46" t="n">
        <v>619</v>
      </c>
      <c r="B628" s="47" t="n">
        <f aca="false">A628*$C$6</f>
        <v>1.13275755138122</v>
      </c>
      <c r="C628" s="48" t="n">
        <f aca="false">$C$7*B628</f>
        <v>8.59722222222222</v>
      </c>
      <c r="D628" s="49" t="n">
        <f aca="false">0.5*c_rho*'P3 Energie'!E8*'P3 Energie'!E7*(C628-c_Vv)^2+'P3 Energie'!E13+'P3 Energie'!E15+'P3 Energie'!E6*$C$7</f>
        <v>18209.6329092577</v>
      </c>
      <c r="E628" s="50" t="n">
        <f aca="false">D628*C628</f>
        <v>156552.260705979</v>
      </c>
      <c r="F628" s="46" t="n">
        <v>619</v>
      </c>
      <c r="G628" s="47" t="n">
        <f aca="false">F628*$H$6</f>
        <v>1.12948698953821</v>
      </c>
      <c r="H628" s="48" t="n">
        <f aca="false">$H$7*G628</f>
        <v>8.59722222222222</v>
      </c>
      <c r="I628" s="49" t="n">
        <f aca="false">0.5*c_rho*'P3 Energie'!F8*'P3 Energie'!F7*(H628-c_Vv)^2+'P3 Energie'!F13+'P3 Energie'!F15+'P3 Energie'!F6*$H$7</f>
        <v>19063.9518852688</v>
      </c>
      <c r="J628" s="50" t="n">
        <f aca="false">I628*H628</f>
        <v>163897.030791408</v>
      </c>
    </row>
    <row r="629" customFormat="false" ht="15" hidden="false" customHeight="false" outlineLevel="0" collapsed="false">
      <c r="A629" s="46" t="n">
        <v>620</v>
      </c>
      <c r="B629" s="47" t="n">
        <f aca="false">A629*$C$6</f>
        <v>1.13458753127036</v>
      </c>
      <c r="C629" s="48" t="n">
        <f aca="false">$C$7*B629</f>
        <v>8.61111111111111</v>
      </c>
      <c r="D629" s="49" t="n">
        <f aca="false">0.5*c_rho*'P3 Energie'!E8*'P3 Energie'!E7*(C629-c_Vv)^2+'P3 Energie'!E13+'P3 Energie'!E15+'P3 Energie'!E6*$C$7</f>
        <v>18209.7283769639</v>
      </c>
      <c r="E629" s="50" t="n">
        <f aca="false">D629*C629</f>
        <v>156805.994357189</v>
      </c>
      <c r="F629" s="46" t="n">
        <v>620</v>
      </c>
      <c r="G629" s="47" t="n">
        <f aca="false">F629*$H$6</f>
        <v>1.13131168580564</v>
      </c>
      <c r="H629" s="48" t="n">
        <f aca="false">$H$7*G629</f>
        <v>8.61111111111111</v>
      </c>
      <c r="I629" s="49" t="n">
        <f aca="false">0.5*c_rho*'P3 Energie'!F8*'P3 Energie'!F7*(H629-c_Vv)^2+'P3 Energie'!F13+'P3 Energie'!F15+'P3 Energie'!F6*$H$7</f>
        <v>19064.0348297222</v>
      </c>
      <c r="J629" s="50" t="n">
        <f aca="false">I629*H629</f>
        <v>164162.52214483</v>
      </c>
    </row>
    <row r="630" customFormat="false" ht="15" hidden="false" customHeight="false" outlineLevel="0" collapsed="false">
      <c r="A630" s="46" t="n">
        <v>621</v>
      </c>
      <c r="B630" s="47" t="n">
        <f aca="false">A630*$C$6</f>
        <v>1.13641751115951</v>
      </c>
      <c r="C630" s="48" t="n">
        <f aca="false">$C$7*B630</f>
        <v>8.625</v>
      </c>
      <c r="D630" s="49" t="n">
        <f aca="false">0.5*c_rho*'P3 Energie'!E8*'P3 Energie'!E7*(C630-c_Vv)^2+'P3 Energie'!E13+'P3 Energie'!E15+'P3 Energie'!E6*$C$7</f>
        <v>18209.8239987745</v>
      </c>
      <c r="E630" s="50" t="n">
        <f aca="false">D630*C630</f>
        <v>157059.731989431</v>
      </c>
      <c r="F630" s="46" t="n">
        <v>621</v>
      </c>
      <c r="G630" s="47" t="n">
        <f aca="false">F630*$H$6</f>
        <v>1.13313638207307</v>
      </c>
      <c r="H630" s="48" t="n">
        <f aca="false">$H$7*G630</f>
        <v>8.625</v>
      </c>
      <c r="I630" s="49" t="n">
        <f aca="false">0.5*c_rho*'P3 Energie'!F8*'P3 Energie'!F7*(H630-c_Vv)^2+'P3 Energie'!F13+'P3 Energie'!F15+'P3 Energie'!F6*$H$7</f>
        <v>19064.117908065</v>
      </c>
      <c r="J630" s="50" t="n">
        <f aca="false">I630*H630</f>
        <v>164428.016957061</v>
      </c>
    </row>
    <row r="631" customFormat="false" ht="15" hidden="false" customHeight="false" outlineLevel="0" collapsed="false">
      <c r="A631" s="46" t="n">
        <v>622</v>
      </c>
      <c r="B631" s="47" t="n">
        <f aca="false">A631*$C$6</f>
        <v>1.13824749104866</v>
      </c>
      <c r="C631" s="48" t="n">
        <f aca="false">$C$7*B631</f>
        <v>8.63888888888889</v>
      </c>
      <c r="D631" s="49" t="n">
        <f aca="false">0.5*c_rho*'P3 Energie'!E8*'P3 Energie'!E7*(C631-c_Vv)^2+'P3 Energie'!E13+'P3 Energie'!E15+'P3 Energie'!E6*$C$7</f>
        <v>18209.9197746896</v>
      </c>
      <c r="E631" s="50" t="n">
        <f aca="false">D631*C631</f>
        <v>157313.473609124</v>
      </c>
      <c r="F631" s="46" t="n">
        <v>622</v>
      </c>
      <c r="G631" s="47" t="n">
        <f aca="false">F631*$H$6</f>
        <v>1.1349610783405</v>
      </c>
      <c r="H631" s="48" t="n">
        <f aca="false">$H$7*G631</f>
        <v>8.63888888888889</v>
      </c>
      <c r="I631" s="49" t="n">
        <f aca="false">0.5*c_rho*'P3 Energie'!F8*'P3 Energie'!F7*(H631-c_Vv)^2+'P3 Energie'!F13+'P3 Energie'!F15+'P3 Energie'!F6*$H$7</f>
        <v>19064.2011202972</v>
      </c>
      <c r="J631" s="50" t="n">
        <f aca="false">I631*H631</f>
        <v>164693.515233679</v>
      </c>
    </row>
    <row r="632" customFormat="false" ht="15" hidden="false" customHeight="false" outlineLevel="0" collapsed="false">
      <c r="A632" s="46" t="n">
        <v>623</v>
      </c>
      <c r="B632" s="47" t="n">
        <f aca="false">A632*$C$6</f>
        <v>1.1400774709378</v>
      </c>
      <c r="C632" s="48" t="n">
        <f aca="false">$C$7*B632</f>
        <v>8.65277777777778</v>
      </c>
      <c r="D632" s="49" t="n">
        <f aca="false">0.5*c_rho*'P3 Energie'!E8*'P3 Energie'!E7*(C632-c_Vv)^2+'P3 Energie'!E13+'P3 Energie'!E15+'P3 Energie'!E6*$C$7</f>
        <v>18210.0157047092</v>
      </c>
      <c r="E632" s="50" t="n">
        <f aca="false">D632*C632</f>
        <v>157567.219222692</v>
      </c>
      <c r="F632" s="46" t="n">
        <v>623</v>
      </c>
      <c r="G632" s="47" t="n">
        <f aca="false">F632*$H$6</f>
        <v>1.13678577460793</v>
      </c>
      <c r="H632" s="48" t="n">
        <f aca="false">$H$7*G632</f>
        <v>8.65277777777778</v>
      </c>
      <c r="I632" s="49" t="n">
        <f aca="false">0.5*c_rho*'P3 Energie'!F8*'P3 Energie'!F7*(H632-c_Vv)^2+'P3 Energie'!F13+'P3 Energie'!F15+'P3 Energie'!F6*$H$7</f>
        <v>19064.2844664188</v>
      </c>
      <c r="J632" s="50" t="n">
        <f aca="false">I632*H632</f>
        <v>164959.016980262</v>
      </c>
    </row>
    <row r="633" customFormat="false" ht="15" hidden="false" customHeight="false" outlineLevel="0" collapsed="false">
      <c r="A633" s="46" t="n">
        <v>624</v>
      </c>
      <c r="B633" s="47" t="n">
        <f aca="false">A633*$C$6</f>
        <v>1.14190745082695</v>
      </c>
      <c r="C633" s="48" t="n">
        <f aca="false">$C$7*B633</f>
        <v>8.66666666666667</v>
      </c>
      <c r="D633" s="49" t="n">
        <f aca="false">0.5*c_rho*'P3 Energie'!E8*'P3 Energie'!E7*(C633-c_Vv)^2+'P3 Energie'!E13+'P3 Energie'!E15+'P3 Energie'!E6*$C$7</f>
        <v>18210.1117888332</v>
      </c>
      <c r="E633" s="50" t="n">
        <f aca="false">D633*C633</f>
        <v>157820.968836554</v>
      </c>
      <c r="F633" s="46" t="n">
        <v>624</v>
      </c>
      <c r="G633" s="47" t="n">
        <f aca="false">F633*$H$6</f>
        <v>1.13861047087536</v>
      </c>
      <c r="H633" s="48" t="n">
        <f aca="false">$H$7*G633</f>
        <v>8.66666666666667</v>
      </c>
      <c r="I633" s="49" t="n">
        <f aca="false">0.5*c_rho*'P3 Energie'!F8*'P3 Energie'!F7*(H633-c_Vv)^2+'P3 Energie'!F13+'P3 Energie'!F15+'P3 Energie'!F6*$H$7</f>
        <v>19064.3679464296</v>
      </c>
      <c r="J633" s="50" t="n">
        <f aca="false">I633*H633</f>
        <v>165224.52220239</v>
      </c>
    </row>
    <row r="634" customFormat="false" ht="15" hidden="false" customHeight="false" outlineLevel="0" collapsed="false">
      <c r="A634" s="46" t="n">
        <v>625</v>
      </c>
      <c r="B634" s="47" t="n">
        <f aca="false">A634*$C$6</f>
        <v>1.14373743071609</v>
      </c>
      <c r="C634" s="48" t="n">
        <f aca="false">$C$7*B634</f>
        <v>8.68055555555556</v>
      </c>
      <c r="D634" s="49" t="n">
        <f aca="false">0.5*c_rho*'P3 Energie'!E8*'P3 Energie'!E7*(C634-c_Vv)^2+'P3 Energie'!E13+'P3 Energie'!E15+'P3 Energie'!E6*$C$7</f>
        <v>18210.2080270616</v>
      </c>
      <c r="E634" s="50" t="n">
        <f aca="false">D634*C634</f>
        <v>158074.722457132</v>
      </c>
      <c r="F634" s="46" t="n">
        <v>625</v>
      </c>
      <c r="G634" s="47" t="n">
        <f aca="false">F634*$H$6</f>
        <v>1.14043516714278</v>
      </c>
      <c r="H634" s="48" t="n">
        <f aca="false">$H$7*G634</f>
        <v>8.68055555555556</v>
      </c>
      <c r="I634" s="49" t="n">
        <f aca="false">0.5*c_rho*'P3 Energie'!F8*'P3 Energie'!F7*(H634-c_Vv)^2+'P3 Energie'!F13+'P3 Energie'!F15+'P3 Energie'!F6*$H$7</f>
        <v>19064.4515603299</v>
      </c>
      <c r="J634" s="50" t="n">
        <f aca="false">I634*H634</f>
        <v>165490.030905641</v>
      </c>
    </row>
    <row r="635" customFormat="false" ht="15" hidden="false" customHeight="false" outlineLevel="0" collapsed="false">
      <c r="A635" s="46" t="n">
        <v>626</v>
      </c>
      <c r="B635" s="47" t="n">
        <f aca="false">A635*$C$6</f>
        <v>1.14556741060524</v>
      </c>
      <c r="C635" s="48" t="n">
        <f aca="false">$C$7*B635</f>
        <v>8.69444444444445</v>
      </c>
      <c r="D635" s="49" t="n">
        <f aca="false">0.5*c_rho*'P3 Energie'!E8*'P3 Energie'!E7*(C635-c_Vv)^2+'P3 Energie'!E13+'P3 Energie'!E15+'P3 Energie'!E6*$C$7</f>
        <v>18210.3044193945</v>
      </c>
      <c r="E635" s="50" t="n">
        <f aca="false">D635*C635</f>
        <v>158328.480090847</v>
      </c>
      <c r="F635" s="46" t="n">
        <v>626</v>
      </c>
      <c r="G635" s="47" t="n">
        <f aca="false">F635*$H$6</f>
        <v>1.14225986341021</v>
      </c>
      <c r="H635" s="48" t="n">
        <f aca="false">$H$7*G635</f>
        <v>8.69444444444445</v>
      </c>
      <c r="I635" s="49" t="n">
        <f aca="false">0.5*c_rho*'P3 Energie'!F8*'P3 Energie'!F7*(H635-c_Vv)^2+'P3 Energie'!F13+'P3 Energie'!F15+'P3 Energie'!F6*$H$7</f>
        <v>19064.5353081194</v>
      </c>
      <c r="J635" s="50" t="n">
        <f aca="false">I635*H635</f>
        <v>165755.543095594</v>
      </c>
    </row>
    <row r="636" customFormat="false" ht="15" hidden="false" customHeight="false" outlineLevel="0" collapsed="false">
      <c r="A636" s="46" t="n">
        <v>627</v>
      </c>
      <c r="B636" s="47" t="n">
        <f aca="false">A636*$C$6</f>
        <v>1.14739739049438</v>
      </c>
      <c r="C636" s="48" t="n">
        <f aca="false">$C$7*B636</f>
        <v>8.70833333333333</v>
      </c>
      <c r="D636" s="49" t="n">
        <f aca="false">0.5*c_rho*'P3 Energie'!E8*'P3 Energie'!E7*(C636-c_Vv)^2+'P3 Energie'!E13+'P3 Energie'!E15+'P3 Energie'!E6*$C$7</f>
        <v>18210.4009658319</v>
      </c>
      <c r="E636" s="50" t="n">
        <f aca="false">D636*C636</f>
        <v>158582.241744119</v>
      </c>
      <c r="F636" s="46" t="n">
        <v>627</v>
      </c>
      <c r="G636" s="47" t="n">
        <f aca="false">F636*$H$6</f>
        <v>1.14408455967764</v>
      </c>
      <c r="H636" s="48" t="n">
        <f aca="false">$H$7*G636</f>
        <v>8.70833333333333</v>
      </c>
      <c r="I636" s="49" t="n">
        <f aca="false">0.5*c_rho*'P3 Energie'!F8*'P3 Energie'!F7*(H636-c_Vv)^2+'P3 Energie'!F13+'P3 Energie'!F15+'P3 Energie'!F6*$H$7</f>
        <v>19064.6191897984</v>
      </c>
      <c r="J636" s="50" t="n">
        <f aca="false">I636*H636</f>
        <v>166021.058777828</v>
      </c>
    </row>
    <row r="637" customFormat="false" ht="15" hidden="false" customHeight="false" outlineLevel="0" collapsed="false">
      <c r="A637" s="46" t="n">
        <v>628</v>
      </c>
      <c r="B637" s="47" t="n">
        <f aca="false">A637*$C$6</f>
        <v>1.14922737038353</v>
      </c>
      <c r="C637" s="48" t="n">
        <f aca="false">$C$7*B637</f>
        <v>8.72222222222222</v>
      </c>
      <c r="D637" s="49" t="n">
        <f aca="false">0.5*c_rho*'P3 Energie'!E8*'P3 Energie'!E7*(C637-c_Vv)^2+'P3 Energie'!E13+'P3 Energie'!E15+'P3 Energie'!E6*$C$7</f>
        <v>18210.4976663737</v>
      </c>
      <c r="E637" s="50" t="n">
        <f aca="false">D637*C637</f>
        <v>158836.00742337</v>
      </c>
      <c r="F637" s="46" t="n">
        <v>628</v>
      </c>
      <c r="G637" s="47" t="n">
        <f aca="false">F637*$H$6</f>
        <v>1.14590925594507</v>
      </c>
      <c r="H637" s="48" t="n">
        <f aca="false">$H$7*G637</f>
        <v>8.72222222222222</v>
      </c>
      <c r="I637" s="49" t="n">
        <f aca="false">0.5*c_rho*'P3 Energie'!F8*'P3 Energie'!F7*(H637-c_Vv)^2+'P3 Energie'!F13+'P3 Energie'!F15+'P3 Energie'!F6*$H$7</f>
        <v>19064.7032053667</v>
      </c>
      <c r="J637" s="50" t="n">
        <f aca="false">I637*H637</f>
        <v>166286.57795792</v>
      </c>
    </row>
    <row r="638" customFormat="false" ht="15" hidden="false" customHeight="false" outlineLevel="0" collapsed="false">
      <c r="A638" s="46" t="n">
        <v>629</v>
      </c>
      <c r="B638" s="47" t="n">
        <f aca="false">A638*$C$6</f>
        <v>1.15105735027268</v>
      </c>
      <c r="C638" s="48" t="n">
        <f aca="false">$C$7*B638</f>
        <v>8.73611111111111</v>
      </c>
      <c r="D638" s="49" t="n">
        <f aca="false">0.5*c_rho*'P3 Energie'!E8*'P3 Energie'!E7*(C638-c_Vv)^2+'P3 Energie'!E13+'P3 Energie'!E15+'P3 Energie'!E6*$C$7</f>
        <v>18210.5945210199</v>
      </c>
      <c r="E638" s="50" t="n">
        <f aca="false">D638*C638</f>
        <v>159089.777135021</v>
      </c>
      <c r="F638" s="46" t="n">
        <v>629</v>
      </c>
      <c r="G638" s="47" t="n">
        <f aca="false">F638*$H$6</f>
        <v>1.1477339522125</v>
      </c>
      <c r="H638" s="48" t="n">
        <f aca="false">$H$7*G638</f>
        <v>8.73611111111111</v>
      </c>
      <c r="I638" s="49" t="n">
        <f aca="false">0.5*c_rho*'P3 Energie'!F8*'P3 Energie'!F7*(H638-c_Vv)^2+'P3 Energie'!F13+'P3 Energie'!F15+'P3 Energie'!F6*$H$7</f>
        <v>19064.7873548243</v>
      </c>
      <c r="J638" s="50" t="n">
        <f aca="false">I638*H638</f>
        <v>166552.100641451</v>
      </c>
    </row>
    <row r="639" customFormat="false" ht="15" hidden="false" customHeight="false" outlineLevel="0" collapsed="false">
      <c r="A639" s="46" t="n">
        <v>630</v>
      </c>
      <c r="B639" s="47" t="n">
        <f aca="false">A639*$C$6</f>
        <v>1.15288733016182</v>
      </c>
      <c r="C639" s="48" t="n">
        <f aca="false">$C$7*B639</f>
        <v>8.75</v>
      </c>
      <c r="D639" s="49" t="n">
        <f aca="false">0.5*c_rho*'P3 Energie'!E8*'P3 Energie'!E7*(C639-c_Vv)^2+'P3 Energie'!E13+'P3 Energie'!E15+'P3 Energie'!E6*$C$7</f>
        <v>18210.6915297706</v>
      </c>
      <c r="E639" s="50" t="n">
        <f aca="false">D639*C639</f>
        <v>159343.550885493</v>
      </c>
      <c r="F639" s="46" t="n">
        <v>630</v>
      </c>
      <c r="G639" s="47" t="n">
        <f aca="false">F639*$H$6</f>
        <v>1.14955864847993</v>
      </c>
      <c r="H639" s="48" t="n">
        <f aca="false">$H$7*G639</f>
        <v>8.75</v>
      </c>
      <c r="I639" s="49" t="n">
        <f aca="false">0.5*c_rho*'P3 Energie'!F8*'P3 Energie'!F7*(H639-c_Vv)^2+'P3 Energie'!F13+'P3 Energie'!F15+'P3 Energie'!F6*$H$7</f>
        <v>19064.8716381713</v>
      </c>
      <c r="J639" s="50" t="n">
        <f aca="false">I639*H639</f>
        <v>166817.626833999</v>
      </c>
    </row>
    <row r="640" customFormat="false" ht="15" hidden="false" customHeight="false" outlineLevel="0" collapsed="false">
      <c r="A640" s="46" t="n">
        <v>631</v>
      </c>
      <c r="B640" s="47" t="n">
        <f aca="false">A640*$C$6</f>
        <v>1.15471731005097</v>
      </c>
      <c r="C640" s="48" t="n">
        <f aca="false">$C$7*B640</f>
        <v>8.76388888888889</v>
      </c>
      <c r="D640" s="49" t="n">
        <f aca="false">0.5*c_rho*'P3 Energie'!E8*'P3 Energie'!E7*(C640-c_Vv)^2+'P3 Energie'!E13+'P3 Energie'!E15+'P3 Energie'!E6*$C$7</f>
        <v>18210.7886926258</v>
      </c>
      <c r="E640" s="50" t="n">
        <f aca="false">D640*C640</f>
        <v>159597.328681206</v>
      </c>
      <c r="F640" s="46" t="n">
        <v>631</v>
      </c>
      <c r="G640" s="47" t="n">
        <f aca="false">F640*$H$6</f>
        <v>1.15138334474735</v>
      </c>
      <c r="H640" s="48" t="n">
        <f aca="false">$H$7*G640</f>
        <v>8.76388888888889</v>
      </c>
      <c r="I640" s="49" t="n">
        <f aca="false">0.5*c_rho*'P3 Energie'!F8*'P3 Energie'!F7*(H640-c_Vv)^2+'P3 Energie'!F13+'P3 Energie'!F15+'P3 Energie'!F6*$H$7</f>
        <v>19064.9560554076</v>
      </c>
      <c r="J640" s="50" t="n">
        <f aca="false">I640*H640</f>
        <v>167083.156541142</v>
      </c>
    </row>
    <row r="641" customFormat="false" ht="15" hidden="false" customHeight="false" outlineLevel="0" collapsed="false">
      <c r="A641" s="46" t="n">
        <v>632</v>
      </c>
      <c r="B641" s="47" t="n">
        <f aca="false">A641*$C$6</f>
        <v>1.15654728994011</v>
      </c>
      <c r="C641" s="48" t="n">
        <f aca="false">$C$7*B641</f>
        <v>8.77777777777778</v>
      </c>
      <c r="D641" s="49" t="n">
        <f aca="false">0.5*c_rho*'P3 Energie'!E8*'P3 Energie'!E7*(C641-c_Vv)^2+'P3 Energie'!E13+'P3 Energie'!E15+'P3 Energie'!E6*$C$7</f>
        <v>18210.8860095853</v>
      </c>
      <c r="E641" s="50" t="n">
        <f aca="false">D641*C641</f>
        <v>159851.110528582</v>
      </c>
      <c r="F641" s="46" t="n">
        <v>632</v>
      </c>
      <c r="G641" s="47" t="n">
        <f aca="false">F641*$H$6</f>
        <v>1.15320804101478</v>
      </c>
      <c r="H641" s="48" t="n">
        <f aca="false">$H$7*G641</f>
        <v>8.77777777777778</v>
      </c>
      <c r="I641" s="49" t="n">
        <f aca="false">0.5*c_rho*'P3 Energie'!F8*'P3 Energie'!F7*(H641-c_Vv)^2+'P3 Energie'!F13+'P3 Energie'!F15+'P3 Energie'!F6*$H$7</f>
        <v>19065.0406065333</v>
      </c>
      <c r="J641" s="50" t="n">
        <f aca="false">I641*H641</f>
        <v>167348.689768459</v>
      </c>
    </row>
    <row r="642" customFormat="false" ht="15" hidden="false" customHeight="false" outlineLevel="0" collapsed="false">
      <c r="A642" s="46" t="n">
        <v>633</v>
      </c>
      <c r="B642" s="47" t="n">
        <f aca="false">A642*$C$6</f>
        <v>1.15837726982926</v>
      </c>
      <c r="C642" s="48" t="n">
        <f aca="false">$C$7*B642</f>
        <v>8.79166666666667</v>
      </c>
      <c r="D642" s="49" t="n">
        <f aca="false">0.5*c_rho*'P3 Energie'!E8*'P3 Energie'!E7*(C642-c_Vv)^2+'P3 Energie'!E13+'P3 Energie'!E15+'P3 Energie'!E6*$C$7</f>
        <v>18210.9834806494</v>
      </c>
      <c r="E642" s="50" t="n">
        <f aca="false">D642*C642</f>
        <v>160104.896434042</v>
      </c>
      <c r="F642" s="46" t="n">
        <v>633</v>
      </c>
      <c r="G642" s="47" t="n">
        <f aca="false">F642*$H$6</f>
        <v>1.15503273728221</v>
      </c>
      <c r="H642" s="48" t="n">
        <f aca="false">$H$7*G642</f>
        <v>8.79166666666667</v>
      </c>
      <c r="I642" s="49" t="n">
        <f aca="false">0.5*c_rho*'P3 Energie'!F8*'P3 Energie'!F7*(H642-c_Vv)^2+'P3 Energie'!F13+'P3 Energie'!F15+'P3 Energie'!F6*$H$7</f>
        <v>19065.1252915484</v>
      </c>
      <c r="J642" s="50" t="n">
        <f aca="false">I642*H642</f>
        <v>167614.22652153</v>
      </c>
    </row>
    <row r="643" customFormat="false" ht="15" hidden="false" customHeight="false" outlineLevel="0" collapsed="false">
      <c r="A643" s="46" t="n">
        <v>634</v>
      </c>
      <c r="B643" s="47" t="n">
        <f aca="false">A643*$C$6</f>
        <v>1.16020724971841</v>
      </c>
      <c r="C643" s="48" t="n">
        <f aca="false">$C$7*B643</f>
        <v>8.80555555555556</v>
      </c>
      <c r="D643" s="49" t="n">
        <f aca="false">0.5*c_rho*'P3 Energie'!E8*'P3 Energie'!E7*(C643-c_Vv)^2+'P3 Energie'!E13+'P3 Energie'!E15+'P3 Energie'!E6*$C$7</f>
        <v>18211.0811058179</v>
      </c>
      <c r="E643" s="50" t="n">
        <f aca="false">D643*C643</f>
        <v>160358.686404007</v>
      </c>
      <c r="F643" s="46" t="n">
        <v>634</v>
      </c>
      <c r="G643" s="47" t="n">
        <f aca="false">F643*$H$6</f>
        <v>1.15685743354964</v>
      </c>
      <c r="H643" s="48" t="n">
        <f aca="false">$H$7*G643</f>
        <v>8.80555555555556</v>
      </c>
      <c r="I643" s="49" t="n">
        <f aca="false">0.5*c_rho*'P3 Energie'!F8*'P3 Energie'!F7*(H643-c_Vv)^2+'P3 Energie'!F13+'P3 Energie'!F15+'P3 Energie'!F6*$H$7</f>
        <v>19065.2101104528</v>
      </c>
      <c r="J643" s="50" t="n">
        <f aca="false">I643*H643</f>
        <v>167879.766805931</v>
      </c>
    </row>
    <row r="644" customFormat="false" ht="15" hidden="false" customHeight="false" outlineLevel="0" collapsed="false">
      <c r="A644" s="46" t="n">
        <v>635</v>
      </c>
      <c r="B644" s="47" t="n">
        <f aca="false">A644*$C$6</f>
        <v>1.16203722960755</v>
      </c>
      <c r="C644" s="48" t="n">
        <f aca="false">$C$7*B644</f>
        <v>8.81944444444445</v>
      </c>
      <c r="D644" s="49" t="n">
        <f aca="false">0.5*c_rho*'P3 Energie'!E8*'P3 Energie'!E7*(C644-c_Vv)^2+'P3 Energie'!E13+'P3 Energie'!E15+'P3 Energie'!E6*$C$7</f>
        <v>18211.1788850908</v>
      </c>
      <c r="E644" s="50" t="n">
        <f aca="false">D644*C644</f>
        <v>160612.480444898</v>
      </c>
      <c r="F644" s="46" t="n">
        <v>635</v>
      </c>
      <c r="G644" s="47" t="n">
        <f aca="false">F644*$H$6</f>
        <v>1.15868212981707</v>
      </c>
      <c r="H644" s="48" t="n">
        <f aca="false">$H$7*G644</f>
        <v>8.81944444444445</v>
      </c>
      <c r="I644" s="49" t="n">
        <f aca="false">0.5*c_rho*'P3 Energie'!F8*'P3 Energie'!F7*(H644-c_Vv)^2+'P3 Energie'!F13+'P3 Energie'!F15+'P3 Energie'!F6*$H$7</f>
        <v>19065.2950632465</v>
      </c>
      <c r="J644" s="50" t="n">
        <f aca="false">I644*H644</f>
        <v>168145.310627244</v>
      </c>
    </row>
    <row r="645" customFormat="false" ht="15" hidden="false" customHeight="false" outlineLevel="0" collapsed="false">
      <c r="A645" s="46" t="n">
        <v>636</v>
      </c>
      <c r="B645" s="47" t="n">
        <f aca="false">A645*$C$6</f>
        <v>1.1638672094967</v>
      </c>
      <c r="C645" s="48" t="n">
        <f aca="false">$C$7*B645</f>
        <v>8.83333333333333</v>
      </c>
      <c r="D645" s="49" t="n">
        <f aca="false">0.5*c_rho*'P3 Energie'!E8*'P3 Energie'!E7*(C645-c_Vv)^2+'P3 Energie'!E13+'P3 Energie'!E15+'P3 Energie'!E6*$C$7</f>
        <v>18211.2768184682</v>
      </c>
      <c r="E645" s="50" t="n">
        <f aca="false">D645*C645</f>
        <v>160866.278563136</v>
      </c>
      <c r="F645" s="46" t="n">
        <v>636</v>
      </c>
      <c r="G645" s="47" t="n">
        <f aca="false">F645*$H$6</f>
        <v>1.1605068260845</v>
      </c>
      <c r="H645" s="48" t="n">
        <f aca="false">$H$7*G645</f>
        <v>8.83333333333333</v>
      </c>
      <c r="I645" s="49" t="n">
        <f aca="false">0.5*c_rho*'P3 Energie'!F8*'P3 Energie'!F7*(H645-c_Vv)^2+'P3 Energie'!F13+'P3 Energie'!F15+'P3 Energie'!F6*$H$7</f>
        <v>19065.3801499296</v>
      </c>
      <c r="J645" s="50" t="n">
        <f aca="false">I645*H645</f>
        <v>168410.857991045</v>
      </c>
    </row>
    <row r="646" customFormat="false" ht="15" hidden="false" customHeight="false" outlineLevel="0" collapsed="false">
      <c r="A646" s="46" t="n">
        <v>637</v>
      </c>
      <c r="B646" s="47" t="n">
        <f aca="false">A646*$C$6</f>
        <v>1.16569718938584</v>
      </c>
      <c r="C646" s="48" t="n">
        <f aca="false">$C$7*B646</f>
        <v>8.84722222222222</v>
      </c>
      <c r="D646" s="49" t="n">
        <f aca="false">0.5*c_rho*'P3 Energie'!E8*'P3 Energie'!E7*(C646-c_Vv)^2+'P3 Energie'!E13+'P3 Energie'!E15+'P3 Energie'!E6*$C$7</f>
        <v>18211.37490595</v>
      </c>
      <c r="E646" s="50" t="n">
        <f aca="false">D646*C646</f>
        <v>161120.080765141</v>
      </c>
      <c r="F646" s="46" t="n">
        <v>637</v>
      </c>
      <c r="G646" s="47" t="n">
        <f aca="false">F646*$H$6</f>
        <v>1.16233152235192</v>
      </c>
      <c r="H646" s="48" t="n">
        <f aca="false">$H$7*G646</f>
        <v>8.84722222222222</v>
      </c>
      <c r="I646" s="49" t="n">
        <f aca="false">0.5*c_rho*'P3 Energie'!F8*'P3 Energie'!F7*(H646-c_Vv)^2+'P3 Energie'!F13+'P3 Energie'!F15+'P3 Energie'!F6*$H$7</f>
        <v>19065.4653705021</v>
      </c>
      <c r="J646" s="50" t="n">
        <f aca="false">I646*H646</f>
        <v>168676.408902914</v>
      </c>
    </row>
    <row r="647" customFormat="false" ht="15" hidden="false" customHeight="false" outlineLevel="0" collapsed="false">
      <c r="A647" s="46" t="n">
        <v>638</v>
      </c>
      <c r="B647" s="47" t="n">
        <f aca="false">A647*$C$6</f>
        <v>1.16752716927499</v>
      </c>
      <c r="C647" s="48" t="n">
        <f aca="false">$C$7*B647</f>
        <v>8.86111111111111</v>
      </c>
      <c r="D647" s="49" t="n">
        <f aca="false">0.5*c_rho*'P3 Energie'!E8*'P3 Energie'!E7*(C647-c_Vv)^2+'P3 Energie'!E13+'P3 Energie'!E15+'P3 Energie'!E6*$C$7</f>
        <v>18211.4731475363</v>
      </c>
      <c r="E647" s="50" t="n">
        <f aca="false">D647*C647</f>
        <v>161373.887057336</v>
      </c>
      <c r="F647" s="46" t="n">
        <v>638</v>
      </c>
      <c r="G647" s="47" t="n">
        <f aca="false">F647*$H$6</f>
        <v>1.16415621861935</v>
      </c>
      <c r="H647" s="48" t="n">
        <f aca="false">$H$7*G647</f>
        <v>8.86111111111111</v>
      </c>
      <c r="I647" s="49" t="n">
        <f aca="false">0.5*c_rho*'P3 Energie'!F8*'P3 Energie'!F7*(H647-c_Vv)^2+'P3 Energie'!F13+'P3 Energie'!F15+'P3 Energie'!F6*$H$7</f>
        <v>19065.5507249639</v>
      </c>
      <c r="J647" s="50" t="n">
        <f aca="false">I647*H647</f>
        <v>168941.96336843</v>
      </c>
    </row>
    <row r="648" customFormat="false" ht="15" hidden="false" customHeight="false" outlineLevel="0" collapsed="false">
      <c r="A648" s="46" t="n">
        <v>639</v>
      </c>
      <c r="B648" s="47" t="n">
        <f aca="false">A648*$C$6</f>
        <v>1.16935714916413</v>
      </c>
      <c r="C648" s="48" t="n">
        <f aca="false">$C$7*B648</f>
        <v>8.875</v>
      </c>
      <c r="D648" s="49" t="n">
        <f aca="false">0.5*c_rho*'P3 Energie'!E8*'P3 Energie'!E7*(C648-c_Vv)^2+'P3 Energie'!E13+'P3 Energie'!E15+'P3 Energie'!E6*$C$7</f>
        <v>18211.571543227</v>
      </c>
      <c r="E648" s="50" t="n">
        <f aca="false">D648*C648</f>
        <v>161627.69744614</v>
      </c>
      <c r="F648" s="46" t="n">
        <v>639</v>
      </c>
      <c r="G648" s="47" t="n">
        <f aca="false">F648*$H$6</f>
        <v>1.16598091488678</v>
      </c>
      <c r="H648" s="48" t="n">
        <f aca="false">$H$7*G648</f>
        <v>8.875</v>
      </c>
      <c r="I648" s="49" t="n">
        <f aca="false">0.5*c_rho*'P3 Energie'!F8*'P3 Energie'!F7*(H648-c_Vv)^2+'P3 Energie'!F13+'P3 Energie'!F15+'P3 Energie'!F6*$H$7</f>
        <v>19065.636213315</v>
      </c>
      <c r="J648" s="50" t="n">
        <f aca="false">I648*H648</f>
        <v>169207.521393171</v>
      </c>
    </row>
    <row r="649" customFormat="false" ht="15" hidden="false" customHeight="false" outlineLevel="0" collapsed="false">
      <c r="A649" s="46" t="n">
        <v>640</v>
      </c>
      <c r="B649" s="47" t="n">
        <f aca="false">A649*$C$6</f>
        <v>1.17118712905328</v>
      </c>
      <c r="C649" s="48" t="n">
        <f aca="false">$C$7*B649</f>
        <v>8.88888888888889</v>
      </c>
      <c r="D649" s="49" t="n">
        <f aca="false">0.5*c_rho*'P3 Energie'!E8*'P3 Energie'!E7*(C649-c_Vv)^2+'P3 Energie'!E13+'P3 Energie'!E15+'P3 Energie'!E6*$C$7</f>
        <v>18211.6700930222</v>
      </c>
      <c r="E649" s="50" t="n">
        <f aca="false">D649*C649</f>
        <v>161881.511937975</v>
      </c>
      <c r="F649" s="46" t="n">
        <v>640</v>
      </c>
      <c r="G649" s="47" t="n">
        <f aca="false">F649*$H$6</f>
        <v>1.16780561115421</v>
      </c>
      <c r="H649" s="48" t="n">
        <f aca="false">$H$7*G649</f>
        <v>8.88888888888889</v>
      </c>
      <c r="I649" s="49" t="n">
        <f aca="false">0.5*c_rho*'P3 Energie'!F8*'P3 Energie'!F7*(H649-c_Vv)^2+'P3 Energie'!F13+'P3 Energie'!F15+'P3 Energie'!F6*$H$7</f>
        <v>19065.7218355556</v>
      </c>
      <c r="J649" s="50" t="n">
        <f aca="false">I649*H649</f>
        <v>169473.082982716</v>
      </c>
    </row>
    <row r="650" customFormat="false" ht="15" hidden="false" customHeight="false" outlineLevel="0" collapsed="false">
      <c r="A650" s="46" t="n">
        <v>641</v>
      </c>
      <c r="B650" s="47" t="n">
        <f aca="false">A650*$C$6</f>
        <v>1.17301710894243</v>
      </c>
      <c r="C650" s="48" t="n">
        <f aca="false">$C$7*B650</f>
        <v>8.90277777777778</v>
      </c>
      <c r="D650" s="49" t="n">
        <f aca="false">0.5*c_rho*'P3 Energie'!E8*'P3 Energie'!E7*(C650-c_Vv)^2+'P3 Energie'!E13+'P3 Energie'!E15+'P3 Energie'!E6*$C$7</f>
        <v>18211.7687969219</v>
      </c>
      <c r="E650" s="50" t="n">
        <f aca="false">D650*C650</f>
        <v>162135.330539263</v>
      </c>
      <c r="F650" s="46" t="n">
        <v>641</v>
      </c>
      <c r="G650" s="47" t="n">
        <f aca="false">F650*$H$6</f>
        <v>1.16963030742164</v>
      </c>
      <c r="H650" s="48" t="n">
        <f aca="false">$H$7*G650</f>
        <v>8.90277777777778</v>
      </c>
      <c r="I650" s="49" t="n">
        <f aca="false">0.5*c_rho*'P3 Energie'!F8*'P3 Energie'!F7*(H650-c_Vv)^2+'P3 Energie'!F13+'P3 Energie'!F15+'P3 Energie'!F6*$H$7</f>
        <v>19065.8075916854</v>
      </c>
      <c r="J650" s="50" t="n">
        <f aca="false">I650*H650</f>
        <v>169738.648142644</v>
      </c>
    </row>
    <row r="651" customFormat="false" ht="15" hidden="false" customHeight="false" outlineLevel="0" collapsed="false">
      <c r="A651" s="46" t="n">
        <v>642</v>
      </c>
      <c r="B651" s="47" t="n">
        <f aca="false">A651*$C$6</f>
        <v>1.17484708883157</v>
      </c>
      <c r="C651" s="48" t="n">
        <f aca="false">$C$7*B651</f>
        <v>8.91666666666667</v>
      </c>
      <c r="D651" s="49" t="n">
        <f aca="false">0.5*c_rho*'P3 Energie'!E8*'P3 Energie'!E7*(C651-c_Vv)^2+'P3 Energie'!E13+'P3 Energie'!E15+'P3 Energie'!E6*$C$7</f>
        <v>18211.8676549259</v>
      </c>
      <c r="E651" s="50" t="n">
        <f aca="false">D651*C651</f>
        <v>162389.153256423</v>
      </c>
      <c r="F651" s="46" t="n">
        <v>642</v>
      </c>
      <c r="G651" s="47" t="n">
        <f aca="false">F651*$H$6</f>
        <v>1.17145500368907</v>
      </c>
      <c r="H651" s="48" t="n">
        <f aca="false">$H$7*G651</f>
        <v>8.91666666666667</v>
      </c>
      <c r="I651" s="49" t="n">
        <f aca="false">0.5*c_rho*'P3 Energie'!F8*'P3 Energie'!F7*(H651-c_Vv)^2+'P3 Energie'!F13+'P3 Energie'!F15+'P3 Energie'!F6*$H$7</f>
        <v>19065.8934817046</v>
      </c>
      <c r="J651" s="50" t="n">
        <f aca="false">I651*H651</f>
        <v>170004.216878533</v>
      </c>
    </row>
    <row r="652" customFormat="false" ht="15" hidden="false" customHeight="false" outlineLevel="0" collapsed="false">
      <c r="A652" s="46" t="n">
        <v>643</v>
      </c>
      <c r="B652" s="47" t="n">
        <f aca="false">A652*$C$6</f>
        <v>1.17667706872072</v>
      </c>
      <c r="C652" s="48" t="n">
        <f aca="false">$C$7*B652</f>
        <v>8.93055555555556</v>
      </c>
      <c r="D652" s="49" t="n">
        <f aca="false">0.5*c_rho*'P3 Energie'!E8*'P3 Energie'!E7*(C652-c_Vv)^2+'P3 Energie'!E13+'P3 Energie'!E15+'P3 Energie'!E6*$C$7</f>
        <v>18211.9666670345</v>
      </c>
      <c r="E652" s="50" t="n">
        <f aca="false">D652*C652</f>
        <v>162642.980095877</v>
      </c>
      <c r="F652" s="46" t="n">
        <v>643</v>
      </c>
      <c r="G652" s="47" t="n">
        <f aca="false">F652*$H$6</f>
        <v>1.1732796999565</v>
      </c>
      <c r="H652" s="48" t="n">
        <f aca="false">$H$7*G652</f>
        <v>8.93055555555556</v>
      </c>
      <c r="I652" s="49" t="n">
        <f aca="false">0.5*c_rho*'P3 Energie'!F8*'P3 Energie'!F7*(H652-c_Vv)^2+'P3 Energie'!F13+'P3 Energie'!F15+'P3 Energie'!F6*$H$7</f>
        <v>19065.9795056132</v>
      </c>
      <c r="J652" s="50" t="n">
        <f aca="false">I652*H652</f>
        <v>170269.789195962</v>
      </c>
    </row>
    <row r="653" customFormat="false" ht="15" hidden="false" customHeight="false" outlineLevel="0" collapsed="false">
      <c r="A653" s="46" t="n">
        <v>644</v>
      </c>
      <c r="B653" s="47" t="n">
        <f aca="false">A653*$C$6</f>
        <v>1.17850704860986</v>
      </c>
      <c r="C653" s="48" t="n">
        <f aca="false">$C$7*B653</f>
        <v>8.94444444444445</v>
      </c>
      <c r="D653" s="49" t="n">
        <f aca="false">0.5*c_rho*'P3 Energie'!E8*'P3 Energie'!E7*(C653-c_Vv)^2+'P3 Energie'!E13+'P3 Energie'!E15+'P3 Energie'!E6*$C$7</f>
        <v>18212.0658332475</v>
      </c>
      <c r="E653" s="50" t="n">
        <f aca="false">D653*C653</f>
        <v>162896.811064047</v>
      </c>
      <c r="F653" s="46" t="n">
        <v>644</v>
      </c>
      <c r="G653" s="47" t="n">
        <f aca="false">F653*$H$6</f>
        <v>1.17510439622392</v>
      </c>
      <c r="H653" s="48" t="n">
        <f aca="false">$H$7*G653</f>
        <v>8.94444444444445</v>
      </c>
      <c r="I653" s="49" t="n">
        <f aca="false">0.5*c_rho*'P3 Energie'!F8*'P3 Energie'!F7*(H653-c_Vv)^2+'P3 Energie'!F13+'P3 Energie'!F15+'P3 Energie'!F6*$H$7</f>
        <v>19066.0656634111</v>
      </c>
      <c r="J653" s="50" t="n">
        <f aca="false">I653*H653</f>
        <v>170535.365100511</v>
      </c>
    </row>
    <row r="654" customFormat="false" ht="15" hidden="false" customHeight="false" outlineLevel="0" collapsed="false">
      <c r="A654" s="46" t="n">
        <v>645</v>
      </c>
      <c r="B654" s="47" t="n">
        <f aca="false">A654*$C$6</f>
        <v>1.18033702849901</v>
      </c>
      <c r="C654" s="48" t="n">
        <f aca="false">$C$7*B654</f>
        <v>8.95833333333333</v>
      </c>
      <c r="D654" s="49" t="n">
        <f aca="false">0.5*c_rho*'P3 Energie'!E8*'P3 Energie'!E7*(C654-c_Vv)^2+'P3 Energie'!E13+'P3 Energie'!E15+'P3 Energie'!E6*$C$7</f>
        <v>18212.1651535649</v>
      </c>
      <c r="E654" s="50" t="n">
        <f aca="false">D654*C654</f>
        <v>163150.646167352</v>
      </c>
      <c r="F654" s="46" t="n">
        <v>645</v>
      </c>
      <c r="G654" s="47" t="n">
        <f aca="false">F654*$H$6</f>
        <v>1.17692909249135</v>
      </c>
      <c r="H654" s="48" t="n">
        <f aca="false">$H$7*G654</f>
        <v>8.95833333333333</v>
      </c>
      <c r="I654" s="49" t="n">
        <f aca="false">0.5*c_rho*'P3 Energie'!F8*'P3 Energie'!F7*(H654-c_Vv)^2+'P3 Energie'!F13+'P3 Energie'!F15+'P3 Energie'!F6*$H$7</f>
        <v>19066.1519550984</v>
      </c>
      <c r="J654" s="50" t="n">
        <f aca="false">I654*H654</f>
        <v>170800.944597756</v>
      </c>
    </row>
    <row r="655" customFormat="false" ht="15" hidden="false" customHeight="false" outlineLevel="0" collapsed="false">
      <c r="A655" s="46" t="n">
        <v>646</v>
      </c>
      <c r="B655" s="47" t="n">
        <f aca="false">A655*$C$6</f>
        <v>1.18216700838815</v>
      </c>
      <c r="C655" s="48" t="n">
        <f aca="false">$C$7*B655</f>
        <v>8.97222222222222</v>
      </c>
      <c r="D655" s="49" t="n">
        <f aca="false">0.5*c_rho*'P3 Energie'!E8*'P3 Energie'!E7*(C655-c_Vv)^2+'P3 Energie'!E13+'P3 Energie'!E15+'P3 Energie'!E6*$C$7</f>
        <v>18212.2646279868</v>
      </c>
      <c r="E655" s="50" t="n">
        <f aca="false">D655*C655</f>
        <v>163404.485412215</v>
      </c>
      <c r="F655" s="46" t="n">
        <v>646</v>
      </c>
      <c r="G655" s="47" t="n">
        <f aca="false">F655*$H$6</f>
        <v>1.17875378875878</v>
      </c>
      <c r="H655" s="48" t="n">
        <f aca="false">$H$7*G655</f>
        <v>8.97222222222222</v>
      </c>
      <c r="I655" s="49" t="n">
        <f aca="false">0.5*c_rho*'P3 Energie'!F8*'P3 Energie'!F7*(H655-c_Vv)^2+'P3 Energie'!F13+'P3 Energie'!F15+'P3 Energie'!F6*$H$7</f>
        <v>19066.238380675</v>
      </c>
      <c r="J655" s="50" t="n">
        <f aca="false">I655*H655</f>
        <v>171066.527693279</v>
      </c>
    </row>
    <row r="656" customFormat="false" ht="15" hidden="false" customHeight="false" outlineLevel="0" collapsed="false">
      <c r="A656" s="46" t="n">
        <v>647</v>
      </c>
      <c r="B656" s="47" t="n">
        <f aca="false">A656*$C$6</f>
        <v>1.1839969882773</v>
      </c>
      <c r="C656" s="48" t="n">
        <f aca="false">$C$7*B656</f>
        <v>8.98611111111111</v>
      </c>
      <c r="D656" s="49" t="n">
        <f aca="false">0.5*c_rho*'P3 Energie'!E8*'P3 Energie'!E7*(C656-c_Vv)^2+'P3 Energie'!E13+'P3 Energie'!E15+'P3 Energie'!E6*$C$7</f>
        <v>18212.3642565131</v>
      </c>
      <c r="E656" s="50" t="n">
        <f aca="false">D656*C656</f>
        <v>163658.328805055</v>
      </c>
      <c r="F656" s="46" t="n">
        <v>647</v>
      </c>
      <c r="G656" s="47" t="n">
        <f aca="false">F656*$H$6</f>
        <v>1.18057848502621</v>
      </c>
      <c r="H656" s="48" t="n">
        <f aca="false">$H$7*G656</f>
        <v>8.98611111111111</v>
      </c>
      <c r="I656" s="49" t="n">
        <f aca="false">0.5*c_rho*'P3 Energie'!F8*'P3 Energie'!F7*(H656-c_Vv)^2+'P3 Energie'!F13+'P3 Energie'!F15+'P3 Energie'!F6*$H$7</f>
        <v>19066.324940141</v>
      </c>
      <c r="J656" s="50" t="n">
        <f aca="false">I656*H656</f>
        <v>171332.114392656</v>
      </c>
    </row>
    <row r="657" customFormat="false" ht="15" hidden="false" customHeight="false" outlineLevel="0" collapsed="false">
      <c r="A657" s="46" t="n">
        <v>648</v>
      </c>
      <c r="B657" s="47" t="n">
        <f aca="false">A657*$C$6</f>
        <v>1.18582696816645</v>
      </c>
      <c r="C657" s="48" t="n">
        <f aca="false">$C$7*B657</f>
        <v>9</v>
      </c>
      <c r="D657" s="49" t="n">
        <f aca="false">0.5*c_rho*'P3 Energie'!E8*'P3 Energie'!E7*(C657-c_Vv)^2+'P3 Energie'!E13+'P3 Energie'!E15+'P3 Energie'!E6*$C$7</f>
        <v>18212.4640391439</v>
      </c>
      <c r="E657" s="50" t="n">
        <f aca="false">D657*C657</f>
        <v>163912.176352295</v>
      </c>
      <c r="F657" s="46" t="n">
        <v>648</v>
      </c>
      <c r="G657" s="47" t="n">
        <f aca="false">F657*$H$6</f>
        <v>1.18240318129364</v>
      </c>
      <c r="H657" s="48" t="n">
        <f aca="false">$H$7*G657</f>
        <v>9</v>
      </c>
      <c r="I657" s="49" t="n">
        <f aca="false">0.5*c_rho*'P3 Energie'!F8*'P3 Energie'!F7*(H657-c_Vv)^2+'P3 Energie'!F13+'P3 Energie'!F15+'P3 Energie'!F6*$H$7</f>
        <v>19066.4116334963</v>
      </c>
      <c r="J657" s="50" t="n">
        <f aca="false">I657*H657</f>
        <v>171597.704701467</v>
      </c>
    </row>
    <row r="658" customFormat="false" ht="15" hidden="false" customHeight="false" outlineLevel="0" collapsed="false">
      <c r="A658" s="46" t="n">
        <v>649</v>
      </c>
      <c r="B658" s="47" t="n">
        <f aca="false">A658*$C$6</f>
        <v>1.18765694805559</v>
      </c>
      <c r="C658" s="48" t="n">
        <f aca="false">$C$7*B658</f>
        <v>9.01388888888889</v>
      </c>
      <c r="D658" s="49" t="n">
        <f aca="false">0.5*c_rho*'P3 Energie'!E8*'P3 Energie'!E7*(C658-c_Vv)^2+'P3 Energie'!E13+'P3 Energie'!E15+'P3 Energie'!E6*$C$7</f>
        <v>18212.5639758791</v>
      </c>
      <c r="E658" s="50" t="n">
        <f aca="false">D658*C658</f>
        <v>164166.028060355</v>
      </c>
      <c r="F658" s="46" t="n">
        <v>649</v>
      </c>
      <c r="G658" s="47" t="n">
        <f aca="false">F658*$H$6</f>
        <v>1.18422787756107</v>
      </c>
      <c r="H658" s="48" t="n">
        <f aca="false">$H$7*G658</f>
        <v>9.01388888888889</v>
      </c>
      <c r="I658" s="49" t="n">
        <f aca="false">0.5*c_rho*'P3 Energie'!F8*'P3 Energie'!F7*(H658-c_Vv)^2+'P3 Energie'!F13+'P3 Energie'!F15+'P3 Energie'!F6*$H$7</f>
        <v>19066.498460741</v>
      </c>
      <c r="J658" s="50" t="n">
        <f aca="false">I658*H658</f>
        <v>171863.29862529</v>
      </c>
    </row>
    <row r="659" customFormat="false" ht="15" hidden="false" customHeight="false" outlineLevel="0" collapsed="false">
      <c r="A659" s="46" t="n">
        <v>650</v>
      </c>
      <c r="B659" s="47" t="n">
        <f aca="false">A659*$C$6</f>
        <v>1.18948692794474</v>
      </c>
      <c r="C659" s="48" t="n">
        <f aca="false">$C$7*B659</f>
        <v>9.02777777777778</v>
      </c>
      <c r="D659" s="49" t="n">
        <f aca="false">0.5*c_rho*'P3 Energie'!E8*'P3 Energie'!E7*(C659-c_Vv)^2+'P3 Energie'!E13+'P3 Energie'!E15+'P3 Energie'!E6*$C$7</f>
        <v>18212.6640667188</v>
      </c>
      <c r="E659" s="50" t="n">
        <f aca="false">D659*C659</f>
        <v>164419.883935655</v>
      </c>
      <c r="F659" s="46" t="n">
        <v>650</v>
      </c>
      <c r="G659" s="47" t="n">
        <f aca="false">F659*$H$6</f>
        <v>1.18605257382849</v>
      </c>
      <c r="H659" s="48" t="n">
        <f aca="false">$H$7*G659</f>
        <v>9.02777777777778</v>
      </c>
      <c r="I659" s="49" t="n">
        <f aca="false">0.5*c_rho*'P3 Energie'!F8*'P3 Energie'!F7*(H659-c_Vv)^2+'P3 Energie'!F13+'P3 Energie'!F15+'P3 Energie'!F6*$H$7</f>
        <v>19066.585421875</v>
      </c>
      <c r="J659" s="50" t="n">
        <f aca="false">I659*H659</f>
        <v>172128.896169705</v>
      </c>
    </row>
    <row r="660" customFormat="false" ht="15" hidden="false" customHeight="false" outlineLevel="0" collapsed="false">
      <c r="A660" s="46" t="n">
        <v>651</v>
      </c>
      <c r="B660" s="47" t="n">
        <f aca="false">A660*$C$6</f>
        <v>1.19131690783388</v>
      </c>
      <c r="C660" s="48" t="n">
        <f aca="false">$C$7*B660</f>
        <v>9.04166666666667</v>
      </c>
      <c r="D660" s="49" t="n">
        <f aca="false">0.5*c_rho*'P3 Energie'!E8*'P3 Energie'!E7*(C660-c_Vv)^2+'P3 Energie'!E13+'P3 Energie'!E15+'P3 Energie'!E6*$C$7</f>
        <v>18212.7643116629</v>
      </c>
      <c r="E660" s="50" t="n">
        <f aca="false">D660*C660</f>
        <v>164673.743984619</v>
      </c>
      <c r="F660" s="46" t="n">
        <v>651</v>
      </c>
      <c r="G660" s="47" t="n">
        <f aca="false">F660*$H$6</f>
        <v>1.18787727009592</v>
      </c>
      <c r="H660" s="48" t="n">
        <f aca="false">$H$7*G660</f>
        <v>9.04166666666667</v>
      </c>
      <c r="I660" s="49" t="n">
        <f aca="false">0.5*c_rho*'P3 Energie'!F8*'P3 Energie'!F7*(H660-c_Vv)^2+'P3 Energie'!F13+'P3 Energie'!F15+'P3 Energie'!F6*$H$7</f>
        <v>19066.6725168984</v>
      </c>
      <c r="J660" s="50" t="n">
        <f aca="false">I660*H660</f>
        <v>172394.49734029</v>
      </c>
    </row>
    <row r="661" customFormat="false" ht="15" hidden="false" customHeight="false" outlineLevel="0" collapsed="false">
      <c r="A661" s="46" t="n">
        <v>652</v>
      </c>
      <c r="B661" s="47" t="n">
        <f aca="false">A661*$C$6</f>
        <v>1.19314688772303</v>
      </c>
      <c r="C661" s="48" t="n">
        <f aca="false">$C$7*B661</f>
        <v>9.05555555555556</v>
      </c>
      <c r="D661" s="49" t="n">
        <f aca="false">0.5*c_rho*'P3 Energie'!E8*'P3 Energie'!E7*(C661-c_Vv)^2+'P3 Energie'!E13+'P3 Energie'!E15+'P3 Energie'!E6*$C$7</f>
        <v>18212.8647107115</v>
      </c>
      <c r="E661" s="50" t="n">
        <f aca="false">D661*C661</f>
        <v>164927.608213665</v>
      </c>
      <c r="F661" s="46" t="n">
        <v>652</v>
      </c>
      <c r="G661" s="47" t="n">
        <f aca="false">F661*$H$6</f>
        <v>1.18970196636335</v>
      </c>
      <c r="H661" s="48" t="n">
        <f aca="false">$H$7*G661</f>
        <v>9.05555555555556</v>
      </c>
      <c r="I661" s="49" t="n">
        <f aca="false">0.5*c_rho*'P3 Energie'!F8*'P3 Energie'!F7*(H661-c_Vv)^2+'P3 Energie'!F13+'P3 Energie'!F15+'P3 Energie'!F6*$H$7</f>
        <v>19066.7597458111</v>
      </c>
      <c r="J661" s="50" t="n">
        <f aca="false">I661*H661</f>
        <v>172660.102142623</v>
      </c>
    </row>
    <row r="662" customFormat="false" ht="15" hidden="false" customHeight="false" outlineLevel="0" collapsed="false">
      <c r="A662" s="46" t="n">
        <v>653</v>
      </c>
      <c r="B662" s="47" t="n">
        <f aca="false">A662*$C$6</f>
        <v>1.19497686761217</v>
      </c>
      <c r="C662" s="48" t="n">
        <f aca="false">$C$7*B662</f>
        <v>9.06944444444445</v>
      </c>
      <c r="D662" s="49" t="n">
        <f aca="false">0.5*c_rho*'P3 Energie'!E8*'P3 Energie'!E7*(C662-c_Vv)^2+'P3 Energie'!E13+'P3 Energie'!E15+'P3 Energie'!E6*$C$7</f>
        <v>18212.9652638645</v>
      </c>
      <c r="E662" s="50" t="n">
        <f aca="false">D662*C662</f>
        <v>165181.476629215</v>
      </c>
      <c r="F662" s="46" t="n">
        <v>653</v>
      </c>
      <c r="G662" s="47" t="n">
        <f aca="false">F662*$H$6</f>
        <v>1.19152666263078</v>
      </c>
      <c r="H662" s="48" t="n">
        <f aca="false">$H$7*G662</f>
        <v>9.06944444444445</v>
      </c>
      <c r="I662" s="49" t="n">
        <f aca="false">0.5*c_rho*'P3 Energie'!F8*'P3 Energie'!F7*(H662-c_Vv)^2+'P3 Energie'!F13+'P3 Energie'!F15+'P3 Energie'!F6*$H$7</f>
        <v>19066.8471086132</v>
      </c>
      <c r="J662" s="50" t="n">
        <f aca="false">I662*H662</f>
        <v>172925.710582284</v>
      </c>
    </row>
    <row r="663" customFormat="false" ht="15" hidden="false" customHeight="false" outlineLevel="0" collapsed="false">
      <c r="A663" s="46" t="n">
        <v>654</v>
      </c>
      <c r="B663" s="47" t="n">
        <f aca="false">A663*$C$6</f>
        <v>1.19680684750132</v>
      </c>
      <c r="C663" s="48" t="n">
        <f aca="false">$C$7*B663</f>
        <v>9.08333333333333</v>
      </c>
      <c r="D663" s="49" t="n">
        <f aca="false">0.5*c_rho*'P3 Energie'!E8*'P3 Energie'!E7*(C663-c_Vv)^2+'P3 Energie'!E13+'P3 Energie'!E15+'P3 Energie'!E6*$C$7</f>
        <v>18213.0659711219</v>
      </c>
      <c r="E663" s="50" t="n">
        <f aca="false">D663*C663</f>
        <v>165435.349237691</v>
      </c>
      <c r="F663" s="46" t="n">
        <v>654</v>
      </c>
      <c r="G663" s="47" t="n">
        <f aca="false">F663*$H$6</f>
        <v>1.19335135889821</v>
      </c>
      <c r="H663" s="48" t="n">
        <f aca="false">$H$7*G663</f>
        <v>9.08333333333333</v>
      </c>
      <c r="I663" s="49" t="n">
        <f aca="false">0.5*c_rho*'P3 Energie'!F8*'P3 Energie'!F7*(H663-c_Vv)^2+'P3 Energie'!F13+'P3 Energie'!F15+'P3 Energie'!F6*$H$7</f>
        <v>19066.9346053046</v>
      </c>
      <c r="J663" s="50" t="n">
        <f aca="false">I663*H663</f>
        <v>173191.32266485</v>
      </c>
    </row>
    <row r="664" customFormat="false" ht="15" hidden="false" customHeight="false" outlineLevel="0" collapsed="false">
      <c r="A664" s="46" t="n">
        <v>655</v>
      </c>
      <c r="B664" s="47" t="n">
        <f aca="false">A664*$C$6</f>
        <v>1.19863682739047</v>
      </c>
      <c r="C664" s="48" t="n">
        <f aca="false">$C$7*B664</f>
        <v>9.09722222222222</v>
      </c>
      <c r="D664" s="49" t="n">
        <f aca="false">0.5*c_rho*'P3 Energie'!E8*'P3 Energie'!E7*(C664-c_Vv)^2+'P3 Energie'!E13+'P3 Energie'!E15+'P3 Energie'!E6*$C$7</f>
        <v>18213.1668324839</v>
      </c>
      <c r="E664" s="50" t="n">
        <f aca="false">D664*C664</f>
        <v>165689.226045513</v>
      </c>
      <c r="F664" s="46" t="n">
        <v>655</v>
      </c>
      <c r="G664" s="47" t="n">
        <f aca="false">F664*$H$6</f>
        <v>1.19517605516564</v>
      </c>
      <c r="H664" s="48" t="n">
        <f aca="false">$H$7*G664</f>
        <v>9.09722222222222</v>
      </c>
      <c r="I664" s="49" t="n">
        <f aca="false">0.5*c_rho*'P3 Energie'!F8*'P3 Energie'!F7*(H664-c_Vv)^2+'P3 Energie'!F13+'P3 Energie'!F15+'P3 Energie'!F6*$H$7</f>
        <v>19067.0222358854</v>
      </c>
      <c r="J664" s="50" t="n">
        <f aca="false">I664*H664</f>
        <v>173456.938395902</v>
      </c>
    </row>
    <row r="665" customFormat="false" ht="15" hidden="false" customHeight="false" outlineLevel="0" collapsed="false">
      <c r="A665" s="46" t="n">
        <v>656</v>
      </c>
      <c r="B665" s="47" t="n">
        <f aca="false">A665*$C$6</f>
        <v>1.20046680727961</v>
      </c>
      <c r="C665" s="48" t="n">
        <f aca="false">$C$7*B665</f>
        <v>9.11111111111111</v>
      </c>
      <c r="D665" s="49" t="n">
        <f aca="false">0.5*c_rho*'P3 Energie'!E8*'P3 Energie'!E7*(C665-c_Vv)^2+'P3 Energie'!E13+'P3 Energie'!E15+'P3 Energie'!E6*$C$7</f>
        <v>18213.2678479502</v>
      </c>
      <c r="E665" s="50" t="n">
        <f aca="false">D665*C665</f>
        <v>165943.107059102</v>
      </c>
      <c r="F665" s="46" t="n">
        <v>656</v>
      </c>
      <c r="G665" s="47" t="n">
        <f aca="false">F665*$H$6</f>
        <v>1.19700075143307</v>
      </c>
      <c r="H665" s="48" t="n">
        <f aca="false">$H$7*G665</f>
        <v>9.11111111111111</v>
      </c>
      <c r="I665" s="49" t="n">
        <f aca="false">0.5*c_rho*'P3 Energie'!F8*'P3 Energie'!F7*(H665-c_Vv)^2+'P3 Energie'!F13+'P3 Energie'!F15+'P3 Energie'!F6*$H$7</f>
        <v>19067.1100003556</v>
      </c>
      <c r="J665" s="50" t="n">
        <f aca="false">I665*H665</f>
        <v>173722.557781017</v>
      </c>
    </row>
    <row r="666" customFormat="false" ht="15" hidden="false" customHeight="false" outlineLevel="0" collapsed="false">
      <c r="A666" s="46" t="n">
        <v>657</v>
      </c>
      <c r="B666" s="47" t="n">
        <f aca="false">A666*$C$6</f>
        <v>1.20229678716876</v>
      </c>
      <c r="C666" s="48" t="n">
        <f aca="false">$C$7*B666</f>
        <v>9.125</v>
      </c>
      <c r="D666" s="49" t="n">
        <f aca="false">0.5*c_rho*'P3 Energie'!E8*'P3 Energie'!E7*(C666-c_Vv)^2+'P3 Energie'!E13+'P3 Energie'!E15+'P3 Energie'!E6*$C$7</f>
        <v>18213.369017521</v>
      </c>
      <c r="E666" s="50" t="n">
        <f aca="false">D666*C666</f>
        <v>166196.99228488</v>
      </c>
      <c r="F666" s="46" t="n">
        <v>657</v>
      </c>
      <c r="G666" s="47" t="n">
        <f aca="false">F666*$H$6</f>
        <v>1.19882544770049</v>
      </c>
      <c r="H666" s="48" t="n">
        <f aca="false">$H$7*G666</f>
        <v>9.125</v>
      </c>
      <c r="I666" s="49" t="n">
        <f aca="false">0.5*c_rho*'P3 Energie'!F8*'P3 Energie'!F7*(H666-c_Vv)^2+'P3 Energie'!F13+'P3 Energie'!F15+'P3 Energie'!F6*$H$7</f>
        <v>19067.197898715</v>
      </c>
      <c r="J666" s="50" t="n">
        <f aca="false">I666*H666</f>
        <v>173988.180825775</v>
      </c>
    </row>
    <row r="667" customFormat="false" ht="15" hidden="false" customHeight="false" outlineLevel="0" collapsed="false">
      <c r="A667" s="46" t="n">
        <v>658</v>
      </c>
      <c r="B667" s="47" t="n">
        <f aca="false">A667*$C$6</f>
        <v>1.2041267670579</v>
      </c>
      <c r="C667" s="48" t="n">
        <f aca="false">$C$7*B667</f>
        <v>9.13888888888889</v>
      </c>
      <c r="D667" s="49" t="n">
        <f aca="false">0.5*c_rho*'P3 Energie'!E8*'P3 Energie'!E7*(C667-c_Vv)^2+'P3 Energie'!E13+'P3 Energie'!E15+'P3 Energie'!E6*$C$7</f>
        <v>18213.4703411963</v>
      </c>
      <c r="E667" s="50" t="n">
        <f aca="false">D667*C667</f>
        <v>166450.881729266</v>
      </c>
      <c r="F667" s="46" t="n">
        <v>658</v>
      </c>
      <c r="G667" s="47" t="n">
        <f aca="false">F667*$H$6</f>
        <v>1.20065014396792</v>
      </c>
      <c r="H667" s="48" t="n">
        <f aca="false">$H$7*G667</f>
        <v>9.13888888888889</v>
      </c>
      <c r="I667" s="49" t="n">
        <f aca="false">0.5*c_rho*'P3 Energie'!F8*'P3 Energie'!F7*(H667-c_Vv)^2+'P3 Energie'!F13+'P3 Energie'!F15+'P3 Energie'!F6*$H$7</f>
        <v>19067.2859309639</v>
      </c>
      <c r="J667" s="50" t="n">
        <f aca="false">I667*H667</f>
        <v>174253.807535753</v>
      </c>
    </row>
    <row r="668" customFormat="false" ht="15" hidden="false" customHeight="false" outlineLevel="0" collapsed="false">
      <c r="A668" s="46" t="n">
        <v>659</v>
      </c>
      <c r="B668" s="47" t="n">
        <f aca="false">A668*$C$6</f>
        <v>1.20595674694705</v>
      </c>
      <c r="C668" s="48" t="n">
        <f aca="false">$C$7*B668</f>
        <v>9.15277777777778</v>
      </c>
      <c r="D668" s="49" t="n">
        <f aca="false">0.5*c_rho*'P3 Energie'!E8*'P3 Energie'!E7*(C668-c_Vv)^2+'P3 Energie'!E13+'P3 Energie'!E15+'P3 Energie'!E6*$C$7</f>
        <v>18213.571818976</v>
      </c>
      <c r="E668" s="50" t="n">
        <f aca="false">D668*C668</f>
        <v>166704.775398683</v>
      </c>
      <c r="F668" s="46" t="n">
        <v>659</v>
      </c>
      <c r="G668" s="47" t="n">
        <f aca="false">F668*$H$6</f>
        <v>1.20247484023535</v>
      </c>
      <c r="H668" s="48" t="n">
        <f aca="false">$H$7*G668</f>
        <v>9.15277777777778</v>
      </c>
      <c r="I668" s="49" t="n">
        <f aca="false">0.5*c_rho*'P3 Energie'!F8*'P3 Energie'!F7*(H668-c_Vv)^2+'P3 Energie'!F13+'P3 Energie'!F15+'P3 Energie'!F6*$H$7</f>
        <v>19067.3740971021</v>
      </c>
      <c r="J668" s="50" t="n">
        <f aca="false">I668*H668</f>
        <v>174519.437916532</v>
      </c>
    </row>
    <row r="669" customFormat="false" ht="15" hidden="false" customHeight="false" outlineLevel="0" collapsed="false">
      <c r="A669" s="46" t="n">
        <v>660</v>
      </c>
      <c r="B669" s="47" t="n">
        <f aca="false">A669*$C$6</f>
        <v>1.20778672683619</v>
      </c>
      <c r="C669" s="48" t="n">
        <f aca="false">$C$7*B669</f>
        <v>9.16666666666667</v>
      </c>
      <c r="D669" s="49" t="n">
        <f aca="false">0.5*c_rho*'P3 Energie'!E8*'P3 Energie'!E7*(C669-c_Vv)^2+'P3 Energie'!E13+'P3 Energie'!E15+'P3 Energie'!E6*$C$7</f>
        <v>18213.6734508602</v>
      </c>
      <c r="E669" s="50" t="n">
        <f aca="false">D669*C669</f>
        <v>166958.673299552</v>
      </c>
      <c r="F669" s="46" t="n">
        <v>660</v>
      </c>
      <c r="G669" s="47" t="n">
        <f aca="false">F669*$H$6</f>
        <v>1.20429953650278</v>
      </c>
      <c r="H669" s="48" t="n">
        <f aca="false">$H$7*G669</f>
        <v>9.16666666666667</v>
      </c>
      <c r="I669" s="49" t="n">
        <f aca="false">0.5*c_rho*'P3 Energie'!F8*'P3 Energie'!F7*(H669-c_Vv)^2+'P3 Energie'!F13+'P3 Energie'!F15+'P3 Energie'!F6*$H$7</f>
        <v>19067.4623971296</v>
      </c>
      <c r="J669" s="50" t="n">
        <f aca="false">I669*H669</f>
        <v>174785.071973688</v>
      </c>
    </row>
    <row r="670" customFormat="false" ht="15" hidden="false" customHeight="false" outlineLevel="0" collapsed="false">
      <c r="A670" s="46" t="n">
        <v>661</v>
      </c>
      <c r="B670" s="47" t="n">
        <f aca="false">A670*$C$6</f>
        <v>1.20961670672534</v>
      </c>
      <c r="C670" s="48" t="n">
        <f aca="false">$C$7*B670</f>
        <v>9.18055555555556</v>
      </c>
      <c r="D670" s="49" t="n">
        <f aca="false">0.5*c_rho*'P3 Energie'!E8*'P3 Energie'!E7*(C670-c_Vv)^2+'P3 Energie'!E13+'P3 Energie'!E15+'P3 Energie'!E6*$C$7</f>
        <v>18213.7752368488</v>
      </c>
      <c r="E670" s="50" t="n">
        <f aca="false">D670*C670</f>
        <v>167212.575438293</v>
      </c>
      <c r="F670" s="46" t="n">
        <v>661</v>
      </c>
      <c r="G670" s="47" t="n">
        <f aca="false">F670*$H$6</f>
        <v>1.20612423277021</v>
      </c>
      <c r="H670" s="48" t="n">
        <f aca="false">$H$7*G670</f>
        <v>9.18055555555556</v>
      </c>
      <c r="I670" s="49" t="n">
        <f aca="false">0.5*c_rho*'P3 Energie'!F8*'P3 Energie'!F7*(H670-c_Vv)^2+'P3 Energie'!F13+'P3 Energie'!F15+'P3 Energie'!F6*$H$7</f>
        <v>19067.5508310465</v>
      </c>
      <c r="J670" s="50" t="n">
        <f aca="false">I670*H670</f>
        <v>175050.709712802</v>
      </c>
    </row>
    <row r="671" customFormat="false" ht="15" hidden="false" customHeight="false" outlineLevel="0" collapsed="false">
      <c r="A671" s="46" t="n">
        <v>662</v>
      </c>
      <c r="B671" s="47" t="n">
        <f aca="false">A671*$C$6</f>
        <v>1.21144668661449</v>
      </c>
      <c r="C671" s="48" t="n">
        <f aca="false">$C$7*B671</f>
        <v>9.19444444444445</v>
      </c>
      <c r="D671" s="49" t="n">
        <f aca="false">0.5*c_rho*'P3 Energie'!E8*'P3 Energie'!E7*(C671-c_Vv)^2+'P3 Energie'!E13+'P3 Energie'!E15+'P3 Energie'!E6*$C$7</f>
        <v>18213.8771769419</v>
      </c>
      <c r="E671" s="50" t="n">
        <f aca="false">D671*C671</f>
        <v>167466.481821327</v>
      </c>
      <c r="F671" s="46" t="n">
        <v>662</v>
      </c>
      <c r="G671" s="47" t="n">
        <f aca="false">F671*$H$6</f>
        <v>1.20794892903764</v>
      </c>
      <c r="H671" s="48" t="n">
        <f aca="false">$H$7*G671</f>
        <v>9.19444444444445</v>
      </c>
      <c r="I671" s="49" t="n">
        <f aca="false">0.5*c_rho*'P3 Energie'!F8*'P3 Energie'!F7*(H671-c_Vv)^2+'P3 Energie'!F13+'P3 Energie'!F15+'P3 Energie'!F6*$H$7</f>
        <v>19067.6393988528</v>
      </c>
      <c r="J671" s="50" t="n">
        <f aca="false">I671*H671</f>
        <v>175316.351139452</v>
      </c>
    </row>
    <row r="672" customFormat="false" ht="15" hidden="false" customHeight="false" outlineLevel="0" collapsed="false">
      <c r="A672" s="46" t="n">
        <v>663</v>
      </c>
      <c r="B672" s="47" t="n">
        <f aca="false">A672*$C$6</f>
        <v>1.21327666650363</v>
      </c>
      <c r="C672" s="48" t="n">
        <f aca="false">$C$7*B672</f>
        <v>9.20833333333333</v>
      </c>
      <c r="D672" s="49" t="n">
        <f aca="false">0.5*c_rho*'P3 Energie'!E8*'P3 Energie'!E7*(C672-c_Vv)^2+'P3 Energie'!E13+'P3 Energie'!E15+'P3 Energie'!E6*$C$7</f>
        <v>18213.9792711394</v>
      </c>
      <c r="E672" s="50" t="n">
        <f aca="false">D672*C672</f>
        <v>167720.392455075</v>
      </c>
      <c r="F672" s="46" t="n">
        <v>663</v>
      </c>
      <c r="G672" s="47" t="n">
        <f aca="false">F672*$H$6</f>
        <v>1.20977362530506</v>
      </c>
      <c r="H672" s="48" t="n">
        <f aca="false">$H$7*G672</f>
        <v>9.20833333333333</v>
      </c>
      <c r="I672" s="49" t="n">
        <f aca="false">0.5*c_rho*'P3 Energie'!F8*'P3 Energie'!F7*(H672-c_Vv)^2+'P3 Energie'!F13+'P3 Energie'!F15+'P3 Energie'!F6*$H$7</f>
        <v>19067.7281005484</v>
      </c>
      <c r="J672" s="50" t="n">
        <f aca="false">I672*H672</f>
        <v>175581.996259216</v>
      </c>
    </row>
    <row r="673" customFormat="false" ht="15" hidden="false" customHeight="false" outlineLevel="0" collapsed="false">
      <c r="A673" s="46" t="n">
        <v>664</v>
      </c>
      <c r="B673" s="47" t="n">
        <f aca="false">A673*$C$6</f>
        <v>1.21510664639278</v>
      </c>
      <c r="C673" s="48" t="n">
        <f aca="false">$C$7*B673</f>
        <v>9.22222222222222</v>
      </c>
      <c r="D673" s="49" t="n">
        <f aca="false">0.5*c_rho*'P3 Energie'!E8*'P3 Energie'!E7*(C673-c_Vv)^2+'P3 Energie'!E13+'P3 Energie'!E15+'P3 Energie'!E6*$C$7</f>
        <v>18214.0815194413</v>
      </c>
      <c r="E673" s="50" t="n">
        <f aca="false">D673*C673</f>
        <v>167974.307345959</v>
      </c>
      <c r="F673" s="46" t="n">
        <v>664</v>
      </c>
      <c r="G673" s="47" t="n">
        <f aca="false">F673*$H$6</f>
        <v>1.21159832157249</v>
      </c>
      <c r="H673" s="48" t="n">
        <f aca="false">$H$7*G673</f>
        <v>9.22222222222222</v>
      </c>
      <c r="I673" s="49" t="n">
        <f aca="false">0.5*c_rho*'P3 Energie'!F8*'P3 Energie'!F7*(H673-c_Vv)^2+'P3 Energie'!F13+'P3 Energie'!F15+'P3 Energie'!F6*$H$7</f>
        <v>19067.8169361333</v>
      </c>
      <c r="J673" s="50" t="n">
        <f aca="false">I673*H673</f>
        <v>175847.645077674</v>
      </c>
    </row>
    <row r="674" customFormat="false" ht="15" hidden="false" customHeight="false" outlineLevel="0" collapsed="false">
      <c r="A674" s="46" t="n">
        <v>665</v>
      </c>
      <c r="B674" s="47" t="n">
        <f aca="false">A674*$C$6</f>
        <v>1.21693662628192</v>
      </c>
      <c r="C674" s="48" t="n">
        <f aca="false">$C$7*B674</f>
        <v>9.23611111111111</v>
      </c>
      <c r="D674" s="49" t="n">
        <f aca="false">0.5*c_rho*'P3 Energie'!E8*'P3 Energie'!E7*(C674-c_Vv)^2+'P3 Energie'!E13+'P3 Energie'!E15+'P3 Energie'!E6*$C$7</f>
        <v>18214.1839218478</v>
      </c>
      <c r="E674" s="50" t="n">
        <f aca="false">D674*C674</f>
        <v>168228.226500399</v>
      </c>
      <c r="F674" s="46" t="n">
        <v>665</v>
      </c>
      <c r="G674" s="47" t="n">
        <f aca="false">F674*$H$6</f>
        <v>1.21342301783992</v>
      </c>
      <c r="H674" s="48" t="n">
        <f aca="false">$H$7*G674</f>
        <v>9.23611111111111</v>
      </c>
      <c r="I674" s="49" t="n">
        <f aca="false">0.5*c_rho*'P3 Energie'!F8*'P3 Energie'!F7*(H674-c_Vv)^2+'P3 Energie'!F13+'P3 Energie'!F15+'P3 Energie'!F6*$H$7</f>
        <v>19067.9059056076</v>
      </c>
      <c r="J674" s="50" t="n">
        <f aca="false">I674*H674</f>
        <v>176113.297600404</v>
      </c>
    </row>
    <row r="675" customFormat="false" ht="15" hidden="false" customHeight="false" outlineLevel="0" collapsed="false">
      <c r="A675" s="46" t="n">
        <v>666</v>
      </c>
      <c r="B675" s="47" t="n">
        <f aca="false">A675*$C$6</f>
        <v>1.21876660617107</v>
      </c>
      <c r="C675" s="48" t="n">
        <f aca="false">$C$7*B675</f>
        <v>9.25</v>
      </c>
      <c r="D675" s="49" t="n">
        <f aca="false">0.5*c_rho*'P3 Energie'!E8*'P3 Energie'!E7*(C675-c_Vv)^2+'P3 Energie'!E13+'P3 Energie'!E15+'P3 Energie'!E6*$C$7</f>
        <v>18214.2864783586</v>
      </c>
      <c r="E675" s="50" t="n">
        <f aca="false">D675*C675</f>
        <v>168482.149924817</v>
      </c>
      <c r="F675" s="46" t="n">
        <v>666</v>
      </c>
      <c r="G675" s="47" t="n">
        <f aca="false">F675*$H$6</f>
        <v>1.21524771410735</v>
      </c>
      <c r="H675" s="48" t="n">
        <f aca="false">$H$7*G675</f>
        <v>9.25</v>
      </c>
      <c r="I675" s="49" t="n">
        <f aca="false">0.5*c_rho*'P3 Energie'!F8*'P3 Energie'!F7*(H675-c_Vv)^2+'P3 Energie'!F13+'P3 Energie'!F15+'P3 Energie'!F6*$H$7</f>
        <v>19067.9950089713</v>
      </c>
      <c r="J675" s="50" t="n">
        <f aca="false">I675*H675</f>
        <v>176378.953832985</v>
      </c>
    </row>
    <row r="676" customFormat="false" ht="15" hidden="false" customHeight="false" outlineLevel="0" collapsed="false">
      <c r="A676" s="46" t="n">
        <v>667</v>
      </c>
      <c r="B676" s="47" t="n">
        <f aca="false">A676*$C$6</f>
        <v>1.22059658606021</v>
      </c>
      <c r="C676" s="48" t="n">
        <f aca="false">$C$7*B676</f>
        <v>9.26388888888889</v>
      </c>
      <c r="D676" s="49" t="n">
        <f aca="false">0.5*c_rho*'P3 Energie'!E8*'P3 Energie'!E7*(C676-c_Vv)^2+'P3 Energie'!E13+'P3 Energie'!E15+'P3 Energie'!E6*$C$7</f>
        <v>18214.3891889739</v>
      </c>
      <c r="E676" s="50" t="n">
        <f aca="false">D676*C676</f>
        <v>168736.077625633</v>
      </c>
      <c r="F676" s="46" t="n">
        <v>667</v>
      </c>
      <c r="G676" s="47" t="n">
        <f aca="false">F676*$H$6</f>
        <v>1.21707241037478</v>
      </c>
      <c r="H676" s="48" t="n">
        <f aca="false">$H$7*G676</f>
        <v>9.26388888888889</v>
      </c>
      <c r="I676" s="49" t="n">
        <f aca="false">0.5*c_rho*'P3 Energie'!F8*'P3 Energie'!F7*(H676-c_Vv)^2+'P3 Energie'!F13+'P3 Energie'!F15+'P3 Energie'!F6*$H$7</f>
        <v>19068.0842462243</v>
      </c>
      <c r="J676" s="50" t="n">
        <f aca="false">I676*H676</f>
        <v>176644.613780995</v>
      </c>
    </row>
    <row r="677" customFormat="false" ht="15" hidden="false" customHeight="false" outlineLevel="0" collapsed="false">
      <c r="A677" s="46" t="n">
        <v>668</v>
      </c>
      <c r="B677" s="47" t="n">
        <f aca="false">A677*$C$6</f>
        <v>1.22242656594936</v>
      </c>
      <c r="C677" s="48" t="n">
        <f aca="false">$C$7*B677</f>
        <v>9.27777777777778</v>
      </c>
      <c r="D677" s="49" t="n">
        <f aca="false">0.5*c_rho*'P3 Energie'!E8*'P3 Energie'!E7*(C677-c_Vv)^2+'P3 Energie'!E13+'P3 Energie'!E15+'P3 Energie'!E6*$C$7</f>
        <v>18214.4920536937</v>
      </c>
      <c r="E677" s="50" t="n">
        <f aca="false">D677*C677</f>
        <v>168990.009609269</v>
      </c>
      <c r="F677" s="46" t="n">
        <v>668</v>
      </c>
      <c r="G677" s="47" t="n">
        <f aca="false">F677*$H$6</f>
        <v>1.21889710664221</v>
      </c>
      <c r="H677" s="48" t="n">
        <f aca="false">$H$7*G677</f>
        <v>9.27777777777778</v>
      </c>
      <c r="I677" s="49" t="n">
        <f aca="false">0.5*c_rho*'P3 Energie'!F8*'P3 Energie'!F7*(H677-c_Vv)^2+'P3 Energie'!F13+'P3 Energie'!F15+'P3 Energie'!F6*$H$7</f>
        <v>19068.1736173667</v>
      </c>
      <c r="J677" s="50" t="n">
        <f aca="false">I677*H677</f>
        <v>176910.277450013</v>
      </c>
    </row>
    <row r="678" customFormat="false" ht="15" hidden="false" customHeight="false" outlineLevel="0" collapsed="false">
      <c r="A678" s="46" t="n">
        <v>669</v>
      </c>
      <c r="B678" s="47" t="n">
        <f aca="false">A678*$C$6</f>
        <v>1.22425654583851</v>
      </c>
      <c r="C678" s="48" t="n">
        <f aca="false">$C$7*B678</f>
        <v>9.29166666666667</v>
      </c>
      <c r="D678" s="49" t="n">
        <f aca="false">0.5*c_rho*'P3 Energie'!E8*'P3 Energie'!E7*(C678-c_Vv)^2+'P3 Energie'!E13+'P3 Energie'!E15+'P3 Energie'!E6*$C$7</f>
        <v>18214.5950725179</v>
      </c>
      <c r="E678" s="50" t="n">
        <f aca="false">D678*C678</f>
        <v>169243.945882145</v>
      </c>
      <c r="F678" s="46" t="n">
        <v>669</v>
      </c>
      <c r="G678" s="47" t="n">
        <f aca="false">F678*$H$6</f>
        <v>1.22072180290964</v>
      </c>
      <c r="H678" s="48" t="n">
        <f aca="false">$H$7*G678</f>
        <v>9.29166666666667</v>
      </c>
      <c r="I678" s="49" t="n">
        <f aca="false">0.5*c_rho*'P3 Energie'!F8*'P3 Energie'!F7*(H678-c_Vv)^2+'P3 Energie'!F13+'P3 Energie'!F15+'P3 Energie'!F6*$H$7</f>
        <v>19068.2631223984</v>
      </c>
      <c r="J678" s="50" t="n">
        <f aca="false">I678*H678</f>
        <v>177175.944845618</v>
      </c>
    </row>
    <row r="679" customFormat="false" ht="15" hidden="false" customHeight="false" outlineLevel="0" collapsed="false">
      <c r="A679" s="46" t="n">
        <v>670</v>
      </c>
      <c r="B679" s="47" t="n">
        <f aca="false">A679*$C$6</f>
        <v>1.22608652572765</v>
      </c>
      <c r="C679" s="48" t="n">
        <f aca="false">$C$7*B679</f>
        <v>9.30555555555556</v>
      </c>
      <c r="D679" s="49" t="n">
        <f aca="false">0.5*c_rho*'P3 Energie'!E8*'P3 Energie'!E7*(C679-c_Vv)^2+'P3 Energie'!E13+'P3 Energie'!E15+'P3 Energie'!E6*$C$7</f>
        <v>18214.6982454465</v>
      </c>
      <c r="E679" s="50" t="n">
        <f aca="false">D679*C679</f>
        <v>169497.886450683</v>
      </c>
      <c r="F679" s="46" t="n">
        <v>670</v>
      </c>
      <c r="G679" s="47" t="n">
        <f aca="false">F679*$H$6</f>
        <v>1.22254649917706</v>
      </c>
      <c r="H679" s="48" t="n">
        <f aca="false">$H$7*G679</f>
        <v>9.30555555555556</v>
      </c>
      <c r="I679" s="49" t="n">
        <f aca="false">0.5*c_rho*'P3 Energie'!F8*'P3 Energie'!F7*(H679-c_Vv)^2+'P3 Energie'!F13+'P3 Energie'!F15+'P3 Energie'!F6*$H$7</f>
        <v>19068.3527613194</v>
      </c>
      <c r="J679" s="50" t="n">
        <f aca="false">I679*H679</f>
        <v>177441.615973389</v>
      </c>
    </row>
    <row r="680" customFormat="false" ht="15" hidden="false" customHeight="false" outlineLevel="0" collapsed="false">
      <c r="A680" s="46" t="n">
        <v>671</v>
      </c>
      <c r="B680" s="47" t="n">
        <f aca="false">A680*$C$6</f>
        <v>1.2279165056168</v>
      </c>
      <c r="C680" s="48" t="n">
        <f aca="false">$C$7*B680</f>
        <v>9.31944444444445</v>
      </c>
      <c r="D680" s="49" t="n">
        <f aca="false">0.5*c_rho*'P3 Energie'!E8*'P3 Energie'!E7*(C680-c_Vv)^2+'P3 Energie'!E13+'P3 Energie'!E15+'P3 Energie'!E6*$C$7</f>
        <v>18214.8015724796</v>
      </c>
      <c r="E680" s="50" t="n">
        <f aca="false">D680*C680</f>
        <v>169751.831321303</v>
      </c>
      <c r="F680" s="46" t="n">
        <v>671</v>
      </c>
      <c r="G680" s="47" t="n">
        <f aca="false">F680*$H$6</f>
        <v>1.22437119544449</v>
      </c>
      <c r="H680" s="48" t="n">
        <f aca="false">$H$7*G680</f>
        <v>9.31944444444445</v>
      </c>
      <c r="I680" s="49" t="n">
        <f aca="false">0.5*c_rho*'P3 Energie'!F8*'P3 Energie'!F7*(H680-c_Vv)^2+'P3 Energie'!F13+'P3 Energie'!F15+'P3 Energie'!F6*$H$7</f>
        <v>19068.4425341299</v>
      </c>
      <c r="J680" s="50" t="n">
        <f aca="false">I680*H680</f>
        <v>177707.290838905</v>
      </c>
    </row>
    <row r="681" customFormat="false" ht="15" hidden="false" customHeight="false" outlineLevel="0" collapsed="false">
      <c r="A681" s="46" t="n">
        <v>672</v>
      </c>
      <c r="B681" s="47" t="n">
        <f aca="false">A681*$C$6</f>
        <v>1.22974648550594</v>
      </c>
      <c r="C681" s="48" t="n">
        <f aca="false">$C$7*B681</f>
        <v>9.33333333333333</v>
      </c>
      <c r="D681" s="49" t="n">
        <f aca="false">0.5*c_rho*'P3 Energie'!E8*'P3 Energie'!E7*(C681-c_Vv)^2+'P3 Energie'!E13+'P3 Energie'!E15+'P3 Energie'!E6*$C$7</f>
        <v>18214.9050536172</v>
      </c>
      <c r="E681" s="50" t="n">
        <f aca="false">D681*C681</f>
        <v>170005.780500427</v>
      </c>
      <c r="F681" s="46" t="n">
        <v>672</v>
      </c>
      <c r="G681" s="47" t="n">
        <f aca="false">F681*$H$6</f>
        <v>1.22619589171192</v>
      </c>
      <c r="H681" s="48" t="n">
        <f aca="false">$H$7*G681</f>
        <v>9.33333333333333</v>
      </c>
      <c r="I681" s="49" t="n">
        <f aca="false">0.5*c_rho*'P3 Energie'!F8*'P3 Energie'!F7*(H681-c_Vv)^2+'P3 Energie'!F13+'P3 Energie'!F15+'P3 Energie'!F6*$H$7</f>
        <v>19068.5324408296</v>
      </c>
      <c r="J681" s="50" t="n">
        <f aca="false">I681*H681</f>
        <v>177972.969447743</v>
      </c>
    </row>
    <row r="682" customFormat="false" ht="15" hidden="false" customHeight="false" outlineLevel="0" collapsed="false">
      <c r="A682" s="46" t="n">
        <v>673</v>
      </c>
      <c r="B682" s="47" t="n">
        <f aca="false">A682*$C$6</f>
        <v>1.23157646539509</v>
      </c>
      <c r="C682" s="48" t="n">
        <f aca="false">$C$7*B682</f>
        <v>9.34722222222222</v>
      </c>
      <c r="D682" s="49" t="n">
        <f aca="false">0.5*c_rho*'P3 Energie'!E8*'P3 Energie'!E7*(C682-c_Vv)^2+'P3 Energie'!E13+'P3 Energie'!E15+'P3 Energie'!E6*$C$7</f>
        <v>18215.0086888592</v>
      </c>
      <c r="E682" s="50" t="n">
        <f aca="false">D682*C682</f>
        <v>170259.733994476</v>
      </c>
      <c r="F682" s="46" t="n">
        <v>673</v>
      </c>
      <c r="G682" s="47" t="n">
        <f aca="false">F682*$H$6</f>
        <v>1.22802058797935</v>
      </c>
      <c r="H682" s="48" t="n">
        <f aca="false">$H$7*G682</f>
        <v>9.34722222222222</v>
      </c>
      <c r="I682" s="49" t="n">
        <f aca="false">0.5*c_rho*'P3 Energie'!F8*'P3 Energie'!F7*(H682-c_Vv)^2+'P3 Energie'!F13+'P3 Energie'!F15+'P3 Energie'!F6*$H$7</f>
        <v>19068.6224814188</v>
      </c>
      <c r="J682" s="50" t="n">
        <f aca="false">I682*H682</f>
        <v>178238.651805484</v>
      </c>
    </row>
    <row r="683" customFormat="false" ht="15" hidden="false" customHeight="false" outlineLevel="0" collapsed="false">
      <c r="A683" s="46" t="n">
        <v>674</v>
      </c>
      <c r="B683" s="47" t="n">
        <f aca="false">A683*$C$6</f>
        <v>1.23340644528424</v>
      </c>
      <c r="C683" s="48" t="n">
        <f aca="false">$C$7*B683</f>
        <v>9.36111111111111</v>
      </c>
      <c r="D683" s="49" t="n">
        <f aca="false">0.5*c_rho*'P3 Energie'!E8*'P3 Energie'!E7*(C683-c_Vv)^2+'P3 Energie'!E13+'P3 Energie'!E15+'P3 Energie'!E6*$C$7</f>
        <v>18215.1124782056</v>
      </c>
      <c r="E683" s="50" t="n">
        <f aca="false">D683*C683</f>
        <v>170513.69180987</v>
      </c>
      <c r="F683" s="46" t="n">
        <v>674</v>
      </c>
      <c r="G683" s="47" t="n">
        <f aca="false">F683*$H$6</f>
        <v>1.22984528424678</v>
      </c>
      <c r="H683" s="48" t="n">
        <f aca="false">$H$7*G683</f>
        <v>9.36111111111111</v>
      </c>
      <c r="I683" s="49" t="n">
        <f aca="false">0.5*c_rho*'P3 Energie'!F8*'P3 Energie'!F7*(H683-c_Vv)^2+'P3 Energie'!F13+'P3 Energie'!F15+'P3 Energie'!F6*$H$7</f>
        <v>19068.7126558972</v>
      </c>
      <c r="J683" s="50" t="n">
        <f aca="false">I683*H683</f>
        <v>178504.337917705</v>
      </c>
    </row>
    <row r="684" customFormat="false" ht="15" hidden="false" customHeight="false" outlineLevel="0" collapsed="false">
      <c r="A684" s="46" t="n">
        <v>675</v>
      </c>
      <c r="B684" s="47" t="n">
        <f aca="false">A684*$C$6</f>
        <v>1.23523642517338</v>
      </c>
      <c r="C684" s="48" t="n">
        <f aca="false">$C$7*B684</f>
        <v>9.375</v>
      </c>
      <c r="D684" s="49" t="n">
        <f aca="false">0.5*c_rho*'P3 Energie'!E8*'P3 Energie'!E7*(C684-c_Vv)^2+'P3 Energie'!E13+'P3 Energie'!E15+'P3 Energie'!E6*$C$7</f>
        <v>18215.2164216565</v>
      </c>
      <c r="E684" s="50" t="n">
        <f aca="false">D684*C684</f>
        <v>170767.65395303</v>
      </c>
      <c r="F684" s="46" t="n">
        <v>675</v>
      </c>
      <c r="G684" s="47" t="n">
        <f aca="false">F684*$H$6</f>
        <v>1.23166998051421</v>
      </c>
      <c r="H684" s="48" t="n">
        <f aca="false">$H$7*G684</f>
        <v>9.375</v>
      </c>
      <c r="I684" s="49" t="n">
        <f aca="false">0.5*c_rho*'P3 Energie'!F8*'P3 Energie'!F7*(H684-c_Vv)^2+'P3 Energie'!F13+'P3 Energie'!F15+'P3 Energie'!F6*$H$7</f>
        <v>19068.802964265</v>
      </c>
      <c r="J684" s="50" t="n">
        <f aca="false">I684*H684</f>
        <v>178770.027789985</v>
      </c>
    </row>
    <row r="685" customFormat="false" ht="15" hidden="false" customHeight="false" outlineLevel="0" collapsed="false">
      <c r="A685" s="46" t="n">
        <v>676</v>
      </c>
      <c r="B685" s="47" t="n">
        <f aca="false">A685*$C$6</f>
        <v>1.23706640506253</v>
      </c>
      <c r="C685" s="48" t="n">
        <f aca="false">$C$7*B685</f>
        <v>9.38888888888889</v>
      </c>
      <c r="D685" s="49" t="n">
        <f aca="false">0.5*c_rho*'P3 Energie'!E8*'P3 Energie'!E7*(C685-c_Vv)^2+'P3 Energie'!E13+'P3 Energie'!E15+'P3 Energie'!E6*$C$7</f>
        <v>18215.3205192119</v>
      </c>
      <c r="E685" s="50" t="n">
        <f aca="false">D685*C685</f>
        <v>171021.620430378</v>
      </c>
      <c r="F685" s="46" t="n">
        <v>676</v>
      </c>
      <c r="G685" s="47" t="n">
        <f aca="false">F685*$H$6</f>
        <v>1.23349467678163</v>
      </c>
      <c r="H685" s="48" t="n">
        <f aca="false">$H$7*G685</f>
        <v>9.38888888888889</v>
      </c>
      <c r="I685" s="49" t="n">
        <f aca="false">0.5*c_rho*'P3 Energie'!F8*'P3 Energie'!F7*(H685-c_Vv)^2+'P3 Energie'!F13+'P3 Energie'!F15+'P3 Energie'!F6*$H$7</f>
        <v>19068.8934065222</v>
      </c>
      <c r="J685" s="50" t="n">
        <f aca="false">I685*H685</f>
        <v>179035.721427903</v>
      </c>
    </row>
    <row r="686" customFormat="false" ht="15" hidden="false" customHeight="false" outlineLevel="0" collapsed="false">
      <c r="A686" s="46" t="n">
        <v>677</v>
      </c>
      <c r="B686" s="47" t="n">
        <f aca="false">A686*$C$6</f>
        <v>1.23889638495167</v>
      </c>
      <c r="C686" s="48" t="n">
        <f aca="false">$C$7*B686</f>
        <v>9.40277777777778</v>
      </c>
      <c r="D686" s="49" t="n">
        <f aca="false">0.5*c_rho*'P3 Energie'!E8*'P3 Energie'!E7*(C686-c_Vv)^2+'P3 Energie'!E13+'P3 Energie'!E15+'P3 Energie'!E6*$C$7</f>
        <v>18215.4247708717</v>
      </c>
      <c r="E686" s="50" t="n">
        <f aca="false">D686*C686</f>
        <v>171275.591248335</v>
      </c>
      <c r="F686" s="46" t="n">
        <v>677</v>
      </c>
      <c r="G686" s="47" t="n">
        <f aca="false">F686*$H$6</f>
        <v>1.23531937304906</v>
      </c>
      <c r="H686" s="48" t="n">
        <f aca="false">$H$7*G686</f>
        <v>9.40277777777778</v>
      </c>
      <c r="I686" s="49" t="n">
        <f aca="false">0.5*c_rho*'P3 Energie'!F8*'P3 Energie'!F7*(H686-c_Vv)^2+'P3 Energie'!F13+'P3 Energie'!F15+'P3 Energie'!F6*$H$7</f>
        <v>19068.9839826688</v>
      </c>
      <c r="J686" s="50" t="n">
        <f aca="false">I686*H686</f>
        <v>179301.418837038</v>
      </c>
    </row>
    <row r="687" customFormat="false" ht="15" hidden="false" customHeight="false" outlineLevel="0" collapsed="false">
      <c r="A687" s="46" t="n">
        <v>678</v>
      </c>
      <c r="B687" s="47" t="n">
        <f aca="false">A687*$C$6</f>
        <v>1.24072636484082</v>
      </c>
      <c r="C687" s="48" t="n">
        <f aca="false">$C$7*B687</f>
        <v>9.41666666666667</v>
      </c>
      <c r="D687" s="49" t="n">
        <f aca="false">0.5*c_rho*'P3 Energie'!E8*'P3 Energie'!E7*(C687-c_Vv)^2+'P3 Energie'!E13+'P3 Energie'!E15+'P3 Energie'!E6*$C$7</f>
        <v>18215.5291766359</v>
      </c>
      <c r="E687" s="50" t="n">
        <f aca="false">D687*C687</f>
        <v>171529.566413322</v>
      </c>
      <c r="F687" s="46" t="n">
        <v>678</v>
      </c>
      <c r="G687" s="47" t="n">
        <f aca="false">F687*$H$6</f>
        <v>1.23714406931649</v>
      </c>
      <c r="H687" s="48" t="n">
        <f aca="false">$H$7*G687</f>
        <v>9.41666666666667</v>
      </c>
      <c r="I687" s="49" t="n">
        <f aca="false">0.5*c_rho*'P3 Energie'!F8*'P3 Energie'!F7*(H687-c_Vv)^2+'P3 Energie'!F13+'P3 Energie'!F15+'P3 Energie'!F6*$H$7</f>
        <v>19069.0746927046</v>
      </c>
      <c r="J687" s="50" t="n">
        <f aca="false">I687*H687</f>
        <v>179567.120022969</v>
      </c>
    </row>
    <row r="688" customFormat="false" ht="15" hidden="false" customHeight="false" outlineLevel="0" collapsed="false">
      <c r="A688" s="46" t="n">
        <v>679</v>
      </c>
      <c r="B688" s="47" t="n">
        <f aca="false">A688*$C$6</f>
        <v>1.24255634472996</v>
      </c>
      <c r="C688" s="48" t="n">
        <f aca="false">$C$7*B688</f>
        <v>9.43055555555556</v>
      </c>
      <c r="D688" s="49" t="n">
        <f aca="false">0.5*c_rho*'P3 Energie'!E8*'P3 Energie'!E7*(C688-c_Vv)^2+'P3 Energie'!E13+'P3 Energie'!E15+'P3 Energie'!E6*$C$7</f>
        <v>18215.6337365046</v>
      </c>
      <c r="E688" s="50" t="n">
        <f aca="false">D688*C688</f>
        <v>171783.545931759</v>
      </c>
      <c r="F688" s="46" t="n">
        <v>679</v>
      </c>
      <c r="G688" s="47" t="n">
        <f aca="false">F688*$H$6</f>
        <v>1.23896876558392</v>
      </c>
      <c r="H688" s="48" t="n">
        <f aca="false">$H$7*G688</f>
        <v>9.43055555555556</v>
      </c>
      <c r="I688" s="49" t="n">
        <f aca="false">0.5*c_rho*'P3 Energie'!F8*'P3 Energie'!F7*(H688-c_Vv)^2+'P3 Energie'!F13+'P3 Energie'!F15+'P3 Energie'!F6*$H$7</f>
        <v>19069.1655366299</v>
      </c>
      <c r="J688" s="50" t="n">
        <f aca="false">I688*H688</f>
        <v>179832.824991273</v>
      </c>
    </row>
    <row r="689" customFormat="false" ht="15" hidden="false" customHeight="false" outlineLevel="0" collapsed="false">
      <c r="A689" s="46" t="n">
        <v>680</v>
      </c>
      <c r="B689" s="47" t="n">
        <f aca="false">A689*$C$6</f>
        <v>1.24438632461911</v>
      </c>
      <c r="C689" s="48" t="n">
        <f aca="false">$C$7*B689</f>
        <v>9.44444444444445</v>
      </c>
      <c r="D689" s="49" t="n">
        <f aca="false">0.5*c_rho*'P3 Energie'!E8*'P3 Energie'!E7*(C689-c_Vv)^2+'P3 Energie'!E13+'P3 Energie'!E15+'P3 Energie'!E6*$C$7</f>
        <v>18215.7384504778</v>
      </c>
      <c r="E689" s="50" t="n">
        <f aca="false">D689*C689</f>
        <v>172037.529810068</v>
      </c>
      <c r="F689" s="46" t="n">
        <v>680</v>
      </c>
      <c r="G689" s="47" t="n">
        <f aca="false">F689*$H$6</f>
        <v>1.24079346185135</v>
      </c>
      <c r="H689" s="48" t="n">
        <f aca="false">$H$7*G689</f>
        <v>9.44444444444445</v>
      </c>
      <c r="I689" s="49" t="n">
        <f aca="false">0.5*c_rho*'P3 Energie'!F8*'P3 Energie'!F7*(H689-c_Vv)^2+'P3 Energie'!F13+'P3 Energie'!F15+'P3 Energie'!F6*$H$7</f>
        <v>19069.2565144444</v>
      </c>
      <c r="J689" s="50" t="n">
        <f aca="false">I689*H689</f>
        <v>180098.533747531</v>
      </c>
    </row>
    <row r="690" customFormat="false" ht="15" hidden="false" customHeight="false" outlineLevel="0" collapsed="false">
      <c r="A690" s="46" t="n">
        <v>681</v>
      </c>
      <c r="B690" s="47" t="n">
        <f aca="false">A690*$C$6</f>
        <v>1.24621630450826</v>
      </c>
      <c r="C690" s="48" t="n">
        <f aca="false">$C$7*B690</f>
        <v>9.45833333333333</v>
      </c>
      <c r="D690" s="49" t="n">
        <f aca="false">0.5*c_rho*'P3 Energie'!E8*'P3 Energie'!E7*(C690-c_Vv)^2+'P3 Energie'!E13+'P3 Energie'!E15+'P3 Energie'!E6*$C$7</f>
        <v>18215.8433185554</v>
      </c>
      <c r="E690" s="50" t="n">
        <f aca="false">D690*C690</f>
        <v>172291.51805467</v>
      </c>
      <c r="F690" s="46" t="n">
        <v>681</v>
      </c>
      <c r="G690" s="47" t="n">
        <f aca="false">F690*$H$6</f>
        <v>1.24261815811878</v>
      </c>
      <c r="H690" s="48" t="n">
        <f aca="false">$H$7*G690</f>
        <v>9.45833333333333</v>
      </c>
      <c r="I690" s="49" t="n">
        <f aca="false">0.5*c_rho*'P3 Energie'!F8*'P3 Energie'!F7*(H690-c_Vv)^2+'P3 Energie'!F13+'P3 Energie'!F15+'P3 Energie'!F6*$H$7</f>
        <v>19069.3476261484</v>
      </c>
      <c r="J690" s="50" t="n">
        <f aca="false">I690*H690</f>
        <v>180364.24629732</v>
      </c>
    </row>
    <row r="691" customFormat="false" ht="15" hidden="false" customHeight="false" outlineLevel="0" collapsed="false">
      <c r="A691" s="46" t="n">
        <v>682</v>
      </c>
      <c r="B691" s="47" t="n">
        <f aca="false">A691*$C$6</f>
        <v>1.2480462843974</v>
      </c>
      <c r="C691" s="48" t="n">
        <f aca="false">$C$7*B691</f>
        <v>9.47222222222222</v>
      </c>
      <c r="D691" s="49" t="n">
        <f aca="false">0.5*c_rho*'P3 Energie'!E8*'P3 Energie'!E7*(C691-c_Vv)^2+'P3 Energie'!E13+'P3 Energie'!E15+'P3 Energie'!E6*$C$7</f>
        <v>18215.9483407374</v>
      </c>
      <c r="E691" s="50" t="n">
        <f aca="false">D691*C691</f>
        <v>172545.510671985</v>
      </c>
      <c r="F691" s="46" t="n">
        <v>682</v>
      </c>
      <c r="G691" s="47" t="n">
        <f aca="false">F691*$H$6</f>
        <v>1.24444285438621</v>
      </c>
      <c r="H691" s="48" t="n">
        <f aca="false">$H$7*G691</f>
        <v>9.47222222222222</v>
      </c>
      <c r="I691" s="49" t="n">
        <f aca="false">0.5*c_rho*'P3 Energie'!F8*'P3 Energie'!F7*(H691-c_Vv)^2+'P3 Energie'!F13+'P3 Energie'!F15+'P3 Energie'!F6*$H$7</f>
        <v>19069.4388717417</v>
      </c>
      <c r="J691" s="50" t="n">
        <f aca="false">I691*H691</f>
        <v>180629.96264622</v>
      </c>
    </row>
    <row r="692" customFormat="false" ht="15" hidden="false" customHeight="false" outlineLevel="0" collapsed="false">
      <c r="A692" s="46" t="n">
        <v>683</v>
      </c>
      <c r="B692" s="47" t="n">
        <f aca="false">A692*$C$6</f>
        <v>1.24987626428655</v>
      </c>
      <c r="C692" s="48" t="n">
        <f aca="false">$C$7*B692</f>
        <v>9.48611111111111</v>
      </c>
      <c r="D692" s="49" t="n">
        <f aca="false">0.5*c_rho*'P3 Energie'!E8*'P3 Energie'!E7*(C692-c_Vv)^2+'P3 Energie'!E13+'P3 Energie'!E15+'P3 Energie'!E6*$C$7</f>
        <v>18216.0535170239</v>
      </c>
      <c r="E692" s="50" t="n">
        <f aca="false">D692*C692</f>
        <v>172799.507668435</v>
      </c>
      <c r="F692" s="46" t="n">
        <v>683</v>
      </c>
      <c r="G692" s="47" t="n">
        <f aca="false">F692*$H$6</f>
        <v>1.24626755065363</v>
      </c>
      <c r="H692" s="48" t="n">
        <f aca="false">$H$7*G692</f>
        <v>9.48611111111111</v>
      </c>
      <c r="I692" s="49" t="n">
        <f aca="false">0.5*c_rho*'P3 Energie'!F8*'P3 Energie'!F7*(H692-c_Vv)^2+'P3 Energie'!F13+'P3 Energie'!F15+'P3 Energie'!F6*$H$7</f>
        <v>19069.5302512243</v>
      </c>
      <c r="J692" s="50" t="n">
        <f aca="false">I692*H692</f>
        <v>180895.682799808</v>
      </c>
    </row>
    <row r="693" customFormat="false" ht="15" hidden="false" customHeight="false" outlineLevel="0" collapsed="false">
      <c r="A693" s="46" t="n">
        <v>684</v>
      </c>
      <c r="B693" s="47" t="n">
        <f aca="false">A693*$C$6</f>
        <v>1.25170624417569</v>
      </c>
      <c r="C693" s="48" t="n">
        <f aca="false">$C$7*B693</f>
        <v>9.5</v>
      </c>
      <c r="D693" s="49" t="n">
        <f aca="false">0.5*c_rho*'P3 Energie'!E8*'P3 Energie'!E7*(C693-c_Vv)^2+'P3 Energie'!E13+'P3 Energie'!E15+'P3 Energie'!E6*$C$7</f>
        <v>18216.1588474149</v>
      </c>
      <c r="E693" s="50" t="n">
        <f aca="false">D693*C693</f>
        <v>173053.509050441</v>
      </c>
      <c r="F693" s="46" t="n">
        <v>684</v>
      </c>
      <c r="G693" s="47" t="n">
        <f aca="false">F693*$H$6</f>
        <v>1.24809224692106</v>
      </c>
      <c r="H693" s="48" t="n">
        <f aca="false">$H$7*G693</f>
        <v>9.5</v>
      </c>
      <c r="I693" s="49" t="n">
        <f aca="false">0.5*c_rho*'P3 Energie'!F8*'P3 Energie'!F7*(H693-c_Vv)^2+'P3 Energie'!F13+'P3 Energie'!F15+'P3 Energie'!F6*$H$7</f>
        <v>19069.6217645963</v>
      </c>
      <c r="J693" s="50" t="n">
        <f aca="false">I693*H693</f>
        <v>181161.406763665</v>
      </c>
    </row>
    <row r="694" customFormat="false" ht="15" hidden="false" customHeight="false" outlineLevel="0" collapsed="false">
      <c r="A694" s="46" t="n">
        <v>685</v>
      </c>
      <c r="B694" s="47" t="n">
        <f aca="false">A694*$C$6</f>
        <v>1.25353622406484</v>
      </c>
      <c r="C694" s="48" t="n">
        <f aca="false">$C$7*B694</f>
        <v>9.51388888888889</v>
      </c>
      <c r="D694" s="49" t="n">
        <f aca="false">0.5*c_rho*'P3 Energie'!E8*'P3 Energie'!E7*(C694-c_Vv)^2+'P3 Energie'!E13+'P3 Energie'!E15+'P3 Energie'!E6*$C$7</f>
        <v>18216.2643319103</v>
      </c>
      <c r="E694" s="50" t="n">
        <f aca="false">D694*C694</f>
        <v>173307.514824424</v>
      </c>
      <c r="F694" s="46" t="n">
        <v>685</v>
      </c>
      <c r="G694" s="47" t="n">
        <f aca="false">F694*$H$6</f>
        <v>1.24991694318849</v>
      </c>
      <c r="H694" s="48" t="n">
        <f aca="false">$H$7*G694</f>
        <v>9.51388888888889</v>
      </c>
      <c r="I694" s="49" t="n">
        <f aca="false">0.5*c_rho*'P3 Energie'!F8*'P3 Energie'!F7*(H694-c_Vv)^2+'P3 Energie'!F13+'P3 Energie'!F15+'P3 Energie'!F6*$H$7</f>
        <v>19069.7134118576</v>
      </c>
      <c r="J694" s="50" t="n">
        <f aca="false">I694*H694</f>
        <v>181427.134543368</v>
      </c>
    </row>
    <row r="695" customFormat="false" ht="15" hidden="false" customHeight="false" outlineLevel="0" collapsed="false">
      <c r="A695" s="46" t="n">
        <v>686</v>
      </c>
      <c r="B695" s="47" t="n">
        <f aca="false">A695*$C$6</f>
        <v>1.25536620395398</v>
      </c>
      <c r="C695" s="48" t="n">
        <f aca="false">$C$7*B695</f>
        <v>9.52777777777778</v>
      </c>
      <c r="D695" s="49" t="n">
        <f aca="false">0.5*c_rho*'P3 Energie'!E8*'P3 Energie'!E7*(C695-c_Vv)^2+'P3 Energie'!E13+'P3 Energie'!E15+'P3 Energie'!E6*$C$7</f>
        <v>18216.3699705101</v>
      </c>
      <c r="E695" s="50" t="n">
        <f aca="false">D695*C695</f>
        <v>173561.524996805</v>
      </c>
      <c r="F695" s="46" t="n">
        <v>686</v>
      </c>
      <c r="G695" s="47" t="n">
        <f aca="false">F695*$H$6</f>
        <v>1.25174163945592</v>
      </c>
      <c r="H695" s="48" t="n">
        <f aca="false">$H$7*G695</f>
        <v>9.52777777777778</v>
      </c>
      <c r="I695" s="49" t="n">
        <f aca="false">0.5*c_rho*'P3 Energie'!F8*'P3 Energie'!F7*(H695-c_Vv)^2+'P3 Energie'!F13+'P3 Energie'!F15+'P3 Energie'!F6*$H$7</f>
        <v>19069.8051930083</v>
      </c>
      <c r="J695" s="50" t="n">
        <f aca="false">I695*H695</f>
        <v>181692.866144496</v>
      </c>
    </row>
    <row r="696" customFormat="false" ht="15" hidden="false" customHeight="false" outlineLevel="0" collapsed="false">
      <c r="A696" s="46" t="n">
        <v>687</v>
      </c>
      <c r="B696" s="47" t="n">
        <f aca="false">A696*$C$6</f>
        <v>1.25719618384313</v>
      </c>
      <c r="C696" s="48" t="n">
        <f aca="false">$C$7*B696</f>
        <v>9.54166666666667</v>
      </c>
      <c r="D696" s="49" t="n">
        <f aca="false">0.5*c_rho*'P3 Energie'!E8*'P3 Energie'!E7*(C696-c_Vv)^2+'P3 Energie'!E13+'P3 Energie'!E15+'P3 Energie'!E6*$C$7</f>
        <v>18216.4757632144</v>
      </c>
      <c r="E696" s="50" t="n">
        <f aca="false">D696*C696</f>
        <v>173815.539574004</v>
      </c>
      <c r="F696" s="46" t="n">
        <v>687</v>
      </c>
      <c r="G696" s="47" t="n">
        <f aca="false">F696*$H$6</f>
        <v>1.25356633572335</v>
      </c>
      <c r="H696" s="48" t="n">
        <f aca="false">$H$7*G696</f>
        <v>9.54166666666667</v>
      </c>
      <c r="I696" s="49" t="n">
        <f aca="false">0.5*c_rho*'P3 Energie'!F8*'P3 Energie'!F7*(H696-c_Vv)^2+'P3 Energie'!F13+'P3 Energie'!F15+'P3 Energie'!F6*$H$7</f>
        <v>19069.8971080484</v>
      </c>
      <c r="J696" s="50" t="n">
        <f aca="false">I696*H696</f>
        <v>181958.601572628</v>
      </c>
    </row>
    <row r="697" customFormat="false" ht="15" hidden="false" customHeight="false" outlineLevel="0" collapsed="false">
      <c r="A697" s="46" t="n">
        <v>688</v>
      </c>
      <c r="B697" s="47" t="n">
        <f aca="false">A697*$C$6</f>
        <v>1.25902616373228</v>
      </c>
      <c r="C697" s="48" t="n">
        <f aca="false">$C$7*B697</f>
        <v>9.55555555555556</v>
      </c>
      <c r="D697" s="49" t="n">
        <f aca="false">0.5*c_rho*'P3 Energie'!E8*'P3 Energie'!E7*(C697-c_Vv)^2+'P3 Energie'!E13+'P3 Energie'!E15+'P3 Energie'!E6*$C$7</f>
        <v>18216.5817100231</v>
      </c>
      <c r="E697" s="50" t="n">
        <f aca="false">D697*C697</f>
        <v>174069.558562443</v>
      </c>
      <c r="F697" s="46" t="n">
        <v>688</v>
      </c>
      <c r="G697" s="47" t="n">
        <f aca="false">F697*$H$6</f>
        <v>1.25539103199078</v>
      </c>
      <c r="H697" s="48" t="n">
        <f aca="false">$H$7*G697</f>
        <v>9.55555555555556</v>
      </c>
      <c r="I697" s="49" t="n">
        <f aca="false">0.5*c_rho*'P3 Energie'!F8*'P3 Energie'!F7*(H697-c_Vv)^2+'P3 Energie'!F13+'P3 Energie'!F15+'P3 Energie'!F6*$H$7</f>
        <v>19069.9891569778</v>
      </c>
      <c r="J697" s="50" t="n">
        <f aca="false">I697*H697</f>
        <v>182224.340833343</v>
      </c>
    </row>
    <row r="698" customFormat="false" ht="15" hidden="false" customHeight="false" outlineLevel="0" collapsed="false">
      <c r="A698" s="46" t="n">
        <v>689</v>
      </c>
      <c r="B698" s="47" t="n">
        <f aca="false">A698*$C$6</f>
        <v>1.26085614362142</v>
      </c>
      <c r="C698" s="48" t="n">
        <f aca="false">$C$7*B698</f>
        <v>9.56944444444445</v>
      </c>
      <c r="D698" s="49" t="n">
        <f aca="false">0.5*c_rho*'P3 Energie'!E8*'P3 Energie'!E7*(C698-c_Vv)^2+'P3 Energie'!E13+'P3 Energie'!E15+'P3 Energie'!E6*$C$7</f>
        <v>18216.6878109363</v>
      </c>
      <c r="E698" s="50" t="n">
        <f aca="false">D698*C698</f>
        <v>174323.581968543</v>
      </c>
      <c r="F698" s="46" t="n">
        <v>689</v>
      </c>
      <c r="G698" s="47" t="n">
        <f aca="false">F698*$H$6</f>
        <v>1.2572157282582</v>
      </c>
      <c r="H698" s="48" t="n">
        <f aca="false">$H$7*G698</f>
        <v>9.56944444444445</v>
      </c>
      <c r="I698" s="49" t="n">
        <f aca="false">0.5*c_rho*'P3 Energie'!F8*'P3 Energie'!F7*(H698-c_Vv)^2+'P3 Energie'!F13+'P3 Energie'!F15+'P3 Energie'!F6*$H$7</f>
        <v>19070.0813397965</v>
      </c>
      <c r="J698" s="50" t="n">
        <f aca="false">I698*H698</f>
        <v>182490.08393222</v>
      </c>
    </row>
    <row r="699" customFormat="false" ht="15" hidden="false" customHeight="false" outlineLevel="0" collapsed="false">
      <c r="A699" s="46" t="n">
        <v>690</v>
      </c>
      <c r="B699" s="47" t="n">
        <f aca="false">A699*$C$6</f>
        <v>1.26268612351057</v>
      </c>
      <c r="C699" s="48" t="n">
        <f aca="false">$C$7*B699</f>
        <v>9.58333333333333</v>
      </c>
      <c r="D699" s="49" t="n">
        <f aca="false">0.5*c_rho*'P3 Energie'!E8*'P3 Energie'!E7*(C699-c_Vv)^2+'P3 Energie'!E13+'P3 Energie'!E15+'P3 Energie'!E6*$C$7</f>
        <v>18216.7940659539</v>
      </c>
      <c r="E699" s="50" t="n">
        <f aca="false">D699*C699</f>
        <v>174577.609798725</v>
      </c>
      <c r="F699" s="46" t="n">
        <v>690</v>
      </c>
      <c r="G699" s="47" t="n">
        <f aca="false">F699*$H$6</f>
        <v>1.25904042452563</v>
      </c>
      <c r="H699" s="48" t="n">
        <f aca="false">$H$7*G699</f>
        <v>9.58333333333334</v>
      </c>
      <c r="I699" s="49" t="n">
        <f aca="false">0.5*c_rho*'P3 Energie'!F8*'P3 Energie'!F7*(H699-c_Vv)^2+'P3 Energie'!F13+'P3 Energie'!F15+'P3 Energie'!F6*$H$7</f>
        <v>19070.1736565046</v>
      </c>
      <c r="J699" s="50" t="n">
        <f aca="false">I699*H699</f>
        <v>182755.830874836</v>
      </c>
    </row>
    <row r="700" customFormat="false" ht="15" hidden="false" customHeight="false" outlineLevel="0" collapsed="false">
      <c r="A700" s="46" t="n">
        <v>691</v>
      </c>
      <c r="B700" s="47" t="n">
        <f aca="false">A700*$C$6</f>
        <v>1.26451610339971</v>
      </c>
      <c r="C700" s="48" t="n">
        <f aca="false">$C$7*B700</f>
        <v>9.59722222222222</v>
      </c>
      <c r="D700" s="49" t="n">
        <f aca="false">0.5*c_rho*'P3 Energie'!E8*'P3 Energie'!E7*(C700-c_Vv)^2+'P3 Energie'!E13+'P3 Energie'!E15+'P3 Energie'!E6*$C$7</f>
        <v>18216.900475076</v>
      </c>
      <c r="E700" s="50" t="n">
        <f aca="false">D700*C700</f>
        <v>174831.64205941</v>
      </c>
      <c r="F700" s="46" t="n">
        <v>691</v>
      </c>
      <c r="G700" s="47" t="n">
        <f aca="false">F700*$H$6</f>
        <v>1.26086512079306</v>
      </c>
      <c r="H700" s="48" t="n">
        <f aca="false">$H$7*G700</f>
        <v>9.59722222222222</v>
      </c>
      <c r="I700" s="49" t="n">
        <f aca="false">0.5*c_rho*'P3 Energie'!F8*'P3 Energie'!F7*(H700-c_Vv)^2+'P3 Energie'!F13+'P3 Energie'!F15+'P3 Energie'!F6*$H$7</f>
        <v>19070.2661071021</v>
      </c>
      <c r="J700" s="50" t="n">
        <f aca="false">I700*H700</f>
        <v>183021.581666771</v>
      </c>
    </row>
    <row r="701" customFormat="false" ht="15" hidden="false" customHeight="false" outlineLevel="0" collapsed="false">
      <c r="A701" s="46" t="n">
        <v>692</v>
      </c>
      <c r="B701" s="47" t="n">
        <f aca="false">A701*$C$6</f>
        <v>1.26634608328886</v>
      </c>
      <c r="C701" s="48" t="n">
        <f aca="false">$C$7*B701</f>
        <v>9.61111111111111</v>
      </c>
      <c r="D701" s="49" t="n">
        <f aca="false">0.5*c_rho*'P3 Energie'!E8*'P3 Energie'!E7*(C701-c_Vv)^2+'P3 Energie'!E13+'P3 Energie'!E15+'P3 Energie'!E6*$C$7</f>
        <v>18217.0070383026</v>
      </c>
      <c r="E701" s="50" t="n">
        <f aca="false">D701*C701</f>
        <v>175085.678757019</v>
      </c>
      <c r="F701" s="46" t="n">
        <v>692</v>
      </c>
      <c r="G701" s="47" t="n">
        <f aca="false">F701*$H$6</f>
        <v>1.26268981706049</v>
      </c>
      <c r="H701" s="48" t="n">
        <f aca="false">$H$7*G701</f>
        <v>9.61111111111111</v>
      </c>
      <c r="I701" s="49" t="n">
        <f aca="false">0.5*c_rho*'P3 Energie'!F8*'P3 Energie'!F7*(H701-c_Vv)^2+'P3 Energie'!F13+'P3 Energie'!F15+'P3 Energie'!F6*$H$7</f>
        <v>19070.3586915889</v>
      </c>
      <c r="J701" s="50" t="n">
        <f aca="false">I701*H701</f>
        <v>183287.336313604</v>
      </c>
    </row>
    <row r="702" customFormat="false" ht="15" hidden="false" customHeight="false" outlineLevel="0" collapsed="false">
      <c r="A702" s="46" t="n">
        <v>693</v>
      </c>
      <c r="B702" s="47" t="n">
        <f aca="false">A702*$C$6</f>
        <v>1.268176063178</v>
      </c>
      <c r="C702" s="48" t="n">
        <f aca="false">$C$7*B702</f>
        <v>9.625</v>
      </c>
      <c r="D702" s="49" t="n">
        <f aca="false">0.5*c_rho*'P3 Energie'!E8*'P3 Energie'!E7*(C702-c_Vv)^2+'P3 Energie'!E13+'P3 Energie'!E15+'P3 Energie'!E6*$C$7</f>
        <v>18217.1137556335</v>
      </c>
      <c r="E702" s="50" t="n">
        <f aca="false">D702*C702</f>
        <v>175339.719897973</v>
      </c>
      <c r="F702" s="46" t="n">
        <v>693</v>
      </c>
      <c r="G702" s="47" t="n">
        <f aca="false">F702*$H$6</f>
        <v>1.26451451332792</v>
      </c>
      <c r="H702" s="48" t="n">
        <f aca="false">$H$7*G702</f>
        <v>9.625</v>
      </c>
      <c r="I702" s="49" t="n">
        <f aca="false">0.5*c_rho*'P3 Energie'!F8*'P3 Energie'!F7*(H702-c_Vv)^2+'P3 Energie'!F13+'P3 Energie'!F15+'P3 Energie'!F6*$H$7</f>
        <v>19070.451409965</v>
      </c>
      <c r="J702" s="50" t="n">
        <f aca="false">I702*H702</f>
        <v>183553.094820914</v>
      </c>
    </row>
    <row r="703" customFormat="false" ht="15" hidden="false" customHeight="false" outlineLevel="0" collapsed="false">
      <c r="A703" s="46" t="n">
        <v>694</v>
      </c>
      <c r="B703" s="47" t="n">
        <f aca="false">A703*$C$6</f>
        <v>1.27000604306715</v>
      </c>
      <c r="C703" s="48" t="n">
        <f aca="false">$C$7*B703</f>
        <v>9.63888888888889</v>
      </c>
      <c r="D703" s="49" t="n">
        <f aca="false">0.5*c_rho*'P3 Energie'!E8*'P3 Energie'!E7*(C703-c_Vv)^2+'P3 Energie'!E13+'P3 Energie'!E15+'P3 Energie'!E6*$C$7</f>
        <v>18217.220627069</v>
      </c>
      <c r="E703" s="50" t="n">
        <f aca="false">D703*C703</f>
        <v>175593.765488693</v>
      </c>
      <c r="F703" s="46" t="n">
        <v>694</v>
      </c>
      <c r="G703" s="47" t="n">
        <f aca="false">F703*$H$6</f>
        <v>1.26633920959535</v>
      </c>
      <c r="H703" s="48" t="n">
        <f aca="false">$H$7*G703</f>
        <v>9.63888888888889</v>
      </c>
      <c r="I703" s="49" t="n">
        <f aca="false">0.5*c_rho*'P3 Energie'!F8*'P3 Energie'!F7*(H703-c_Vv)^2+'P3 Energie'!F13+'P3 Energie'!F15+'P3 Energie'!F6*$H$7</f>
        <v>19070.5442622306</v>
      </c>
      <c r="J703" s="50" t="n">
        <f aca="false">I703*H703</f>
        <v>183818.857194278</v>
      </c>
    </row>
    <row r="704" customFormat="false" ht="15" hidden="false" customHeight="false" outlineLevel="0" collapsed="false">
      <c r="A704" s="46" t="n">
        <v>695</v>
      </c>
      <c r="B704" s="47" t="n">
        <f aca="false">A704*$C$6</f>
        <v>1.2718360229563</v>
      </c>
      <c r="C704" s="48" t="n">
        <f aca="false">$C$7*B704</f>
        <v>9.65277777777778</v>
      </c>
      <c r="D704" s="49" t="n">
        <f aca="false">0.5*c_rho*'P3 Energie'!E8*'P3 Energie'!E7*(C704-c_Vv)^2+'P3 Energie'!E13+'P3 Energie'!E15+'P3 Energie'!E6*$C$7</f>
        <v>18217.3276526089</v>
      </c>
      <c r="E704" s="50" t="n">
        <f aca="false">D704*C704</f>
        <v>175847.815535599</v>
      </c>
      <c r="F704" s="46" t="n">
        <v>695</v>
      </c>
      <c r="G704" s="47" t="n">
        <f aca="false">F704*$H$6</f>
        <v>1.26816390586278</v>
      </c>
      <c r="H704" s="48" t="n">
        <f aca="false">$H$7*G704</f>
        <v>9.65277777777778</v>
      </c>
      <c r="I704" s="49" t="n">
        <f aca="false">0.5*c_rho*'P3 Energie'!F8*'P3 Energie'!F7*(H704-c_Vv)^2+'P3 Energie'!F13+'P3 Energie'!F15+'P3 Energie'!F6*$H$7</f>
        <v>19070.6372483854</v>
      </c>
      <c r="J704" s="50" t="n">
        <f aca="false">I704*H704</f>
        <v>184084.623439276</v>
      </c>
    </row>
    <row r="705" customFormat="false" ht="15" hidden="false" customHeight="false" outlineLevel="0" collapsed="false">
      <c r="A705" s="46" t="n">
        <v>696</v>
      </c>
      <c r="B705" s="47" t="n">
        <f aca="false">A705*$C$6</f>
        <v>1.27366600284544</v>
      </c>
      <c r="C705" s="48" t="n">
        <f aca="false">$C$7*B705</f>
        <v>9.66666666666667</v>
      </c>
      <c r="D705" s="49" t="n">
        <f aca="false">0.5*c_rho*'P3 Energie'!E8*'P3 Energie'!E7*(C705-c_Vv)^2+'P3 Energie'!E13+'P3 Energie'!E15+'P3 Energie'!E6*$C$7</f>
        <v>18217.4348322532</v>
      </c>
      <c r="E705" s="50" t="n">
        <f aca="false">D705*C705</f>
        <v>176101.870045114</v>
      </c>
      <c r="F705" s="46" t="n">
        <v>696</v>
      </c>
      <c r="G705" s="47" t="n">
        <f aca="false">F705*$H$6</f>
        <v>1.2699886021302</v>
      </c>
      <c r="H705" s="48" t="n">
        <f aca="false">$H$7*G705</f>
        <v>9.66666666666667</v>
      </c>
      <c r="I705" s="49" t="n">
        <f aca="false">0.5*c_rho*'P3 Energie'!F8*'P3 Energie'!F7*(H705-c_Vv)^2+'P3 Energie'!F13+'P3 Energie'!F15+'P3 Energie'!F6*$H$7</f>
        <v>19070.7303684296</v>
      </c>
      <c r="J705" s="50" t="n">
        <f aca="false">I705*H705</f>
        <v>184350.393561486</v>
      </c>
    </row>
    <row r="706" customFormat="false" ht="15" hidden="false" customHeight="false" outlineLevel="0" collapsed="false">
      <c r="A706" s="46" t="n">
        <v>697</v>
      </c>
      <c r="B706" s="47" t="n">
        <f aca="false">A706*$C$6</f>
        <v>1.27549598273459</v>
      </c>
      <c r="C706" s="48" t="n">
        <f aca="false">$C$7*B706</f>
        <v>9.68055555555556</v>
      </c>
      <c r="D706" s="49" t="n">
        <f aca="false">0.5*c_rho*'P3 Energie'!E8*'P3 Energie'!E7*(C706-c_Vv)^2+'P3 Energie'!E13+'P3 Energie'!E15+'P3 Energie'!E6*$C$7</f>
        <v>18217.542166002</v>
      </c>
      <c r="E706" s="50" t="n">
        <f aca="false">D706*C706</f>
        <v>176355.929023658</v>
      </c>
      <c r="F706" s="46" t="n">
        <v>697</v>
      </c>
      <c r="G706" s="47" t="n">
        <f aca="false">F706*$H$6</f>
        <v>1.27181329839763</v>
      </c>
      <c r="H706" s="48" t="n">
        <f aca="false">$H$7*G706</f>
        <v>9.68055555555556</v>
      </c>
      <c r="I706" s="49" t="n">
        <f aca="false">0.5*c_rho*'P3 Energie'!F8*'P3 Energie'!F7*(H706-c_Vv)^2+'P3 Energie'!F13+'P3 Energie'!F15+'P3 Energie'!F6*$H$7</f>
        <v>19070.8236223632</v>
      </c>
      <c r="J706" s="50" t="n">
        <f aca="false">I706*H706</f>
        <v>184616.167566488</v>
      </c>
    </row>
    <row r="707" customFormat="false" ht="15" hidden="false" customHeight="false" outlineLevel="0" collapsed="false">
      <c r="A707" s="46" t="n">
        <v>698</v>
      </c>
      <c r="B707" s="47" t="n">
        <f aca="false">A707*$C$6</f>
        <v>1.27732596262373</v>
      </c>
      <c r="C707" s="48" t="n">
        <f aca="false">$C$7*B707</f>
        <v>9.69444444444445</v>
      </c>
      <c r="D707" s="49" t="n">
        <f aca="false">0.5*c_rho*'P3 Energie'!E8*'P3 Energie'!E7*(C707-c_Vv)^2+'P3 Energie'!E13+'P3 Energie'!E15+'P3 Energie'!E6*$C$7</f>
        <v>18217.6496538552</v>
      </c>
      <c r="E707" s="50" t="n">
        <f aca="false">D707*C707</f>
        <v>176609.992477652</v>
      </c>
      <c r="F707" s="46" t="n">
        <v>698</v>
      </c>
      <c r="G707" s="47" t="n">
        <f aca="false">F707*$H$6</f>
        <v>1.27363799466506</v>
      </c>
      <c r="H707" s="48" t="n">
        <f aca="false">$H$7*G707</f>
        <v>9.69444444444445</v>
      </c>
      <c r="I707" s="49" t="n">
        <f aca="false">0.5*c_rho*'P3 Energie'!F8*'P3 Energie'!F7*(H707-c_Vv)^2+'P3 Energie'!F13+'P3 Energie'!F15+'P3 Energie'!F6*$H$7</f>
        <v>19070.9170101861</v>
      </c>
      <c r="J707" s="50" t="n">
        <f aca="false">I707*H707</f>
        <v>184881.94545986</v>
      </c>
    </row>
    <row r="708" customFormat="false" ht="15" hidden="false" customHeight="false" outlineLevel="0" collapsed="false">
      <c r="A708" s="46" t="n">
        <v>699</v>
      </c>
      <c r="B708" s="47" t="n">
        <f aca="false">A708*$C$6</f>
        <v>1.27915594251288</v>
      </c>
      <c r="C708" s="48" t="n">
        <f aca="false">$C$7*B708</f>
        <v>9.70833333333333</v>
      </c>
      <c r="D708" s="49" t="n">
        <f aca="false">0.5*c_rho*'P3 Energie'!E8*'P3 Energie'!E7*(C708-c_Vv)^2+'P3 Energie'!E13+'P3 Energie'!E15+'P3 Energie'!E6*$C$7</f>
        <v>18217.7572958129</v>
      </c>
      <c r="E708" s="50" t="n">
        <f aca="false">D708*C708</f>
        <v>176864.060413517</v>
      </c>
      <c r="F708" s="46" t="n">
        <v>699</v>
      </c>
      <c r="G708" s="47" t="n">
        <f aca="false">F708*$H$6</f>
        <v>1.27546269093249</v>
      </c>
      <c r="H708" s="48" t="n">
        <f aca="false">$H$7*G708</f>
        <v>9.70833333333334</v>
      </c>
      <c r="I708" s="49" t="n">
        <f aca="false">0.5*c_rho*'P3 Energie'!F8*'P3 Energie'!F7*(H708-c_Vv)^2+'P3 Energie'!F13+'P3 Energie'!F15+'P3 Energie'!F6*$H$7</f>
        <v>19071.0105318984</v>
      </c>
      <c r="J708" s="50" t="n">
        <f aca="false">I708*H708</f>
        <v>185147.72724718</v>
      </c>
    </row>
    <row r="709" customFormat="false" ht="15" hidden="false" customHeight="false" outlineLevel="0" collapsed="false">
      <c r="A709" s="46" t="n">
        <v>700</v>
      </c>
      <c r="B709" s="47" t="n">
        <f aca="false">A709*$C$6</f>
        <v>1.28098592240202</v>
      </c>
      <c r="C709" s="48" t="n">
        <f aca="false">$C$7*B709</f>
        <v>9.72222222222222</v>
      </c>
      <c r="D709" s="49" t="n">
        <f aca="false">0.5*c_rho*'P3 Energie'!E8*'P3 Energie'!E7*(C709-c_Vv)^2+'P3 Energie'!E13+'P3 Energie'!E15+'P3 Energie'!E6*$C$7</f>
        <v>18217.865091875</v>
      </c>
      <c r="E709" s="50" t="n">
        <f aca="false">D709*C709</f>
        <v>177118.132837674</v>
      </c>
      <c r="F709" s="46" t="n">
        <v>700</v>
      </c>
      <c r="G709" s="47" t="n">
        <f aca="false">F709*$H$6</f>
        <v>1.27728738719992</v>
      </c>
      <c r="H709" s="48" t="n">
        <f aca="false">$H$7*G709</f>
        <v>9.72222222222222</v>
      </c>
      <c r="I709" s="49" t="n">
        <f aca="false">0.5*c_rho*'P3 Energie'!F8*'P3 Energie'!F7*(H709-c_Vv)^2+'P3 Energie'!F13+'P3 Energie'!F15+'P3 Energie'!F6*$H$7</f>
        <v>19071.1041875</v>
      </c>
      <c r="J709" s="50" t="n">
        <f aca="false">I709*H709</f>
        <v>185413.512934028</v>
      </c>
    </row>
    <row r="710" customFormat="false" ht="15" hidden="false" customHeight="false" outlineLevel="0" collapsed="false">
      <c r="A710" s="46" t="n">
        <v>701</v>
      </c>
      <c r="B710" s="47" t="n">
        <f aca="false">A710*$C$6</f>
        <v>1.28281590229117</v>
      </c>
      <c r="C710" s="48" t="n">
        <f aca="false">$C$7*B710</f>
        <v>9.73611111111111</v>
      </c>
      <c r="D710" s="49" t="n">
        <f aca="false">0.5*c_rho*'P3 Energie'!E8*'P3 Energie'!E7*(C710-c_Vv)^2+'P3 Energie'!E13+'P3 Energie'!E15+'P3 Energie'!E6*$C$7</f>
        <v>18217.9730420416</v>
      </c>
      <c r="E710" s="50" t="n">
        <f aca="false">D710*C710</f>
        <v>177372.209756544</v>
      </c>
      <c r="F710" s="46" t="n">
        <v>701</v>
      </c>
      <c r="G710" s="47" t="n">
        <f aca="false">F710*$H$6</f>
        <v>1.27911208346735</v>
      </c>
      <c r="H710" s="48" t="n">
        <f aca="false">$H$7*G710</f>
        <v>9.73611111111111</v>
      </c>
      <c r="I710" s="49" t="n">
        <f aca="false">0.5*c_rho*'P3 Energie'!F8*'P3 Energie'!F7*(H710-c_Vv)^2+'P3 Energie'!F13+'P3 Energie'!F15+'P3 Energie'!F6*$H$7</f>
        <v>19071.197976991</v>
      </c>
      <c r="J710" s="50" t="n">
        <f aca="false">I710*H710</f>
        <v>185679.302525982</v>
      </c>
    </row>
    <row r="711" customFormat="false" ht="15" hidden="false" customHeight="false" outlineLevel="0" collapsed="false">
      <c r="A711" s="46" t="n">
        <v>702</v>
      </c>
      <c r="B711" s="47" t="n">
        <f aca="false">A711*$C$6</f>
        <v>1.28464588218032</v>
      </c>
      <c r="C711" s="48" t="n">
        <f aca="false">$C$7*B711</f>
        <v>9.75</v>
      </c>
      <c r="D711" s="49" t="n">
        <f aca="false">0.5*c_rho*'P3 Energie'!E8*'P3 Energie'!E7*(C711-c_Vv)^2+'P3 Energie'!E13+'P3 Energie'!E15+'P3 Energie'!E6*$C$7</f>
        <v>18218.0811463126</v>
      </c>
      <c r="E711" s="50" t="n">
        <f aca="false">D711*C711</f>
        <v>177626.291176548</v>
      </c>
      <c r="F711" s="46" t="n">
        <v>702</v>
      </c>
      <c r="G711" s="47" t="n">
        <f aca="false">F711*$H$6</f>
        <v>1.28093677973477</v>
      </c>
      <c r="H711" s="48" t="n">
        <f aca="false">$H$7*G711</f>
        <v>9.75</v>
      </c>
      <c r="I711" s="49" t="n">
        <f aca="false">0.5*c_rho*'P3 Energie'!F8*'P3 Energie'!F7*(H711-c_Vv)^2+'P3 Energie'!F13+'P3 Energie'!F15+'P3 Energie'!F6*$H$7</f>
        <v>19071.2919003713</v>
      </c>
      <c r="J711" s="50" t="n">
        <f aca="false">I711*H711</f>
        <v>185945.09602862</v>
      </c>
    </row>
    <row r="712" customFormat="false" ht="15" hidden="false" customHeight="false" outlineLevel="0" collapsed="false">
      <c r="A712" s="46" t="n">
        <v>703</v>
      </c>
      <c r="B712" s="47" t="n">
        <f aca="false">A712*$C$6</f>
        <v>1.28647586206946</v>
      </c>
      <c r="C712" s="48" t="n">
        <f aca="false">$C$7*B712</f>
        <v>9.76388888888889</v>
      </c>
      <c r="D712" s="49" t="n">
        <f aca="false">0.5*c_rho*'P3 Energie'!E8*'P3 Energie'!E7*(C712-c_Vv)^2+'P3 Energie'!E13+'P3 Energie'!E15+'P3 Energie'!E6*$C$7</f>
        <v>18218.1894046881</v>
      </c>
      <c r="E712" s="50" t="n">
        <f aca="false">D712*C712</f>
        <v>177880.377104107</v>
      </c>
      <c r="F712" s="46" t="n">
        <v>703</v>
      </c>
      <c r="G712" s="47" t="n">
        <f aca="false">F712*$H$6</f>
        <v>1.2827614760022</v>
      </c>
      <c r="H712" s="48" t="n">
        <f aca="false">$H$7*G712</f>
        <v>9.76388888888889</v>
      </c>
      <c r="I712" s="49" t="n">
        <f aca="false">0.5*c_rho*'P3 Energie'!F8*'P3 Energie'!F7*(H712-c_Vv)^2+'P3 Energie'!F13+'P3 Energie'!F15+'P3 Energie'!F6*$H$7</f>
        <v>19071.385957641</v>
      </c>
      <c r="J712" s="50" t="n">
        <f aca="false">I712*H712</f>
        <v>186210.893447522</v>
      </c>
    </row>
    <row r="713" customFormat="false" ht="15" hidden="false" customHeight="false" outlineLevel="0" collapsed="false">
      <c r="A713" s="46" t="n">
        <v>704</v>
      </c>
      <c r="B713" s="47" t="n">
        <f aca="false">A713*$C$6</f>
        <v>1.28830584195861</v>
      </c>
      <c r="C713" s="48" t="n">
        <f aca="false">$C$7*B713</f>
        <v>9.77777777777778</v>
      </c>
      <c r="D713" s="49" t="n">
        <f aca="false">0.5*c_rho*'P3 Energie'!E8*'P3 Energie'!E7*(C713-c_Vv)^2+'P3 Energie'!E13+'P3 Energie'!E15+'P3 Energie'!E6*$C$7</f>
        <v>18218.297817168</v>
      </c>
      <c r="E713" s="50" t="n">
        <f aca="false">D713*C713</f>
        <v>178134.467545643</v>
      </c>
      <c r="F713" s="46" t="n">
        <v>704</v>
      </c>
      <c r="G713" s="47" t="n">
        <f aca="false">F713*$H$6</f>
        <v>1.28458617226963</v>
      </c>
      <c r="H713" s="48" t="n">
        <f aca="false">$H$7*G713</f>
        <v>9.77777777777778</v>
      </c>
      <c r="I713" s="49" t="n">
        <f aca="false">0.5*c_rho*'P3 Energie'!F8*'P3 Energie'!F7*(H713-c_Vv)^2+'P3 Energie'!F13+'P3 Energie'!F15+'P3 Energie'!F6*$H$7</f>
        <v>19071.4801488</v>
      </c>
      <c r="J713" s="50" t="n">
        <f aca="false">I713*H713</f>
        <v>186476.694788267</v>
      </c>
    </row>
    <row r="714" customFormat="false" ht="15" hidden="false" customHeight="false" outlineLevel="0" collapsed="false">
      <c r="A714" s="46" t="n">
        <v>705</v>
      </c>
      <c r="B714" s="47" t="n">
        <f aca="false">A714*$C$6</f>
        <v>1.29013582184775</v>
      </c>
      <c r="C714" s="48" t="n">
        <f aca="false">$C$7*B714</f>
        <v>9.79166666666667</v>
      </c>
      <c r="D714" s="49" t="n">
        <f aca="false">0.5*c_rho*'P3 Energie'!E8*'P3 Energie'!E7*(C714-c_Vv)^2+'P3 Energie'!E13+'P3 Energie'!E15+'P3 Energie'!E6*$C$7</f>
        <v>18218.4063837524</v>
      </c>
      <c r="E714" s="50" t="n">
        <f aca="false">D714*C714</f>
        <v>178388.562507575</v>
      </c>
      <c r="F714" s="46" t="n">
        <v>705</v>
      </c>
      <c r="G714" s="47" t="n">
        <f aca="false">F714*$H$6</f>
        <v>1.28641086853706</v>
      </c>
      <c r="H714" s="48" t="n">
        <f aca="false">$H$7*G714</f>
        <v>9.79166666666667</v>
      </c>
      <c r="I714" s="49" t="n">
        <f aca="false">0.5*c_rho*'P3 Energie'!F8*'P3 Energie'!F7*(H714-c_Vv)^2+'P3 Energie'!F13+'P3 Energie'!F15+'P3 Energie'!F6*$H$7</f>
        <v>19071.5744738484</v>
      </c>
      <c r="J714" s="50" t="n">
        <f aca="false">I714*H714</f>
        <v>186742.500056432</v>
      </c>
    </row>
    <row r="715" customFormat="false" ht="15" hidden="false" customHeight="false" outlineLevel="0" collapsed="false">
      <c r="A715" s="46" t="n">
        <v>706</v>
      </c>
      <c r="B715" s="47" t="n">
        <f aca="false">A715*$C$6</f>
        <v>1.2919658017369</v>
      </c>
      <c r="C715" s="48" t="n">
        <f aca="false">$C$7*B715</f>
        <v>9.80555555555556</v>
      </c>
      <c r="D715" s="49" t="n">
        <f aca="false">0.5*c_rho*'P3 Energie'!E8*'P3 Energie'!E7*(C715-c_Vv)^2+'P3 Energie'!E13+'P3 Energie'!E15+'P3 Energie'!E6*$C$7</f>
        <v>18218.5151044412</v>
      </c>
      <c r="E715" s="50" t="n">
        <f aca="false">D715*C715</f>
        <v>178642.661996326</v>
      </c>
      <c r="F715" s="46" t="n">
        <v>706</v>
      </c>
      <c r="G715" s="47" t="n">
        <f aca="false">F715*$H$6</f>
        <v>1.28823556480449</v>
      </c>
      <c r="H715" s="48" t="n">
        <f aca="false">$H$7*G715</f>
        <v>9.80555555555556</v>
      </c>
      <c r="I715" s="49" t="n">
        <f aca="false">0.5*c_rho*'P3 Energie'!F8*'P3 Energie'!F7*(H715-c_Vv)^2+'P3 Energie'!F13+'P3 Energie'!F15+'P3 Energie'!F6*$H$7</f>
        <v>19071.6689327861</v>
      </c>
      <c r="J715" s="50" t="n">
        <f aca="false">I715*H715</f>
        <v>187008.309257597</v>
      </c>
    </row>
    <row r="716" customFormat="false" ht="15" hidden="false" customHeight="false" outlineLevel="0" collapsed="false">
      <c r="A716" s="46" t="n">
        <v>707</v>
      </c>
      <c r="B716" s="47" t="n">
        <f aca="false">A716*$C$6</f>
        <v>1.29379578162604</v>
      </c>
      <c r="C716" s="48" t="n">
        <f aca="false">$C$7*B716</f>
        <v>9.81944444444445</v>
      </c>
      <c r="D716" s="49" t="n">
        <f aca="false">0.5*c_rho*'P3 Energie'!E8*'P3 Energie'!E7*(C716-c_Vv)^2+'P3 Energie'!E13+'P3 Energie'!E15+'P3 Energie'!E6*$C$7</f>
        <v>18218.6239792345</v>
      </c>
      <c r="E716" s="50" t="n">
        <f aca="false">D716*C716</f>
        <v>178896.766018316</v>
      </c>
      <c r="F716" s="46" t="n">
        <v>707</v>
      </c>
      <c r="G716" s="47" t="n">
        <f aca="false">F716*$H$6</f>
        <v>1.29006026107192</v>
      </c>
      <c r="H716" s="48" t="n">
        <f aca="false">$H$7*G716</f>
        <v>9.81944444444445</v>
      </c>
      <c r="I716" s="49" t="n">
        <f aca="false">0.5*c_rho*'P3 Energie'!F8*'P3 Energie'!F7*(H716-c_Vv)^2+'P3 Energie'!F13+'P3 Energie'!F15+'P3 Energie'!F6*$H$7</f>
        <v>19071.7635256132</v>
      </c>
      <c r="J716" s="50" t="n">
        <f aca="false">I716*H716</f>
        <v>187274.122397341</v>
      </c>
    </row>
    <row r="717" customFormat="false" ht="15" hidden="false" customHeight="false" outlineLevel="0" collapsed="false">
      <c r="A717" s="46" t="n">
        <v>708</v>
      </c>
      <c r="B717" s="47" t="n">
        <f aca="false">A717*$C$6</f>
        <v>1.29562576151519</v>
      </c>
      <c r="C717" s="48" t="n">
        <f aca="false">$C$7*B717</f>
        <v>9.83333333333333</v>
      </c>
      <c r="D717" s="49" t="n">
        <f aca="false">0.5*c_rho*'P3 Energie'!E8*'P3 Energie'!E7*(C717-c_Vv)^2+'P3 Energie'!E13+'P3 Energie'!E15+'P3 Energie'!E6*$C$7</f>
        <v>18218.7330081322</v>
      </c>
      <c r="E717" s="50" t="n">
        <f aca="false">D717*C717</f>
        <v>179150.874579967</v>
      </c>
      <c r="F717" s="46" t="n">
        <v>708</v>
      </c>
      <c r="G717" s="47" t="n">
        <f aca="false">F717*$H$6</f>
        <v>1.29188495733935</v>
      </c>
      <c r="H717" s="48" t="n">
        <f aca="false">$H$7*G717</f>
        <v>9.83333333333333</v>
      </c>
      <c r="I717" s="49" t="n">
        <f aca="false">0.5*c_rho*'P3 Energie'!F8*'P3 Energie'!F7*(H717-c_Vv)^2+'P3 Energie'!F13+'P3 Energie'!F15+'P3 Energie'!F6*$H$7</f>
        <v>19071.8582523296</v>
      </c>
      <c r="J717" s="50" t="n">
        <f aca="false">I717*H717</f>
        <v>187539.939481241</v>
      </c>
    </row>
    <row r="718" customFormat="false" ht="15" hidden="false" customHeight="false" outlineLevel="0" collapsed="false">
      <c r="A718" s="46" t="n">
        <v>709</v>
      </c>
      <c r="B718" s="47" t="n">
        <f aca="false">A718*$C$6</f>
        <v>1.29745574140434</v>
      </c>
      <c r="C718" s="48" t="n">
        <f aca="false">$C$7*B718</f>
        <v>9.84722222222222</v>
      </c>
      <c r="D718" s="49" t="n">
        <f aca="false">0.5*c_rho*'P3 Energie'!E8*'P3 Energie'!E7*(C718-c_Vv)^2+'P3 Energie'!E13+'P3 Energie'!E15+'P3 Energie'!E6*$C$7</f>
        <v>18218.8421911344</v>
      </c>
      <c r="E718" s="50" t="n">
        <f aca="false">D718*C718</f>
        <v>179404.987687698</v>
      </c>
      <c r="F718" s="46" t="n">
        <v>709</v>
      </c>
      <c r="G718" s="47" t="n">
        <f aca="false">F718*$H$6</f>
        <v>1.29370965360677</v>
      </c>
      <c r="H718" s="48" t="n">
        <f aca="false">$H$7*G718</f>
        <v>9.84722222222222</v>
      </c>
      <c r="I718" s="49" t="n">
        <f aca="false">0.5*c_rho*'P3 Energie'!F8*'P3 Energie'!F7*(H718-c_Vv)^2+'P3 Energie'!F13+'P3 Energie'!F15+'P3 Energie'!F6*$H$7</f>
        <v>19071.9531129354</v>
      </c>
      <c r="J718" s="50" t="n">
        <f aca="false">I718*H718</f>
        <v>187805.760514878</v>
      </c>
    </row>
    <row r="719" customFormat="false" ht="15" hidden="false" customHeight="false" outlineLevel="0" collapsed="false">
      <c r="A719" s="46" t="n">
        <v>710</v>
      </c>
      <c r="B719" s="47" t="n">
        <f aca="false">A719*$C$6</f>
        <v>1.29928572129348</v>
      </c>
      <c r="C719" s="48" t="n">
        <f aca="false">$C$7*B719</f>
        <v>9.86111111111111</v>
      </c>
      <c r="D719" s="49" t="n">
        <f aca="false">0.5*c_rho*'P3 Energie'!E8*'P3 Energie'!E7*(C719-c_Vv)^2+'P3 Energie'!E13+'P3 Energie'!E15+'P3 Energie'!E6*$C$7</f>
        <v>18218.951528241</v>
      </c>
      <c r="E719" s="50" t="n">
        <f aca="false">D719*C719</f>
        <v>179659.105347932</v>
      </c>
      <c r="F719" s="46" t="n">
        <v>710</v>
      </c>
      <c r="G719" s="47" t="n">
        <f aca="false">F719*$H$6</f>
        <v>1.2955343498742</v>
      </c>
      <c r="H719" s="48" t="n">
        <f aca="false">$H$7*G719</f>
        <v>9.86111111111111</v>
      </c>
      <c r="I719" s="49" t="n">
        <f aca="false">0.5*c_rho*'P3 Energie'!F8*'P3 Energie'!F7*(H719-c_Vv)^2+'P3 Energie'!F13+'P3 Energie'!F15+'P3 Energie'!F6*$H$7</f>
        <v>19072.0481074306</v>
      </c>
      <c r="J719" s="50" t="n">
        <f aca="false">I719*H719</f>
        <v>188071.585503829</v>
      </c>
    </row>
    <row r="720" customFormat="false" ht="15" hidden="false" customHeight="false" outlineLevel="0" collapsed="false">
      <c r="A720" s="46" t="n">
        <v>711</v>
      </c>
      <c r="B720" s="47" t="n">
        <f aca="false">A720*$C$6</f>
        <v>1.30111570118263</v>
      </c>
      <c r="C720" s="48" t="n">
        <f aca="false">$C$7*B720</f>
        <v>9.875</v>
      </c>
      <c r="D720" s="49" t="n">
        <f aca="false">0.5*c_rho*'P3 Energie'!E8*'P3 Energie'!E7*(C720-c_Vv)^2+'P3 Energie'!E13+'P3 Energie'!E15+'P3 Energie'!E6*$C$7</f>
        <v>18219.061019452</v>
      </c>
      <c r="E720" s="50" t="n">
        <f aca="false">D720*C720</f>
        <v>179913.227567089</v>
      </c>
      <c r="F720" s="46" t="n">
        <v>711</v>
      </c>
      <c r="G720" s="47" t="n">
        <f aca="false">F720*$H$6</f>
        <v>1.29735904614163</v>
      </c>
      <c r="H720" s="48" t="n">
        <f aca="false">$H$7*G720</f>
        <v>9.875</v>
      </c>
      <c r="I720" s="49" t="n">
        <f aca="false">0.5*c_rho*'P3 Energie'!F8*'P3 Energie'!F7*(H720-c_Vv)^2+'P3 Energie'!F13+'P3 Energie'!F15+'P3 Energie'!F6*$H$7</f>
        <v>19072.1432358151</v>
      </c>
      <c r="J720" s="50" t="n">
        <f aca="false">I720*H720</f>
        <v>188337.414453674</v>
      </c>
    </row>
    <row r="721" customFormat="false" ht="15" hidden="false" customHeight="false" outlineLevel="0" collapsed="false">
      <c r="A721" s="46" t="n">
        <v>712</v>
      </c>
      <c r="B721" s="47" t="n">
        <f aca="false">A721*$C$6</f>
        <v>1.30294568107177</v>
      </c>
      <c r="C721" s="48" t="n">
        <f aca="false">$C$7*B721</f>
        <v>9.88888888888889</v>
      </c>
      <c r="D721" s="49" t="n">
        <f aca="false">0.5*c_rho*'P3 Energie'!E8*'P3 Energie'!E7*(C721-c_Vv)^2+'P3 Energie'!E13+'P3 Energie'!E15+'P3 Energie'!E6*$C$7</f>
        <v>18219.1706647676</v>
      </c>
      <c r="E721" s="50" t="n">
        <f aca="false">D721*C721</f>
        <v>180167.35435159</v>
      </c>
      <c r="F721" s="46" t="n">
        <v>712</v>
      </c>
      <c r="G721" s="47" t="n">
        <f aca="false">F721*$H$6</f>
        <v>1.29918374240906</v>
      </c>
      <c r="H721" s="48" t="n">
        <f aca="false">$H$7*G721</f>
        <v>9.88888888888889</v>
      </c>
      <c r="I721" s="49" t="n">
        <f aca="false">0.5*c_rho*'P3 Energie'!F8*'P3 Energie'!F7*(H721-c_Vv)^2+'P3 Energie'!F13+'P3 Energie'!F15+'P3 Energie'!F6*$H$7</f>
        <v>19072.2384980889</v>
      </c>
      <c r="J721" s="50" t="n">
        <f aca="false">I721*H721</f>
        <v>188603.24736999</v>
      </c>
    </row>
    <row r="722" customFormat="false" ht="15" hidden="false" customHeight="false" outlineLevel="0" collapsed="false">
      <c r="A722" s="46" t="n">
        <v>713</v>
      </c>
      <c r="B722" s="47" t="n">
        <f aca="false">A722*$C$6</f>
        <v>1.30477566096092</v>
      </c>
      <c r="C722" s="48" t="n">
        <f aca="false">$C$7*B722</f>
        <v>9.90277777777778</v>
      </c>
      <c r="D722" s="49" t="n">
        <f aca="false">0.5*c_rho*'P3 Energie'!E8*'P3 Energie'!E7*(C722-c_Vv)^2+'P3 Energie'!E13+'P3 Energie'!E15+'P3 Energie'!E6*$C$7</f>
        <v>18219.2804641875</v>
      </c>
      <c r="E722" s="50" t="n">
        <f aca="false">D722*C722</f>
        <v>180421.485707857</v>
      </c>
      <c r="F722" s="46" t="n">
        <v>713</v>
      </c>
      <c r="G722" s="47" t="n">
        <f aca="false">F722*$H$6</f>
        <v>1.30100843867649</v>
      </c>
      <c r="H722" s="48" t="n">
        <f aca="false">$H$7*G722</f>
        <v>9.90277777777778</v>
      </c>
      <c r="I722" s="49" t="n">
        <f aca="false">0.5*c_rho*'P3 Energie'!F8*'P3 Energie'!F7*(H722-c_Vv)^2+'P3 Energie'!F13+'P3 Energie'!F15+'P3 Energie'!F6*$H$7</f>
        <v>19072.3338942521</v>
      </c>
      <c r="J722" s="50" t="n">
        <f aca="false">I722*H722</f>
        <v>188869.084258357</v>
      </c>
    </row>
    <row r="723" customFormat="false" ht="15" hidden="false" customHeight="false" outlineLevel="0" collapsed="false">
      <c r="A723" s="46" t="n">
        <v>714</v>
      </c>
      <c r="B723" s="47" t="n">
        <f aca="false">A723*$C$6</f>
        <v>1.30660564085007</v>
      </c>
      <c r="C723" s="48" t="n">
        <f aca="false">$C$7*B723</f>
        <v>9.91666666666667</v>
      </c>
      <c r="D723" s="49" t="n">
        <f aca="false">0.5*c_rho*'P3 Energie'!E8*'P3 Energie'!E7*(C723-c_Vv)^2+'P3 Energie'!E13+'P3 Energie'!E15+'P3 Energie'!E6*$C$7</f>
        <v>18219.3904177119</v>
      </c>
      <c r="E723" s="50" t="n">
        <f aca="false">D723*C723</f>
        <v>180675.62164231</v>
      </c>
      <c r="F723" s="46" t="n">
        <v>714</v>
      </c>
      <c r="G723" s="47" t="n">
        <f aca="false">F723*$H$6</f>
        <v>1.30283313494392</v>
      </c>
      <c r="H723" s="48" t="n">
        <f aca="false">$H$7*G723</f>
        <v>9.91666666666667</v>
      </c>
      <c r="I723" s="49" t="n">
        <f aca="false">0.5*c_rho*'P3 Energie'!F8*'P3 Energie'!F7*(H723-c_Vv)^2+'P3 Energie'!F13+'P3 Energie'!F15+'P3 Energie'!F6*$H$7</f>
        <v>19072.4294243046</v>
      </c>
      <c r="J723" s="50" t="n">
        <f aca="false">I723*H723</f>
        <v>189134.925124354</v>
      </c>
    </row>
    <row r="724" customFormat="false" ht="15" hidden="false" customHeight="false" outlineLevel="0" collapsed="false">
      <c r="A724" s="46" t="n">
        <v>715</v>
      </c>
      <c r="B724" s="47" t="n">
        <f aca="false">A724*$C$6</f>
        <v>1.30843562073921</v>
      </c>
      <c r="C724" s="48" t="n">
        <f aca="false">$C$7*B724</f>
        <v>9.93055555555556</v>
      </c>
      <c r="D724" s="49" t="n">
        <f aca="false">0.5*c_rho*'P3 Energie'!E8*'P3 Energie'!E7*(C724-c_Vv)^2+'P3 Energie'!E13+'P3 Energie'!E15+'P3 Energie'!E6*$C$7</f>
        <v>18219.5005253408</v>
      </c>
      <c r="E724" s="50" t="n">
        <f aca="false">D724*C724</f>
        <v>180929.762161371</v>
      </c>
      <c r="F724" s="46" t="n">
        <v>715</v>
      </c>
      <c r="G724" s="47" t="n">
        <f aca="false">F724*$H$6</f>
        <v>1.30465783121134</v>
      </c>
      <c r="H724" s="48" t="n">
        <f aca="false">$H$7*G724</f>
        <v>9.93055555555556</v>
      </c>
      <c r="I724" s="49" t="n">
        <f aca="false">0.5*c_rho*'P3 Energie'!F8*'P3 Energie'!F7*(H724-c_Vv)^2+'P3 Energie'!F13+'P3 Energie'!F15+'P3 Energie'!F6*$H$7</f>
        <v>19072.5250882465</v>
      </c>
      <c r="J724" s="50" t="n">
        <f aca="false">I724*H724</f>
        <v>189400.769973559</v>
      </c>
    </row>
    <row r="725" customFormat="false" ht="15" hidden="false" customHeight="false" outlineLevel="0" collapsed="false">
      <c r="A725" s="46" t="n">
        <v>716</v>
      </c>
      <c r="B725" s="47" t="n">
        <f aca="false">A725*$C$6</f>
        <v>1.31026560062836</v>
      </c>
      <c r="C725" s="48" t="n">
        <f aca="false">$C$7*B725</f>
        <v>9.94444444444445</v>
      </c>
      <c r="D725" s="49" t="n">
        <f aca="false">0.5*c_rho*'P3 Energie'!E8*'P3 Energie'!E7*(C725-c_Vv)^2+'P3 Energie'!E13+'P3 Energie'!E15+'P3 Energie'!E6*$C$7</f>
        <v>18219.6107870741</v>
      </c>
      <c r="E725" s="50" t="n">
        <f aca="false">D725*C725</f>
        <v>181183.907271459</v>
      </c>
      <c r="F725" s="46" t="n">
        <v>716</v>
      </c>
      <c r="G725" s="47" t="n">
        <f aca="false">F725*$H$6</f>
        <v>1.30648252747877</v>
      </c>
      <c r="H725" s="48" t="n">
        <f aca="false">$H$7*G725</f>
        <v>9.94444444444445</v>
      </c>
      <c r="I725" s="49" t="n">
        <f aca="false">0.5*c_rho*'P3 Energie'!F8*'P3 Energie'!F7*(H725-c_Vv)^2+'P3 Energie'!F13+'P3 Energie'!F15+'P3 Energie'!F6*$H$7</f>
        <v>19072.6208860778</v>
      </c>
      <c r="J725" s="50" t="n">
        <f aca="false">I725*H725</f>
        <v>189666.618811551</v>
      </c>
    </row>
    <row r="726" customFormat="false" ht="15" hidden="false" customHeight="false" outlineLevel="0" collapsed="false">
      <c r="A726" s="46" t="n">
        <v>717</v>
      </c>
      <c r="B726" s="47" t="n">
        <f aca="false">A726*$C$6</f>
        <v>1.3120955805175</v>
      </c>
      <c r="C726" s="48" t="n">
        <f aca="false">$C$7*B726</f>
        <v>9.95833333333333</v>
      </c>
      <c r="D726" s="49" t="n">
        <f aca="false">0.5*c_rho*'P3 Energie'!E8*'P3 Energie'!E7*(C726-c_Vv)^2+'P3 Energie'!E13+'P3 Energie'!E15+'P3 Energie'!E6*$C$7</f>
        <v>18219.7212029119</v>
      </c>
      <c r="E726" s="50" t="n">
        <f aca="false">D726*C726</f>
        <v>181438.056978997</v>
      </c>
      <c r="F726" s="46" t="n">
        <v>717</v>
      </c>
      <c r="G726" s="47" t="n">
        <f aca="false">F726*$H$6</f>
        <v>1.3083072237462</v>
      </c>
      <c r="H726" s="48" t="n">
        <f aca="false">$H$7*G726</f>
        <v>9.95833333333333</v>
      </c>
      <c r="I726" s="49" t="n">
        <f aca="false">0.5*c_rho*'P3 Energie'!F8*'P3 Energie'!F7*(H726-c_Vv)^2+'P3 Energie'!F13+'P3 Energie'!F15+'P3 Energie'!F6*$H$7</f>
        <v>19072.7168177984</v>
      </c>
      <c r="J726" s="50" t="n">
        <f aca="false">I726*H726</f>
        <v>189932.471643909</v>
      </c>
    </row>
    <row r="727" customFormat="false" ht="15" hidden="false" customHeight="false" outlineLevel="0" collapsed="false">
      <c r="A727" s="46" t="n">
        <v>718</v>
      </c>
      <c r="B727" s="47" t="n">
        <f aca="false">A727*$C$6</f>
        <v>1.31392556040665</v>
      </c>
      <c r="C727" s="48" t="n">
        <f aca="false">$C$7*B727</f>
        <v>9.97222222222222</v>
      </c>
      <c r="D727" s="49" t="n">
        <f aca="false">0.5*c_rho*'P3 Energie'!E8*'P3 Energie'!E7*(C727-c_Vv)^2+'P3 Energie'!E13+'P3 Energie'!E15+'P3 Energie'!E6*$C$7</f>
        <v>18219.8317728541</v>
      </c>
      <c r="E727" s="50" t="n">
        <f aca="false">D727*C727</f>
        <v>181692.211290406</v>
      </c>
      <c r="F727" s="46" t="n">
        <v>718</v>
      </c>
      <c r="G727" s="47" t="n">
        <f aca="false">F727*$H$6</f>
        <v>1.31013192001363</v>
      </c>
      <c r="H727" s="48" t="n">
        <f aca="false">$H$7*G727</f>
        <v>9.97222222222222</v>
      </c>
      <c r="I727" s="49" t="n">
        <f aca="false">0.5*c_rho*'P3 Energie'!F8*'P3 Energie'!F7*(H727-c_Vv)^2+'P3 Energie'!F13+'P3 Energie'!F15+'P3 Energie'!F6*$H$7</f>
        <v>19072.8128834083</v>
      </c>
      <c r="J727" s="50" t="n">
        <f aca="false">I727*H727</f>
        <v>190198.328476211</v>
      </c>
    </row>
    <row r="728" customFormat="false" ht="15" hidden="false" customHeight="false" outlineLevel="0" collapsed="false">
      <c r="A728" s="46" t="n">
        <v>719</v>
      </c>
      <c r="B728" s="47" t="n">
        <f aca="false">A728*$C$6</f>
        <v>1.31575554029579</v>
      </c>
      <c r="C728" s="48" t="n">
        <f aca="false">$C$7*B728</f>
        <v>9.98611111111111</v>
      </c>
      <c r="D728" s="49" t="n">
        <f aca="false">0.5*c_rho*'P3 Energie'!E8*'P3 Energie'!E7*(C728-c_Vv)^2+'P3 Energie'!E13+'P3 Energie'!E15+'P3 Energie'!E6*$C$7</f>
        <v>18219.9424969008</v>
      </c>
      <c r="E728" s="50" t="n">
        <f aca="false">D728*C728</f>
        <v>181946.370212106</v>
      </c>
      <c r="F728" s="46" t="n">
        <v>719</v>
      </c>
      <c r="G728" s="47" t="n">
        <f aca="false">F728*$H$6</f>
        <v>1.31195661628106</v>
      </c>
      <c r="H728" s="48" t="n">
        <f aca="false">$H$7*G728</f>
        <v>9.98611111111111</v>
      </c>
      <c r="I728" s="49" t="n">
        <f aca="false">0.5*c_rho*'P3 Energie'!F8*'P3 Energie'!F7*(H728-c_Vv)^2+'P3 Energie'!F13+'P3 Energie'!F15+'P3 Energie'!F6*$H$7</f>
        <v>19072.9090829076</v>
      </c>
      <c r="J728" s="50" t="n">
        <f aca="false">I728*H728</f>
        <v>190464.189314036</v>
      </c>
    </row>
    <row r="729" customFormat="false" ht="15" hidden="false" customHeight="false" outlineLevel="0" collapsed="false">
      <c r="A729" s="46" t="n">
        <v>720</v>
      </c>
      <c r="B729" s="47" t="n">
        <f aca="false">A729*$C$6</f>
        <v>1.31758552018494</v>
      </c>
      <c r="C729" s="48" t="n">
        <f aca="false">$C$7*B729</f>
        <v>10</v>
      </c>
      <c r="D729" s="49" t="n">
        <f aca="false">0.5*c_rho*'P3 Energie'!E8*'P3 Energie'!E7*(C729-c_Vv)^2+'P3 Energie'!E13+'P3 Energie'!E15+'P3 Energie'!E6*$C$7</f>
        <v>18220.0533750519</v>
      </c>
      <c r="E729" s="50" t="n">
        <f aca="false">D729*C729</f>
        <v>182200.533750519</v>
      </c>
      <c r="F729" s="46" t="n">
        <v>720</v>
      </c>
      <c r="G729" s="47" t="n">
        <f aca="false">F729*$H$6</f>
        <v>1.31378131254849</v>
      </c>
      <c r="H729" s="48" t="n">
        <f aca="false">$H$7*G729</f>
        <v>10</v>
      </c>
      <c r="I729" s="49" t="n">
        <f aca="false">0.5*c_rho*'P3 Energie'!F8*'P3 Energie'!F7*(H729-c_Vv)^2+'P3 Energie'!F13+'P3 Energie'!F15+'P3 Energie'!F6*$H$7</f>
        <v>19073.0054162963</v>
      </c>
      <c r="J729" s="50" t="n">
        <f aca="false">I729*H729</f>
        <v>190730.054162963</v>
      </c>
    </row>
    <row r="730" customFormat="false" ht="15" hidden="false" customHeight="false" outlineLevel="0" collapsed="false">
      <c r="A730" s="46" t="n">
        <v>721</v>
      </c>
      <c r="B730" s="47" t="n">
        <f aca="false">A730*$C$6</f>
        <v>1.31941550007409</v>
      </c>
      <c r="C730" s="48" t="n">
        <f aca="false">$C$7*B730</f>
        <v>10.0138888888889</v>
      </c>
      <c r="D730" s="49" t="n">
        <f aca="false">0.5*c_rho*'P3 Energie'!E8*'P3 Energie'!E7*(C730-c_Vv)^2+'P3 Energie'!E13+'P3 Energie'!E15+'P3 Energie'!E6*$C$7</f>
        <v>18220.1644073074</v>
      </c>
      <c r="E730" s="50" t="n">
        <f aca="false">D730*C730</f>
        <v>182454.701912065</v>
      </c>
      <c r="F730" s="46" t="n">
        <v>721</v>
      </c>
      <c r="G730" s="47" t="n">
        <f aca="false">F730*$H$6</f>
        <v>1.31560600881592</v>
      </c>
      <c r="H730" s="48" t="n">
        <f aca="false">$H$7*G730</f>
        <v>10.0138888888889</v>
      </c>
      <c r="I730" s="49" t="n">
        <f aca="false">0.5*c_rho*'P3 Energie'!F8*'P3 Energie'!F7*(H730-c_Vv)^2+'P3 Energie'!F13+'P3 Energie'!F15+'P3 Energie'!F6*$H$7</f>
        <v>19073.1018835743</v>
      </c>
      <c r="J730" s="50" t="n">
        <f aca="false">I730*H730</f>
        <v>190995.92302857</v>
      </c>
    </row>
    <row r="731" customFormat="false" ht="15" hidden="false" customHeight="false" outlineLevel="0" collapsed="false">
      <c r="A731" s="46" t="n">
        <v>722</v>
      </c>
      <c r="B731" s="47" t="n">
        <f aca="false">A731*$C$6</f>
        <v>1.32124547996323</v>
      </c>
      <c r="C731" s="48" t="n">
        <f aca="false">$C$7*B731</f>
        <v>10.0277777777778</v>
      </c>
      <c r="D731" s="49" t="n">
        <f aca="false">0.5*c_rho*'P3 Energie'!E8*'P3 Energie'!E7*(C731-c_Vv)^2+'P3 Energie'!E13+'P3 Energie'!E15+'P3 Energie'!E6*$C$7</f>
        <v>18220.2755936674</v>
      </c>
      <c r="E731" s="50" t="n">
        <f aca="false">D731*C731</f>
        <v>182708.874703165</v>
      </c>
      <c r="F731" s="46" t="n">
        <v>722</v>
      </c>
      <c r="G731" s="47" t="n">
        <f aca="false">F731*$H$6</f>
        <v>1.31743070508334</v>
      </c>
      <c r="H731" s="48" t="n">
        <f aca="false">$H$7*G731</f>
        <v>10.0277777777778</v>
      </c>
      <c r="I731" s="49" t="n">
        <f aca="false">0.5*c_rho*'P3 Energie'!F8*'P3 Energie'!F7*(H731-c_Vv)^2+'P3 Energie'!F13+'P3 Energie'!F15+'P3 Energie'!F6*$H$7</f>
        <v>19073.1984847417</v>
      </c>
      <c r="J731" s="50" t="n">
        <f aca="false">I731*H731</f>
        <v>191261.795916437</v>
      </c>
    </row>
    <row r="732" customFormat="false" ht="15" hidden="false" customHeight="false" outlineLevel="0" collapsed="false">
      <c r="A732" s="46" t="n">
        <v>723</v>
      </c>
      <c r="B732" s="47" t="n">
        <f aca="false">A732*$C$6</f>
        <v>1.32307545985238</v>
      </c>
      <c r="C732" s="48" t="n">
        <f aca="false">$C$7*B732</f>
        <v>10.0416666666667</v>
      </c>
      <c r="D732" s="49" t="n">
        <f aca="false">0.5*c_rho*'P3 Energie'!E8*'P3 Energie'!E7*(C732-c_Vv)^2+'P3 Energie'!E13+'P3 Energie'!E15+'P3 Energie'!E6*$C$7</f>
        <v>18220.3869341319</v>
      </c>
      <c r="E732" s="50" t="n">
        <f aca="false">D732*C732</f>
        <v>182963.052130241</v>
      </c>
      <c r="F732" s="46" t="n">
        <v>723</v>
      </c>
      <c r="G732" s="47" t="n">
        <f aca="false">F732*$H$6</f>
        <v>1.31925540135077</v>
      </c>
      <c r="H732" s="48" t="n">
        <f aca="false">$H$7*G732</f>
        <v>10.0416666666667</v>
      </c>
      <c r="I732" s="49" t="n">
        <f aca="false">0.5*c_rho*'P3 Energie'!F8*'P3 Energie'!F7*(H732-c_Vv)^2+'P3 Energie'!F13+'P3 Energie'!F15+'P3 Energie'!F6*$H$7</f>
        <v>19073.2952197984</v>
      </c>
      <c r="J732" s="50" t="n">
        <f aca="false">I732*H732</f>
        <v>191527.672832142</v>
      </c>
    </row>
    <row r="733" customFormat="false" ht="15" hidden="false" customHeight="false" outlineLevel="0" collapsed="false">
      <c r="A733" s="46" t="n">
        <v>724</v>
      </c>
      <c r="B733" s="47" t="n">
        <f aca="false">A733*$C$6</f>
        <v>1.32490543974152</v>
      </c>
      <c r="C733" s="48" t="n">
        <f aca="false">$C$7*B733</f>
        <v>10.0555555555556</v>
      </c>
      <c r="D733" s="49" t="n">
        <f aca="false">0.5*c_rho*'P3 Energie'!E8*'P3 Energie'!E7*(C733-c_Vv)^2+'P3 Energie'!E13+'P3 Energie'!E15+'P3 Energie'!E6*$C$7</f>
        <v>18220.4984287008</v>
      </c>
      <c r="E733" s="50" t="n">
        <f aca="false">D733*C733</f>
        <v>183217.234199713</v>
      </c>
      <c r="F733" s="46" t="n">
        <v>724</v>
      </c>
      <c r="G733" s="47" t="n">
        <f aca="false">F733*$H$6</f>
        <v>1.3210800976182</v>
      </c>
      <c r="H733" s="48" t="n">
        <f aca="false">$H$7*G733</f>
        <v>10.0555555555556</v>
      </c>
      <c r="I733" s="49" t="n">
        <f aca="false">0.5*c_rho*'P3 Energie'!F8*'P3 Energie'!F7*(H733-c_Vv)^2+'P3 Energie'!F13+'P3 Energie'!F15+'P3 Energie'!F6*$H$7</f>
        <v>19073.3920887444</v>
      </c>
      <c r="J733" s="50" t="n">
        <f aca="false">I733*H733</f>
        <v>191793.553781264</v>
      </c>
    </row>
    <row r="734" customFormat="false" ht="15" hidden="false" customHeight="false" outlineLevel="0" collapsed="false">
      <c r="A734" s="46" t="n">
        <v>725</v>
      </c>
      <c r="B734" s="47" t="n">
        <f aca="false">A734*$C$6</f>
        <v>1.32673541963067</v>
      </c>
      <c r="C734" s="48" t="n">
        <f aca="false">$C$7*B734</f>
        <v>10.0694444444444</v>
      </c>
      <c r="D734" s="49" t="n">
        <f aca="false">0.5*c_rho*'P3 Energie'!E8*'P3 Energie'!E7*(C734-c_Vv)^2+'P3 Energie'!E13+'P3 Energie'!E15+'P3 Energie'!E6*$C$7</f>
        <v>18220.6100773741</v>
      </c>
      <c r="E734" s="50" t="n">
        <f aca="false">D734*C734</f>
        <v>183471.420918003</v>
      </c>
      <c r="F734" s="46" t="n">
        <v>725</v>
      </c>
      <c r="G734" s="47" t="n">
        <f aca="false">F734*$H$6</f>
        <v>1.32290479388563</v>
      </c>
      <c r="H734" s="48" t="n">
        <f aca="false">$H$7*G734</f>
        <v>10.0694444444444</v>
      </c>
      <c r="I734" s="49" t="n">
        <f aca="false">0.5*c_rho*'P3 Energie'!F8*'P3 Energie'!F7*(H734-c_Vv)^2+'P3 Energie'!F13+'P3 Energie'!F15+'P3 Energie'!F6*$H$7</f>
        <v>19073.4890915799</v>
      </c>
      <c r="J734" s="50" t="n">
        <f aca="false">I734*H734</f>
        <v>192059.438769381</v>
      </c>
    </row>
    <row r="735" customFormat="false" ht="15" hidden="false" customHeight="false" outlineLevel="0" collapsed="false">
      <c r="A735" s="46" t="n">
        <v>726</v>
      </c>
      <c r="B735" s="47" t="n">
        <f aca="false">A735*$C$6</f>
        <v>1.32856539951981</v>
      </c>
      <c r="C735" s="48" t="n">
        <f aca="false">$C$7*B735</f>
        <v>10.0833333333333</v>
      </c>
      <c r="D735" s="49" t="n">
        <f aca="false">0.5*c_rho*'P3 Energie'!E8*'P3 Energie'!E7*(C735-c_Vv)^2+'P3 Energie'!E13+'P3 Energie'!E15+'P3 Energie'!E6*$C$7</f>
        <v>18220.7218801519</v>
      </c>
      <c r="E735" s="50" t="n">
        <f aca="false">D735*C735</f>
        <v>183725.612291532</v>
      </c>
      <c r="F735" s="46" t="n">
        <v>726</v>
      </c>
      <c r="G735" s="47" t="n">
        <f aca="false">F735*$H$6</f>
        <v>1.32472949015306</v>
      </c>
      <c r="H735" s="48" t="n">
        <f aca="false">$H$7*G735</f>
        <v>10.0833333333333</v>
      </c>
      <c r="I735" s="49" t="n">
        <f aca="false">0.5*c_rho*'P3 Energie'!F8*'P3 Energie'!F7*(H735-c_Vv)^2+'P3 Energie'!F13+'P3 Energie'!F15+'P3 Energie'!F6*$H$7</f>
        <v>19073.5862283046</v>
      </c>
      <c r="J735" s="50" t="n">
        <f aca="false">I735*H735</f>
        <v>192325.327802072</v>
      </c>
    </row>
    <row r="736" customFormat="false" ht="15" hidden="false" customHeight="false" outlineLevel="0" collapsed="false">
      <c r="A736" s="46" t="n">
        <v>727</v>
      </c>
      <c r="B736" s="47" t="n">
        <f aca="false">A736*$C$6</f>
        <v>1.33039537940896</v>
      </c>
      <c r="C736" s="48" t="n">
        <f aca="false">$C$7*B736</f>
        <v>10.0972222222222</v>
      </c>
      <c r="D736" s="49" t="n">
        <f aca="false">0.5*c_rho*'P3 Energie'!E8*'P3 Energie'!E7*(C736-c_Vv)^2+'P3 Energie'!E13+'P3 Energie'!E15+'P3 Energie'!E6*$C$7</f>
        <v>18220.8338370342</v>
      </c>
      <c r="E736" s="50" t="n">
        <f aca="false">D736*C736</f>
        <v>183979.80832672</v>
      </c>
      <c r="F736" s="46" t="n">
        <v>727</v>
      </c>
      <c r="G736" s="47" t="n">
        <f aca="false">F736*$H$6</f>
        <v>1.32655418642049</v>
      </c>
      <c r="H736" s="48" t="n">
        <f aca="false">$H$7*G736</f>
        <v>10.0972222222222</v>
      </c>
      <c r="I736" s="49" t="n">
        <f aca="false">0.5*c_rho*'P3 Energie'!F8*'P3 Energie'!F7*(H736-c_Vv)^2+'P3 Energie'!F13+'P3 Energie'!F15+'P3 Energie'!F6*$H$7</f>
        <v>19073.6834989188</v>
      </c>
      <c r="J736" s="50" t="n">
        <f aca="false">I736*H736</f>
        <v>192591.220884916</v>
      </c>
    </row>
    <row r="737" customFormat="false" ht="15" hidden="false" customHeight="false" outlineLevel="0" collapsed="false">
      <c r="A737" s="46" t="n">
        <v>728</v>
      </c>
      <c r="B737" s="47" t="n">
        <f aca="false">A737*$C$6</f>
        <v>1.33222535929811</v>
      </c>
      <c r="C737" s="48" t="n">
        <f aca="false">$C$7*B737</f>
        <v>10.1111111111111</v>
      </c>
      <c r="D737" s="49" t="n">
        <f aca="false">0.5*c_rho*'P3 Energie'!E8*'P3 Energie'!E7*(C737-c_Vv)^2+'P3 Energie'!E13+'P3 Energie'!E15+'P3 Energie'!E6*$C$7</f>
        <v>18220.9459480209</v>
      </c>
      <c r="E737" s="50" t="n">
        <f aca="false">D737*C737</f>
        <v>184234.009029989</v>
      </c>
      <c r="F737" s="46" t="n">
        <v>728</v>
      </c>
      <c r="G737" s="47" t="n">
        <f aca="false">F737*$H$6</f>
        <v>1.32837888268791</v>
      </c>
      <c r="H737" s="48" t="n">
        <f aca="false">$H$7*G737</f>
        <v>10.1111111111111</v>
      </c>
      <c r="I737" s="49" t="n">
        <f aca="false">0.5*c_rho*'P3 Energie'!F8*'P3 Energie'!F7*(H737-c_Vv)^2+'P3 Energie'!F13+'P3 Energie'!F15+'P3 Energie'!F6*$H$7</f>
        <v>19073.7809034222</v>
      </c>
      <c r="J737" s="50" t="n">
        <f aca="false">I737*H737</f>
        <v>192857.118023491</v>
      </c>
    </row>
    <row r="738" customFormat="false" ht="15" hidden="false" customHeight="false" outlineLevel="0" collapsed="false">
      <c r="A738" s="46" t="n">
        <v>729</v>
      </c>
      <c r="B738" s="47" t="n">
        <f aca="false">A738*$C$6</f>
        <v>1.33405533918725</v>
      </c>
      <c r="C738" s="48" t="n">
        <f aca="false">$C$7*B738</f>
        <v>10.125</v>
      </c>
      <c r="D738" s="49" t="n">
        <f aca="false">0.5*c_rho*'P3 Energie'!E8*'P3 Energie'!E7*(C738-c_Vv)^2+'P3 Energie'!E13+'P3 Energie'!E15+'P3 Energie'!E6*$C$7</f>
        <v>18221.058213112</v>
      </c>
      <c r="E738" s="50" t="n">
        <f aca="false">D738*C738</f>
        <v>184488.214407759</v>
      </c>
      <c r="F738" s="46" t="n">
        <v>729</v>
      </c>
      <c r="G738" s="47" t="n">
        <f aca="false">F738*$H$6</f>
        <v>1.33020357895534</v>
      </c>
      <c r="H738" s="48" t="n">
        <f aca="false">$H$7*G738</f>
        <v>10.125</v>
      </c>
      <c r="I738" s="49" t="n">
        <f aca="false">0.5*c_rho*'P3 Energie'!F8*'P3 Energie'!F7*(H738-c_Vv)^2+'P3 Energie'!F13+'P3 Energie'!F15+'P3 Energie'!F6*$H$7</f>
        <v>19073.878441815</v>
      </c>
      <c r="J738" s="50" t="n">
        <f aca="false">I738*H738</f>
        <v>193123.019223377</v>
      </c>
    </row>
    <row r="739" customFormat="false" ht="15" hidden="false" customHeight="false" outlineLevel="0" collapsed="false">
      <c r="A739" s="46" t="n">
        <v>730</v>
      </c>
      <c r="B739" s="47" t="n">
        <f aca="false">A739*$C$6</f>
        <v>1.3358853190764</v>
      </c>
      <c r="C739" s="48" t="n">
        <f aca="false">$C$7*B739</f>
        <v>10.1388888888889</v>
      </c>
      <c r="D739" s="49" t="n">
        <f aca="false">0.5*c_rho*'P3 Energie'!E8*'P3 Energie'!E7*(C739-c_Vv)^2+'P3 Energie'!E13+'P3 Energie'!E15+'P3 Energie'!E6*$C$7</f>
        <v>18221.1706323076</v>
      </c>
      <c r="E739" s="50" t="n">
        <f aca="false">D739*C739</f>
        <v>184742.424466453</v>
      </c>
      <c r="F739" s="46" t="n">
        <v>730</v>
      </c>
      <c r="G739" s="47" t="n">
        <f aca="false">F739*$H$6</f>
        <v>1.33202827522277</v>
      </c>
      <c r="H739" s="48" t="n">
        <f aca="false">$H$7*G739</f>
        <v>10.1388888888889</v>
      </c>
      <c r="I739" s="49" t="n">
        <f aca="false">0.5*c_rho*'P3 Energie'!F8*'P3 Energie'!F7*(H739-c_Vv)^2+'P3 Energie'!F13+'P3 Energie'!F15+'P3 Energie'!F6*$H$7</f>
        <v>19073.9761140972</v>
      </c>
      <c r="J739" s="50" t="n">
        <f aca="false">I739*H739</f>
        <v>193388.924490152</v>
      </c>
    </row>
    <row r="740" customFormat="false" ht="15" hidden="false" customHeight="false" outlineLevel="0" collapsed="false">
      <c r="A740" s="46" t="n">
        <v>731</v>
      </c>
      <c r="B740" s="47" t="n">
        <f aca="false">A740*$C$6</f>
        <v>1.33771529896554</v>
      </c>
      <c r="C740" s="48" t="n">
        <f aca="false">$C$7*B740</f>
        <v>10.1527777777778</v>
      </c>
      <c r="D740" s="49" t="n">
        <f aca="false">0.5*c_rho*'P3 Energie'!E8*'P3 Energie'!E7*(C740-c_Vv)^2+'P3 Energie'!E13+'P3 Energie'!E15+'P3 Energie'!E6*$C$7</f>
        <v>18221.2832056077</v>
      </c>
      <c r="E740" s="50" t="n">
        <f aca="false">D740*C740</f>
        <v>184996.639212489</v>
      </c>
      <c r="F740" s="46" t="n">
        <v>731</v>
      </c>
      <c r="G740" s="47" t="n">
        <f aca="false">F740*$H$6</f>
        <v>1.3338529714902</v>
      </c>
      <c r="H740" s="48" t="n">
        <f aca="false">$H$7*G740</f>
        <v>10.1527777777778</v>
      </c>
      <c r="I740" s="49" t="n">
        <f aca="false">0.5*c_rho*'P3 Energie'!F8*'P3 Energie'!F7*(H740-c_Vv)^2+'P3 Energie'!F13+'P3 Energie'!F15+'P3 Energie'!F6*$H$7</f>
        <v>19074.0739202688</v>
      </c>
      <c r="J740" s="50" t="n">
        <f aca="false">I740*H740</f>
        <v>193654.833829395</v>
      </c>
    </row>
    <row r="741" customFormat="false" ht="15" hidden="false" customHeight="false" outlineLevel="0" collapsed="false">
      <c r="A741" s="46" t="n">
        <v>732</v>
      </c>
      <c r="B741" s="47" t="n">
        <f aca="false">A741*$C$6</f>
        <v>1.33954527885469</v>
      </c>
      <c r="C741" s="48" t="n">
        <f aca="false">$C$7*B741</f>
        <v>10.1666666666667</v>
      </c>
      <c r="D741" s="49" t="n">
        <f aca="false">0.5*c_rho*'P3 Energie'!E8*'P3 Energie'!E7*(C741-c_Vv)^2+'P3 Energie'!E13+'P3 Energie'!E15+'P3 Energie'!E6*$C$7</f>
        <v>18221.3959330122</v>
      </c>
      <c r="E741" s="50" t="n">
        <f aca="false">D741*C741</f>
        <v>185250.858652291</v>
      </c>
      <c r="F741" s="46" t="n">
        <v>732</v>
      </c>
      <c r="G741" s="47" t="n">
        <f aca="false">F741*$H$6</f>
        <v>1.33567766775763</v>
      </c>
      <c r="H741" s="48" t="n">
        <f aca="false">$H$7*G741</f>
        <v>10.1666666666667</v>
      </c>
      <c r="I741" s="49" t="n">
        <f aca="false">0.5*c_rho*'P3 Energie'!F8*'P3 Energie'!F7*(H741-c_Vv)^2+'P3 Energie'!F13+'P3 Energie'!F15+'P3 Energie'!F6*$H$7</f>
        <v>19074.1718603296</v>
      </c>
      <c r="J741" s="50" t="n">
        <f aca="false">I741*H741</f>
        <v>193920.747246685</v>
      </c>
    </row>
    <row r="742" customFormat="false" ht="15" hidden="false" customHeight="false" outlineLevel="0" collapsed="false">
      <c r="A742" s="46" t="n">
        <v>733</v>
      </c>
      <c r="B742" s="47" t="n">
        <f aca="false">A742*$C$6</f>
        <v>1.34137525874383</v>
      </c>
      <c r="C742" s="48" t="n">
        <f aca="false">$C$7*B742</f>
        <v>10.1805555555556</v>
      </c>
      <c r="D742" s="49" t="n">
        <f aca="false">0.5*c_rho*'P3 Energie'!E8*'P3 Energie'!E7*(C742-c_Vv)^2+'P3 Energie'!E13+'P3 Energie'!E15+'P3 Energie'!E6*$C$7</f>
        <v>18221.5088145211</v>
      </c>
      <c r="E742" s="50" t="n">
        <f aca="false">D742*C742</f>
        <v>185505.082792278</v>
      </c>
      <c r="F742" s="46" t="n">
        <v>733</v>
      </c>
      <c r="G742" s="47" t="n">
        <f aca="false">F742*$H$6</f>
        <v>1.33750236402506</v>
      </c>
      <c r="H742" s="48" t="n">
        <f aca="false">$H$7*G742</f>
        <v>10.1805555555556</v>
      </c>
      <c r="I742" s="49" t="n">
        <f aca="false">0.5*c_rho*'P3 Energie'!F8*'P3 Energie'!F7*(H742-c_Vv)^2+'P3 Energie'!F13+'P3 Energie'!F15+'P3 Energie'!F6*$H$7</f>
        <v>19074.2699342799</v>
      </c>
      <c r="J742" s="50" t="n">
        <f aca="false">I742*H742</f>
        <v>194186.664747599</v>
      </c>
    </row>
    <row r="743" customFormat="false" ht="15" hidden="false" customHeight="false" outlineLevel="0" collapsed="false">
      <c r="A743" s="46" t="n">
        <v>734</v>
      </c>
      <c r="B743" s="47" t="n">
        <f aca="false">A743*$C$6</f>
        <v>1.34320523863298</v>
      </c>
      <c r="C743" s="48" t="n">
        <f aca="false">$C$7*B743</f>
        <v>10.1944444444444</v>
      </c>
      <c r="D743" s="49" t="n">
        <f aca="false">0.5*c_rho*'P3 Energie'!E8*'P3 Energie'!E7*(C743-c_Vv)^2+'P3 Energie'!E13+'P3 Energie'!E15+'P3 Energie'!E6*$C$7</f>
        <v>18221.6218501345</v>
      </c>
      <c r="E743" s="50" t="n">
        <f aca="false">D743*C743</f>
        <v>185759.311638872</v>
      </c>
      <c r="F743" s="46" t="n">
        <v>734</v>
      </c>
      <c r="G743" s="47" t="n">
        <f aca="false">F743*$H$6</f>
        <v>1.33932706029249</v>
      </c>
      <c r="H743" s="48" t="n">
        <f aca="false">$H$7*G743</f>
        <v>10.1944444444444</v>
      </c>
      <c r="I743" s="49" t="n">
        <f aca="false">0.5*c_rho*'P3 Energie'!F8*'P3 Energie'!F7*(H743-c_Vv)^2+'P3 Energie'!F13+'P3 Energie'!F15+'P3 Energie'!F6*$H$7</f>
        <v>19074.3681421194</v>
      </c>
      <c r="J743" s="50" t="n">
        <f aca="false">I743*H743</f>
        <v>194452.586337718</v>
      </c>
    </row>
    <row r="744" customFormat="false" ht="15" hidden="false" customHeight="false" outlineLevel="0" collapsed="false">
      <c r="A744" s="46" t="n">
        <v>735</v>
      </c>
      <c r="B744" s="47" t="n">
        <f aca="false">A744*$C$6</f>
        <v>1.34503521852213</v>
      </c>
      <c r="C744" s="48" t="n">
        <f aca="false">$C$7*B744</f>
        <v>10.2083333333333</v>
      </c>
      <c r="D744" s="49" t="n">
        <f aca="false">0.5*c_rho*'P3 Energie'!E8*'P3 Energie'!E7*(C744-c_Vv)^2+'P3 Energie'!E13+'P3 Energie'!E15+'P3 Energie'!E6*$C$7</f>
        <v>18221.7350398524</v>
      </c>
      <c r="E744" s="50" t="n">
        <f aca="false">D744*C744</f>
        <v>186013.545198493</v>
      </c>
      <c r="F744" s="46" t="n">
        <v>735</v>
      </c>
      <c r="G744" s="47" t="n">
        <f aca="false">F744*$H$6</f>
        <v>1.34115175655991</v>
      </c>
      <c r="H744" s="48" t="n">
        <f aca="false">$H$7*G744</f>
        <v>10.2083333333333</v>
      </c>
      <c r="I744" s="49" t="n">
        <f aca="false">0.5*c_rho*'P3 Energie'!F8*'P3 Energie'!F7*(H744-c_Vv)^2+'P3 Energie'!F13+'P3 Energie'!F15+'P3 Energie'!F6*$H$7</f>
        <v>19074.4664838484</v>
      </c>
      <c r="J744" s="50" t="n">
        <f aca="false">I744*H744</f>
        <v>194718.512022619</v>
      </c>
    </row>
    <row r="745" customFormat="false" ht="15" hidden="false" customHeight="false" outlineLevel="0" collapsed="false">
      <c r="A745" s="46" t="n">
        <v>736</v>
      </c>
      <c r="B745" s="47" t="n">
        <f aca="false">A745*$C$6</f>
        <v>1.34686519841127</v>
      </c>
      <c r="C745" s="48" t="n">
        <f aca="false">$C$7*B745</f>
        <v>10.2222222222222</v>
      </c>
      <c r="D745" s="49" t="n">
        <f aca="false">0.5*c_rho*'P3 Energie'!E8*'P3 Energie'!E7*(C745-c_Vv)^2+'P3 Energie'!E13+'P3 Energie'!E15+'P3 Energie'!E6*$C$7</f>
        <v>18221.8483836747</v>
      </c>
      <c r="E745" s="50" t="n">
        <f aca="false">D745*C745</f>
        <v>186267.783477563</v>
      </c>
      <c r="F745" s="46" t="n">
        <v>736</v>
      </c>
      <c r="G745" s="47" t="n">
        <f aca="false">F745*$H$6</f>
        <v>1.34297645282734</v>
      </c>
      <c r="H745" s="48" t="n">
        <f aca="false">$H$7*G745</f>
        <v>10.2222222222222</v>
      </c>
      <c r="I745" s="49" t="n">
        <f aca="false">0.5*c_rho*'P3 Energie'!F8*'P3 Energie'!F7*(H745-c_Vv)^2+'P3 Energie'!F13+'P3 Energie'!F15+'P3 Energie'!F6*$H$7</f>
        <v>19074.5649594667</v>
      </c>
      <c r="J745" s="50" t="n">
        <f aca="false">I745*H745</f>
        <v>194984.441807882</v>
      </c>
    </row>
    <row r="746" customFormat="false" ht="15" hidden="false" customHeight="false" outlineLevel="0" collapsed="false">
      <c r="A746" s="46" t="n">
        <v>737</v>
      </c>
      <c r="B746" s="47" t="n">
        <f aca="false">A746*$C$6</f>
        <v>1.34869517830042</v>
      </c>
      <c r="C746" s="48" t="n">
        <f aca="false">$C$7*B746</f>
        <v>10.2361111111111</v>
      </c>
      <c r="D746" s="49" t="n">
        <f aca="false">0.5*c_rho*'P3 Energie'!E8*'P3 Energie'!E7*(C746-c_Vv)^2+'P3 Energie'!E13+'P3 Energie'!E15+'P3 Energie'!E6*$C$7</f>
        <v>18221.9618816014</v>
      </c>
      <c r="E746" s="50" t="n">
        <f aca="false">D746*C746</f>
        <v>186522.026482503</v>
      </c>
      <c r="F746" s="46" t="n">
        <v>737</v>
      </c>
      <c r="G746" s="47" t="n">
        <f aca="false">F746*$H$6</f>
        <v>1.34480114909477</v>
      </c>
      <c r="H746" s="48" t="n">
        <f aca="false">$H$7*G746</f>
        <v>10.2361111111111</v>
      </c>
      <c r="I746" s="49" t="n">
        <f aca="false">0.5*c_rho*'P3 Energie'!F8*'P3 Energie'!F7*(H746-c_Vv)^2+'P3 Energie'!F13+'P3 Energie'!F15+'P3 Energie'!F6*$H$7</f>
        <v>19074.6635689743</v>
      </c>
      <c r="J746" s="50" t="n">
        <f aca="false">I746*H746</f>
        <v>195250.375699084</v>
      </c>
    </row>
    <row r="747" customFormat="false" ht="15" hidden="false" customHeight="false" outlineLevel="0" collapsed="false">
      <c r="A747" s="46" t="n">
        <v>738</v>
      </c>
      <c r="B747" s="47" t="n">
        <f aca="false">A747*$C$6</f>
        <v>1.35052515818956</v>
      </c>
      <c r="C747" s="48" t="n">
        <f aca="false">$C$7*B747</f>
        <v>10.25</v>
      </c>
      <c r="D747" s="49" t="n">
        <f aca="false">0.5*c_rho*'P3 Energie'!E8*'P3 Energie'!E7*(C747-c_Vv)^2+'P3 Energie'!E13+'P3 Energie'!E15+'P3 Energie'!E6*$C$7</f>
        <v>18222.0755336326</v>
      </c>
      <c r="E747" s="50" t="n">
        <f aca="false">D747*C747</f>
        <v>186776.274219734</v>
      </c>
      <c r="F747" s="46" t="n">
        <v>738</v>
      </c>
      <c r="G747" s="47" t="n">
        <f aca="false">F747*$H$6</f>
        <v>1.3466258453622</v>
      </c>
      <c r="H747" s="48" t="n">
        <f aca="false">$H$7*G747</f>
        <v>10.25</v>
      </c>
      <c r="I747" s="49" t="n">
        <f aca="false">0.5*c_rho*'P3 Energie'!F8*'P3 Energie'!F7*(H747-c_Vv)^2+'P3 Energie'!F13+'P3 Energie'!F15+'P3 Energie'!F6*$H$7</f>
        <v>19074.7623123713</v>
      </c>
      <c r="J747" s="50" t="n">
        <f aca="false">I747*H747</f>
        <v>195516.313701806</v>
      </c>
    </row>
    <row r="748" customFormat="false" ht="15" hidden="false" customHeight="false" outlineLevel="0" collapsed="false">
      <c r="A748" s="46" t="n">
        <v>739</v>
      </c>
      <c r="B748" s="47" t="n">
        <f aca="false">A748*$C$6</f>
        <v>1.35235513807871</v>
      </c>
      <c r="C748" s="48" t="n">
        <f aca="false">$C$7*B748</f>
        <v>10.2638888888889</v>
      </c>
      <c r="D748" s="49" t="n">
        <f aca="false">0.5*c_rho*'P3 Energie'!E8*'P3 Energie'!E7*(C748-c_Vv)^2+'P3 Energie'!E13+'P3 Energie'!E15+'P3 Energie'!E6*$C$7</f>
        <v>18222.1893397683</v>
      </c>
      <c r="E748" s="50" t="n">
        <f aca="false">D748*C748</f>
        <v>187030.526695677</v>
      </c>
      <c r="F748" s="46" t="n">
        <v>739</v>
      </c>
      <c r="G748" s="47" t="n">
        <f aca="false">F748*$H$6</f>
        <v>1.34845054162963</v>
      </c>
      <c r="H748" s="48" t="n">
        <f aca="false">$H$7*G748</f>
        <v>10.2638888888889</v>
      </c>
      <c r="I748" s="49" t="n">
        <f aca="false">0.5*c_rho*'P3 Energie'!F8*'P3 Energie'!F7*(H748-c_Vv)^2+'P3 Energie'!F13+'P3 Energie'!F15+'P3 Energie'!F6*$H$7</f>
        <v>19074.8611896576</v>
      </c>
      <c r="J748" s="50" t="n">
        <f aca="false">I748*H748</f>
        <v>195782.255821625</v>
      </c>
    </row>
    <row r="749" customFormat="false" ht="15" hidden="false" customHeight="false" outlineLevel="0" collapsed="false">
      <c r="A749" s="46" t="n">
        <v>740</v>
      </c>
      <c r="B749" s="47" t="n">
        <f aca="false">A749*$C$6</f>
        <v>1.35418511796785</v>
      </c>
      <c r="C749" s="48" t="n">
        <f aca="false">$C$7*B749</f>
        <v>10.2777777777778</v>
      </c>
      <c r="D749" s="49" t="n">
        <f aca="false">0.5*c_rho*'P3 Energie'!E8*'P3 Energie'!E7*(C749-c_Vv)^2+'P3 Energie'!E13+'P3 Energie'!E15+'P3 Energie'!E6*$C$7</f>
        <v>18222.3033000083</v>
      </c>
      <c r="E749" s="50" t="n">
        <f aca="false">D749*C749</f>
        <v>187284.783916752</v>
      </c>
      <c r="F749" s="46" t="n">
        <v>740</v>
      </c>
      <c r="G749" s="47" t="n">
        <f aca="false">F749*$H$6</f>
        <v>1.35027523789706</v>
      </c>
      <c r="H749" s="48" t="n">
        <f aca="false">$H$7*G749</f>
        <v>10.2777777777778</v>
      </c>
      <c r="I749" s="49" t="n">
        <f aca="false">0.5*c_rho*'P3 Energie'!F8*'P3 Energie'!F7*(H749-c_Vv)^2+'P3 Energie'!F13+'P3 Energie'!F15+'P3 Energie'!F6*$H$7</f>
        <v>19074.9602008333</v>
      </c>
      <c r="J749" s="50" t="n">
        <f aca="false">I749*H749</f>
        <v>196048.20206412</v>
      </c>
    </row>
    <row r="750" customFormat="false" ht="15" hidden="false" customHeight="false" outlineLevel="0" collapsed="false">
      <c r="A750" s="46" t="n">
        <v>741</v>
      </c>
      <c r="B750" s="47" t="n">
        <f aca="false">A750*$C$6</f>
        <v>1.356015097857</v>
      </c>
      <c r="C750" s="48" t="n">
        <f aca="false">$C$7*B750</f>
        <v>10.2916666666667</v>
      </c>
      <c r="D750" s="49" t="n">
        <f aca="false">0.5*c_rho*'P3 Energie'!E8*'P3 Energie'!E7*(C750-c_Vv)^2+'P3 Energie'!E13+'P3 Energie'!E15+'P3 Energie'!E6*$C$7</f>
        <v>18222.4174143529</v>
      </c>
      <c r="E750" s="50" t="n">
        <f aca="false">D750*C750</f>
        <v>187539.045889382</v>
      </c>
      <c r="F750" s="46" t="n">
        <v>741</v>
      </c>
      <c r="G750" s="47" t="n">
        <f aca="false">F750*$H$6</f>
        <v>1.35209993416448</v>
      </c>
      <c r="H750" s="48" t="n">
        <f aca="false">$H$7*G750</f>
        <v>10.2916666666667</v>
      </c>
      <c r="I750" s="49" t="n">
        <f aca="false">0.5*c_rho*'P3 Energie'!F8*'P3 Energie'!F7*(H750-c_Vv)^2+'P3 Energie'!F13+'P3 Energie'!F15+'P3 Energie'!F6*$H$7</f>
        <v>19075.0593458984</v>
      </c>
      <c r="J750" s="50" t="n">
        <f aca="false">I750*H750</f>
        <v>196314.152434871</v>
      </c>
    </row>
    <row r="751" customFormat="false" ht="15" hidden="false" customHeight="false" outlineLevel="0" collapsed="false">
      <c r="A751" s="46" t="n">
        <v>742</v>
      </c>
      <c r="B751" s="47" t="n">
        <f aca="false">A751*$C$6</f>
        <v>1.35784507774615</v>
      </c>
      <c r="C751" s="48" t="n">
        <f aca="false">$C$7*B751</f>
        <v>10.3055555555556</v>
      </c>
      <c r="D751" s="49" t="n">
        <f aca="false">0.5*c_rho*'P3 Energie'!E8*'P3 Energie'!E7*(C751-c_Vv)^2+'P3 Energie'!E13+'P3 Energie'!E15+'P3 Energie'!E6*$C$7</f>
        <v>18222.5316828019</v>
      </c>
      <c r="E751" s="50" t="n">
        <f aca="false">D751*C751</f>
        <v>187793.312619986</v>
      </c>
      <c r="F751" s="46" t="n">
        <v>742</v>
      </c>
      <c r="G751" s="47" t="n">
        <f aca="false">F751*$H$6</f>
        <v>1.35392463043191</v>
      </c>
      <c r="H751" s="48" t="n">
        <f aca="false">$H$7*G751</f>
        <v>10.3055555555556</v>
      </c>
      <c r="I751" s="49" t="n">
        <f aca="false">0.5*c_rho*'P3 Energie'!F8*'P3 Energie'!F7*(H751-c_Vv)^2+'P3 Energie'!F13+'P3 Energie'!F15+'P3 Energie'!F6*$H$7</f>
        <v>19075.1586248528</v>
      </c>
      <c r="J751" s="50" t="n">
        <f aca="false">I751*H751</f>
        <v>196580.106939455</v>
      </c>
    </row>
    <row r="752" customFormat="false" ht="15" hidden="false" customHeight="false" outlineLevel="0" collapsed="false">
      <c r="A752" s="46" t="n">
        <v>743</v>
      </c>
      <c r="B752" s="47" t="n">
        <f aca="false">A752*$C$6</f>
        <v>1.35967505763529</v>
      </c>
      <c r="C752" s="48" t="n">
        <f aca="false">$C$7*B752</f>
        <v>10.3194444444444</v>
      </c>
      <c r="D752" s="49" t="n">
        <f aca="false">0.5*c_rho*'P3 Energie'!E8*'P3 Energie'!E7*(C752-c_Vv)^2+'P3 Energie'!E13+'P3 Energie'!E15+'P3 Energie'!E6*$C$7</f>
        <v>18222.6461053553</v>
      </c>
      <c r="E752" s="50" t="n">
        <f aca="false">D752*C752</f>
        <v>188047.584114986</v>
      </c>
      <c r="F752" s="46" t="n">
        <v>743</v>
      </c>
      <c r="G752" s="47" t="n">
        <f aca="false">F752*$H$6</f>
        <v>1.35574932669934</v>
      </c>
      <c r="H752" s="48" t="n">
        <f aca="false">$H$7*G752</f>
        <v>10.3194444444444</v>
      </c>
      <c r="I752" s="49" t="n">
        <f aca="false">0.5*c_rho*'P3 Energie'!F8*'P3 Energie'!F7*(H752-c_Vv)^2+'P3 Energie'!F13+'P3 Energie'!F15+'P3 Energie'!F6*$H$7</f>
        <v>19075.2580376965</v>
      </c>
      <c r="J752" s="50" t="n">
        <f aca="false">I752*H752</f>
        <v>196846.065583452</v>
      </c>
    </row>
    <row r="753" customFormat="false" ht="15" hidden="false" customHeight="false" outlineLevel="0" collapsed="false">
      <c r="A753" s="46" t="n">
        <v>744</v>
      </c>
      <c r="B753" s="47" t="n">
        <f aca="false">A753*$C$6</f>
        <v>1.36150503752444</v>
      </c>
      <c r="C753" s="48" t="n">
        <f aca="false">$C$7*B753</f>
        <v>10.3333333333333</v>
      </c>
      <c r="D753" s="49" t="n">
        <f aca="false">0.5*c_rho*'P3 Energie'!E8*'P3 Energie'!E7*(C753-c_Vv)^2+'P3 Energie'!E13+'P3 Energie'!E15+'P3 Energie'!E6*$C$7</f>
        <v>18222.7606820132</v>
      </c>
      <c r="E753" s="50" t="n">
        <f aca="false">D753*C753</f>
        <v>188301.860380803</v>
      </c>
      <c r="F753" s="46" t="n">
        <v>744</v>
      </c>
      <c r="G753" s="47" t="n">
        <f aca="false">F753*$H$6</f>
        <v>1.35757402296677</v>
      </c>
      <c r="H753" s="48" t="n">
        <f aca="false">$H$7*G753</f>
        <v>10.3333333333333</v>
      </c>
      <c r="I753" s="49" t="n">
        <f aca="false">0.5*c_rho*'P3 Energie'!F8*'P3 Energie'!F7*(H753-c_Vv)^2+'P3 Energie'!F13+'P3 Energie'!F15+'P3 Energie'!F6*$H$7</f>
        <v>19075.3575844296</v>
      </c>
      <c r="J753" s="50" t="n">
        <f aca="false">I753*H753</f>
        <v>197112.02837244</v>
      </c>
    </row>
    <row r="754" customFormat="false" ht="15" hidden="false" customHeight="false" outlineLevel="0" collapsed="false">
      <c r="A754" s="46" t="n">
        <v>745</v>
      </c>
      <c r="B754" s="47" t="n">
        <f aca="false">A754*$C$6</f>
        <v>1.36333501741358</v>
      </c>
      <c r="C754" s="48" t="n">
        <f aca="false">$C$7*B754</f>
        <v>10.3472222222222</v>
      </c>
      <c r="D754" s="49" t="n">
        <f aca="false">0.5*c_rho*'P3 Energie'!E8*'P3 Energie'!E7*(C754-c_Vv)^2+'P3 Energie'!E13+'P3 Energie'!E15+'P3 Energie'!E6*$C$7</f>
        <v>18222.8754127755</v>
      </c>
      <c r="E754" s="50" t="n">
        <f aca="false">D754*C754</f>
        <v>188556.141423858</v>
      </c>
      <c r="F754" s="46" t="n">
        <v>745</v>
      </c>
      <c r="G754" s="47" t="n">
        <f aca="false">F754*$H$6</f>
        <v>1.3593987192342</v>
      </c>
      <c r="H754" s="48" t="n">
        <f aca="false">$H$7*G754</f>
        <v>10.3472222222222</v>
      </c>
      <c r="I754" s="49" t="n">
        <f aca="false">0.5*c_rho*'P3 Energie'!F8*'P3 Energie'!F7*(H754-c_Vv)^2+'P3 Energie'!F13+'P3 Energie'!F15+'P3 Energie'!F6*$H$7</f>
        <v>19075.4572650521</v>
      </c>
      <c r="J754" s="50" t="n">
        <f aca="false">I754*H754</f>
        <v>197377.995311997</v>
      </c>
    </row>
    <row r="755" customFormat="false" ht="15" hidden="false" customHeight="false" outlineLevel="0" collapsed="false">
      <c r="A755" s="46" t="n">
        <v>746</v>
      </c>
      <c r="B755" s="47" t="n">
        <f aca="false">A755*$C$6</f>
        <v>1.36516499730273</v>
      </c>
      <c r="C755" s="48" t="n">
        <f aca="false">$C$7*B755</f>
        <v>10.3611111111111</v>
      </c>
      <c r="D755" s="49" t="n">
        <f aca="false">0.5*c_rho*'P3 Energie'!E8*'P3 Energie'!E7*(C755-c_Vv)^2+'P3 Energie'!E13+'P3 Energie'!E15+'P3 Energie'!E6*$C$7</f>
        <v>18222.9902976423</v>
      </c>
      <c r="E755" s="50" t="n">
        <f aca="false">D755*C755</f>
        <v>188810.427250572</v>
      </c>
      <c r="F755" s="46" t="n">
        <v>746</v>
      </c>
      <c r="G755" s="47" t="n">
        <f aca="false">F755*$H$6</f>
        <v>1.36122341550163</v>
      </c>
      <c r="H755" s="48" t="n">
        <f aca="false">$H$7*G755</f>
        <v>10.3611111111111</v>
      </c>
      <c r="I755" s="49" t="n">
        <f aca="false">0.5*c_rho*'P3 Energie'!F8*'P3 Energie'!F7*(H755-c_Vv)^2+'P3 Energie'!F13+'P3 Energie'!F15+'P3 Energie'!F6*$H$7</f>
        <v>19075.5570795639</v>
      </c>
      <c r="J755" s="50" t="n">
        <f aca="false">I755*H755</f>
        <v>197643.966407704</v>
      </c>
    </row>
    <row r="756" customFormat="false" ht="15" hidden="false" customHeight="false" outlineLevel="0" collapsed="false">
      <c r="A756" s="46" t="n">
        <v>747</v>
      </c>
      <c r="B756" s="47" t="n">
        <f aca="false">A756*$C$6</f>
        <v>1.36699497719187</v>
      </c>
      <c r="C756" s="48" t="n">
        <f aca="false">$C$7*B756</f>
        <v>10.375</v>
      </c>
      <c r="D756" s="49" t="n">
        <f aca="false">0.5*c_rho*'P3 Energie'!E8*'P3 Energie'!E7*(C756-c_Vv)^2+'P3 Energie'!E13+'P3 Energie'!E15+'P3 Energie'!E6*$C$7</f>
        <v>18223.1053366135</v>
      </c>
      <c r="E756" s="50" t="n">
        <f aca="false">D756*C756</f>
        <v>189064.717867366</v>
      </c>
      <c r="F756" s="46" t="n">
        <v>747</v>
      </c>
      <c r="G756" s="47" t="n">
        <f aca="false">F756*$H$6</f>
        <v>1.36304811176905</v>
      </c>
      <c r="H756" s="48" t="n">
        <f aca="false">$H$7*G756</f>
        <v>10.375</v>
      </c>
      <c r="I756" s="49" t="n">
        <f aca="false">0.5*c_rho*'P3 Energie'!F8*'P3 Energie'!F7*(H756-c_Vv)^2+'P3 Energie'!F13+'P3 Energie'!F15+'P3 Energie'!F6*$H$7</f>
        <v>19075.657027965</v>
      </c>
      <c r="J756" s="50" t="n">
        <f aca="false">I756*H756</f>
        <v>197909.941665137</v>
      </c>
    </row>
    <row r="757" customFormat="false" ht="15" hidden="false" customHeight="false" outlineLevel="0" collapsed="false">
      <c r="A757" s="46" t="n">
        <v>748</v>
      </c>
      <c r="B757" s="47" t="n">
        <f aca="false">A757*$C$6</f>
        <v>1.36882495708102</v>
      </c>
      <c r="C757" s="48" t="n">
        <f aca="false">$C$7*B757</f>
        <v>10.3888888888889</v>
      </c>
      <c r="D757" s="49" t="n">
        <f aca="false">0.5*c_rho*'P3 Energie'!E8*'P3 Energie'!E7*(C757-c_Vv)^2+'P3 Energie'!E13+'P3 Energie'!E15+'P3 Energie'!E6*$C$7</f>
        <v>18223.2205296892</v>
      </c>
      <c r="E757" s="50" t="n">
        <f aca="false">D757*C757</f>
        <v>189319.01328066</v>
      </c>
      <c r="F757" s="46" t="n">
        <v>748</v>
      </c>
      <c r="G757" s="47" t="n">
        <f aca="false">F757*$H$6</f>
        <v>1.36487280803648</v>
      </c>
      <c r="H757" s="48" t="n">
        <f aca="false">$H$7*G757</f>
        <v>10.3888888888889</v>
      </c>
      <c r="I757" s="49" t="n">
        <f aca="false">0.5*c_rho*'P3 Energie'!F8*'P3 Energie'!F7*(H757-c_Vv)^2+'P3 Energie'!F13+'P3 Energie'!F15+'P3 Energie'!F6*$H$7</f>
        <v>19075.7571102556</v>
      </c>
      <c r="J757" s="50" t="n">
        <f aca="false">I757*H757</f>
        <v>198175.921089877</v>
      </c>
    </row>
    <row r="758" customFormat="false" ht="15" hidden="false" customHeight="false" outlineLevel="0" collapsed="false">
      <c r="A758" s="46" t="n">
        <v>749</v>
      </c>
      <c r="B758" s="47" t="n">
        <f aca="false">A758*$C$6</f>
        <v>1.37065493697017</v>
      </c>
      <c r="C758" s="48" t="n">
        <f aca="false">$C$7*B758</f>
        <v>10.4027777777778</v>
      </c>
      <c r="D758" s="49" t="n">
        <f aca="false">0.5*c_rho*'P3 Energie'!E8*'P3 Energie'!E7*(C758-c_Vv)^2+'P3 Energie'!E13+'P3 Energie'!E15+'P3 Energie'!E6*$C$7</f>
        <v>18223.3358768694</v>
      </c>
      <c r="E758" s="50" t="n">
        <f aca="false">D758*C758</f>
        <v>189573.313496877</v>
      </c>
      <c r="F758" s="46" t="n">
        <v>749</v>
      </c>
      <c r="G758" s="47" t="n">
        <f aca="false">F758*$H$6</f>
        <v>1.36669750430391</v>
      </c>
      <c r="H758" s="48" t="n">
        <f aca="false">$H$7*G758</f>
        <v>10.4027777777778</v>
      </c>
      <c r="I758" s="49" t="n">
        <f aca="false">0.5*c_rho*'P3 Energie'!F8*'P3 Energie'!F7*(H758-c_Vv)^2+'P3 Energie'!F13+'P3 Energie'!F15+'P3 Energie'!F6*$H$7</f>
        <v>19075.8573264354</v>
      </c>
      <c r="J758" s="50" t="n">
        <f aca="false">I758*H758</f>
        <v>198441.904687502</v>
      </c>
    </row>
    <row r="759" customFormat="false" ht="15" hidden="false" customHeight="false" outlineLevel="0" collapsed="false">
      <c r="A759" s="46" t="n">
        <v>750</v>
      </c>
      <c r="B759" s="47" t="n">
        <f aca="false">A759*$C$6</f>
        <v>1.37248491685931</v>
      </c>
      <c r="C759" s="48" t="n">
        <f aca="false">$C$7*B759</f>
        <v>10.4166666666667</v>
      </c>
      <c r="D759" s="49" t="n">
        <f aca="false">0.5*c_rho*'P3 Energie'!E8*'P3 Energie'!E7*(C759-c_Vv)^2+'P3 Energie'!E13+'P3 Energie'!E15+'P3 Energie'!E6*$C$7</f>
        <v>18223.4513781539</v>
      </c>
      <c r="E759" s="50" t="n">
        <f aca="false">D759*C759</f>
        <v>189827.618522437</v>
      </c>
      <c r="F759" s="46" t="n">
        <v>750</v>
      </c>
      <c r="G759" s="47" t="n">
        <f aca="false">F759*$H$6</f>
        <v>1.36852220057134</v>
      </c>
      <c r="H759" s="48" t="n">
        <f aca="false">$H$7*G759</f>
        <v>10.4166666666667</v>
      </c>
      <c r="I759" s="49" t="n">
        <f aca="false">0.5*c_rho*'P3 Energie'!F8*'P3 Energie'!F7*(H759-c_Vv)^2+'P3 Energie'!F13+'P3 Energie'!F15+'P3 Energie'!F6*$H$7</f>
        <v>19075.9576765046</v>
      </c>
      <c r="J759" s="50" t="n">
        <f aca="false">I759*H759</f>
        <v>198707.89246359</v>
      </c>
    </row>
    <row r="760" customFormat="false" ht="15" hidden="false" customHeight="false" outlineLevel="0" collapsed="false">
      <c r="A760" s="46" t="n">
        <v>751</v>
      </c>
      <c r="B760" s="47" t="n">
        <f aca="false">A760*$C$6</f>
        <v>1.37431489674846</v>
      </c>
      <c r="C760" s="48" t="n">
        <f aca="false">$C$7*B760</f>
        <v>10.4305555555556</v>
      </c>
      <c r="D760" s="49" t="n">
        <f aca="false">0.5*c_rho*'P3 Energie'!E8*'P3 Energie'!E7*(C760-c_Vv)^2+'P3 Energie'!E13+'P3 Energie'!E15+'P3 Energie'!E6*$C$7</f>
        <v>18223.567033543</v>
      </c>
      <c r="E760" s="50" t="n">
        <f aca="false">D760*C760</f>
        <v>190081.928363761</v>
      </c>
      <c r="F760" s="46" t="n">
        <v>751</v>
      </c>
      <c r="G760" s="47" t="n">
        <f aca="false">F760*$H$6</f>
        <v>1.37034689683877</v>
      </c>
      <c r="H760" s="48" t="n">
        <f aca="false">$H$7*G760</f>
        <v>10.4305555555556</v>
      </c>
      <c r="I760" s="49" t="n">
        <f aca="false">0.5*c_rho*'P3 Energie'!F8*'P3 Energie'!F7*(H760-c_Vv)^2+'P3 Energie'!F13+'P3 Energie'!F15+'P3 Energie'!F6*$H$7</f>
        <v>19076.0581604632</v>
      </c>
      <c r="J760" s="50" t="n">
        <f aca="false">I760*H760</f>
        <v>198973.88442372</v>
      </c>
    </row>
    <row r="761" customFormat="false" ht="15" hidden="false" customHeight="false" outlineLevel="0" collapsed="false">
      <c r="A761" s="46" t="n">
        <v>752</v>
      </c>
      <c r="B761" s="47" t="n">
        <f aca="false">A761*$C$6</f>
        <v>1.3761448766376</v>
      </c>
      <c r="C761" s="48" t="n">
        <f aca="false">$C$7*B761</f>
        <v>10.4444444444444</v>
      </c>
      <c r="D761" s="49" t="n">
        <f aca="false">0.5*c_rho*'P3 Energie'!E8*'P3 Energie'!E7*(C761-c_Vv)^2+'P3 Energie'!E13+'P3 Energie'!E15+'P3 Energie'!E6*$C$7</f>
        <v>18223.6828430365</v>
      </c>
      <c r="E761" s="50" t="n">
        <f aca="false">D761*C761</f>
        <v>190336.24302727</v>
      </c>
      <c r="F761" s="46" t="n">
        <v>752</v>
      </c>
      <c r="G761" s="47" t="n">
        <f aca="false">F761*$H$6</f>
        <v>1.3721715931062</v>
      </c>
      <c r="H761" s="48" t="n">
        <f aca="false">$H$7*G761</f>
        <v>10.4444444444444</v>
      </c>
      <c r="I761" s="49" t="n">
        <f aca="false">0.5*c_rho*'P3 Energie'!F8*'P3 Energie'!F7*(H761-c_Vv)^2+'P3 Energie'!F13+'P3 Energie'!F15+'P3 Energie'!F6*$H$7</f>
        <v>19076.1587783111</v>
      </c>
      <c r="J761" s="50" t="n">
        <f aca="false">I761*H761</f>
        <v>199239.880573472</v>
      </c>
    </row>
    <row r="762" customFormat="false" ht="15" hidden="false" customHeight="false" outlineLevel="0" collapsed="false">
      <c r="A762" s="46" t="n">
        <v>753</v>
      </c>
      <c r="B762" s="47" t="n">
        <f aca="false">A762*$C$6</f>
        <v>1.37797485652675</v>
      </c>
      <c r="C762" s="48" t="n">
        <f aca="false">$C$7*B762</f>
        <v>10.4583333333333</v>
      </c>
      <c r="D762" s="49" t="n">
        <f aca="false">0.5*c_rho*'P3 Energie'!E8*'P3 Energie'!E7*(C762-c_Vv)^2+'P3 Energie'!E13+'P3 Energie'!E15+'P3 Energie'!E6*$C$7</f>
        <v>18223.7988066344</v>
      </c>
      <c r="E762" s="50" t="n">
        <f aca="false">D762*C762</f>
        <v>190590.562519385</v>
      </c>
      <c r="F762" s="46" t="n">
        <v>753</v>
      </c>
      <c r="G762" s="47" t="n">
        <f aca="false">F762*$H$6</f>
        <v>1.37399628937363</v>
      </c>
      <c r="H762" s="48" t="n">
        <f aca="false">$H$7*G762</f>
        <v>10.4583333333333</v>
      </c>
      <c r="I762" s="49" t="n">
        <f aca="false">0.5*c_rho*'P3 Energie'!F8*'P3 Energie'!F7*(H762-c_Vv)^2+'P3 Energie'!F13+'P3 Energie'!F15+'P3 Energie'!F6*$H$7</f>
        <v>19076.2595300484</v>
      </c>
      <c r="J762" s="50" t="n">
        <f aca="false">I762*H762</f>
        <v>199505.880918423</v>
      </c>
    </row>
    <row r="763" customFormat="false" ht="15" hidden="false" customHeight="false" outlineLevel="0" collapsed="false">
      <c r="A763" s="46" t="n">
        <v>754</v>
      </c>
      <c r="B763" s="47" t="n">
        <f aca="false">A763*$C$6</f>
        <v>1.3798048364159</v>
      </c>
      <c r="C763" s="48" t="n">
        <f aca="false">$C$7*B763</f>
        <v>10.4722222222222</v>
      </c>
      <c r="D763" s="49" t="n">
        <f aca="false">0.5*c_rho*'P3 Energie'!E8*'P3 Energie'!E7*(C763-c_Vv)^2+'P3 Energie'!E13+'P3 Energie'!E15+'P3 Energie'!E6*$C$7</f>
        <v>18223.9149243368</v>
      </c>
      <c r="E763" s="50" t="n">
        <f aca="false">D763*C763</f>
        <v>190844.886846527</v>
      </c>
      <c r="F763" s="46" t="n">
        <v>754</v>
      </c>
      <c r="G763" s="47" t="n">
        <f aca="false">F763*$H$6</f>
        <v>1.37582098564105</v>
      </c>
      <c r="H763" s="48" t="n">
        <f aca="false">$H$7*G763</f>
        <v>10.4722222222222</v>
      </c>
      <c r="I763" s="49" t="n">
        <f aca="false">0.5*c_rho*'P3 Energie'!F8*'P3 Energie'!F7*(H763-c_Vv)^2+'P3 Energie'!F13+'P3 Energie'!F15+'P3 Energie'!F6*$H$7</f>
        <v>19076.360415675</v>
      </c>
      <c r="J763" s="50" t="n">
        <f aca="false">I763*H763</f>
        <v>199771.885464152</v>
      </c>
    </row>
    <row r="764" customFormat="false" ht="15" hidden="false" customHeight="false" outlineLevel="0" collapsed="false">
      <c r="A764" s="46" t="n">
        <v>755</v>
      </c>
      <c r="B764" s="47" t="n">
        <f aca="false">A764*$C$6</f>
        <v>1.38163481630504</v>
      </c>
      <c r="C764" s="48" t="n">
        <f aca="false">$C$7*B764</f>
        <v>10.4861111111111</v>
      </c>
      <c r="D764" s="49" t="n">
        <f aca="false">0.5*c_rho*'P3 Energie'!E8*'P3 Energie'!E7*(C764-c_Vv)^2+'P3 Energie'!E13+'P3 Energie'!E15+'P3 Energie'!E6*$C$7</f>
        <v>18224.0311961436</v>
      </c>
      <c r="E764" s="50" t="n">
        <f aca="false">D764*C764</f>
        <v>191099.216015117</v>
      </c>
      <c r="F764" s="46" t="n">
        <v>755</v>
      </c>
      <c r="G764" s="47" t="n">
        <f aca="false">F764*$H$6</f>
        <v>1.37764568190848</v>
      </c>
      <c r="H764" s="48" t="n">
        <f aca="false">$H$7*G764</f>
        <v>10.4861111111111</v>
      </c>
      <c r="I764" s="49" t="n">
        <f aca="false">0.5*c_rho*'P3 Energie'!F8*'P3 Energie'!F7*(H764-c_Vv)^2+'P3 Energie'!F13+'P3 Energie'!F15+'P3 Energie'!F6*$H$7</f>
        <v>19076.461435191</v>
      </c>
      <c r="J764" s="50" t="n">
        <f aca="false">I764*H764</f>
        <v>200037.894216239</v>
      </c>
    </row>
    <row r="765" customFormat="false" ht="15" hidden="false" customHeight="false" outlineLevel="0" collapsed="false">
      <c r="A765" s="46" t="n">
        <v>756</v>
      </c>
      <c r="B765" s="47" t="n">
        <f aca="false">A765*$C$6</f>
        <v>1.38346479619419</v>
      </c>
      <c r="C765" s="48" t="n">
        <f aca="false">$C$7*B765</f>
        <v>10.5</v>
      </c>
      <c r="D765" s="49" t="n">
        <f aca="false">0.5*c_rho*'P3 Energie'!E8*'P3 Energie'!E7*(C765-c_Vv)^2+'P3 Energie'!E13+'P3 Energie'!E15+'P3 Energie'!E6*$C$7</f>
        <v>18224.1476220549</v>
      </c>
      <c r="E765" s="50" t="n">
        <f aca="false">D765*C765</f>
        <v>191353.550031576</v>
      </c>
      <c r="F765" s="46" t="n">
        <v>756</v>
      </c>
      <c r="G765" s="47" t="n">
        <f aca="false">F765*$H$6</f>
        <v>1.37947037817591</v>
      </c>
      <c r="H765" s="48" t="n">
        <f aca="false">$H$7*G765</f>
        <v>10.5</v>
      </c>
      <c r="I765" s="49" t="n">
        <f aca="false">0.5*c_rho*'P3 Energie'!F8*'P3 Energie'!F7*(H765-c_Vv)^2+'P3 Energie'!F13+'P3 Energie'!F15+'P3 Energie'!F6*$H$7</f>
        <v>19076.5625885963</v>
      </c>
      <c r="J765" s="50" t="n">
        <f aca="false">I765*H765</f>
        <v>200303.907180261</v>
      </c>
    </row>
    <row r="766" customFormat="false" ht="15" hidden="false" customHeight="false" outlineLevel="0" collapsed="false">
      <c r="A766" s="46" t="n">
        <v>757</v>
      </c>
      <c r="B766" s="47" t="n">
        <f aca="false">A766*$C$6</f>
        <v>1.38529477608333</v>
      </c>
      <c r="C766" s="48" t="n">
        <f aca="false">$C$7*B766</f>
        <v>10.5138888888889</v>
      </c>
      <c r="D766" s="49" t="n">
        <f aca="false">0.5*c_rho*'P3 Energie'!E8*'P3 Energie'!E7*(C766-c_Vv)^2+'P3 Energie'!E13+'P3 Energie'!E15+'P3 Energie'!E6*$C$7</f>
        <v>18224.2642020706</v>
      </c>
      <c r="E766" s="50" t="n">
        <f aca="false">D766*C766</f>
        <v>191607.888902325</v>
      </c>
      <c r="F766" s="46" t="n">
        <v>757</v>
      </c>
      <c r="G766" s="47" t="n">
        <f aca="false">F766*$H$6</f>
        <v>1.38129507444334</v>
      </c>
      <c r="H766" s="48" t="n">
        <f aca="false">$H$7*G766</f>
        <v>10.5138888888889</v>
      </c>
      <c r="I766" s="49" t="n">
        <f aca="false">0.5*c_rho*'P3 Energie'!F8*'P3 Energie'!F7*(H766-c_Vv)^2+'P3 Energie'!F13+'P3 Energie'!F15+'P3 Energie'!F6*$H$7</f>
        <v>19076.663875891</v>
      </c>
      <c r="J766" s="50" t="n">
        <f aca="false">I766*H766</f>
        <v>200569.924361798</v>
      </c>
    </row>
    <row r="767" customFormat="false" ht="15" hidden="false" customHeight="false" outlineLevel="0" collapsed="false">
      <c r="A767" s="46" t="n">
        <v>758</v>
      </c>
      <c r="B767" s="47" t="n">
        <f aca="false">A767*$C$6</f>
        <v>1.38712475597248</v>
      </c>
      <c r="C767" s="48" t="n">
        <f aca="false">$C$7*B767</f>
        <v>10.5277777777778</v>
      </c>
      <c r="D767" s="49" t="n">
        <f aca="false">0.5*c_rho*'P3 Energie'!E8*'P3 Energie'!E7*(C767-c_Vv)^2+'P3 Energie'!E13+'P3 Energie'!E15+'P3 Energie'!E6*$C$7</f>
        <v>18224.3809361908</v>
      </c>
      <c r="E767" s="50" t="n">
        <f aca="false">D767*C767</f>
        <v>191862.232633786</v>
      </c>
      <c r="F767" s="46" t="n">
        <v>758</v>
      </c>
      <c r="G767" s="47" t="n">
        <f aca="false">F767*$H$6</f>
        <v>1.38311977071077</v>
      </c>
      <c r="H767" s="48" t="n">
        <f aca="false">$H$7*G767</f>
        <v>10.5277777777778</v>
      </c>
      <c r="I767" s="49" t="n">
        <f aca="false">0.5*c_rho*'P3 Energie'!F8*'P3 Energie'!F7*(H767-c_Vv)^2+'P3 Energie'!F13+'P3 Energie'!F15+'P3 Energie'!F6*$H$7</f>
        <v>19076.765297075</v>
      </c>
      <c r="J767" s="50" t="n">
        <f aca="false">I767*H767</f>
        <v>200835.945766429</v>
      </c>
    </row>
    <row r="768" customFormat="false" ht="15" hidden="false" customHeight="false" outlineLevel="0" collapsed="false">
      <c r="A768" s="46" t="n">
        <v>759</v>
      </c>
      <c r="B768" s="47" t="n">
        <f aca="false">A768*$C$6</f>
        <v>1.38895473586162</v>
      </c>
      <c r="C768" s="48" t="n">
        <f aca="false">$C$7*B768</f>
        <v>10.5416666666667</v>
      </c>
      <c r="D768" s="49" t="n">
        <f aca="false">0.5*c_rho*'P3 Energie'!E8*'P3 Energie'!E7*(C768-c_Vv)^2+'P3 Energie'!E13+'P3 Energie'!E15+'P3 Energie'!E6*$C$7</f>
        <v>18224.4978244154</v>
      </c>
      <c r="E768" s="50" t="n">
        <f aca="false">D768*C768</f>
        <v>192116.581232379</v>
      </c>
      <c r="F768" s="46" t="n">
        <v>759</v>
      </c>
      <c r="G768" s="47" t="n">
        <f aca="false">F768*$H$6</f>
        <v>1.3849444669782</v>
      </c>
      <c r="H768" s="48" t="n">
        <f aca="false">$H$7*G768</f>
        <v>10.5416666666667</v>
      </c>
      <c r="I768" s="49" t="n">
        <f aca="false">0.5*c_rho*'P3 Energie'!F8*'P3 Energie'!F7*(H768-c_Vv)^2+'P3 Energie'!F13+'P3 Energie'!F15+'P3 Energie'!F6*$H$7</f>
        <v>19076.8668521484</v>
      </c>
      <c r="J768" s="50" t="n">
        <f aca="false">I768*H768</f>
        <v>201101.971399731</v>
      </c>
    </row>
    <row r="769" customFormat="false" ht="15" hidden="false" customHeight="false" outlineLevel="0" collapsed="false">
      <c r="A769" s="46" t="n">
        <v>760</v>
      </c>
      <c r="B769" s="47" t="n">
        <f aca="false">A769*$C$6</f>
        <v>1.39078471575077</v>
      </c>
      <c r="C769" s="48" t="n">
        <f aca="false">$C$7*B769</f>
        <v>10.5555555555556</v>
      </c>
      <c r="D769" s="49" t="n">
        <f aca="false">0.5*c_rho*'P3 Energie'!E8*'P3 Energie'!E7*(C769-c_Vv)^2+'P3 Energie'!E13+'P3 Energie'!E15+'P3 Energie'!E6*$C$7</f>
        <v>18224.6148667445</v>
      </c>
      <c r="E769" s="50" t="n">
        <f aca="false">D769*C769</f>
        <v>192370.934704525</v>
      </c>
      <c r="F769" s="46" t="n">
        <v>760</v>
      </c>
      <c r="G769" s="47" t="n">
        <f aca="false">F769*$H$6</f>
        <v>1.38676916324562</v>
      </c>
      <c r="H769" s="48" t="n">
        <f aca="false">$H$7*G769</f>
        <v>10.5555555555556</v>
      </c>
      <c r="I769" s="49" t="n">
        <f aca="false">0.5*c_rho*'P3 Energie'!F8*'P3 Energie'!F7*(H769-c_Vv)^2+'P3 Energie'!F13+'P3 Energie'!F15+'P3 Energie'!F6*$H$7</f>
        <v>19076.9685411111</v>
      </c>
      <c r="J769" s="50" t="n">
        <f aca="false">I769*H769</f>
        <v>201368.001267284</v>
      </c>
    </row>
    <row r="770" customFormat="false" ht="15" hidden="false" customHeight="false" outlineLevel="0" collapsed="false">
      <c r="A770" s="46" t="n">
        <v>761</v>
      </c>
      <c r="B770" s="47" t="n">
        <f aca="false">A770*$C$6</f>
        <v>1.39261469563992</v>
      </c>
      <c r="C770" s="48" t="n">
        <f aca="false">$C$7*B770</f>
        <v>10.5694444444444</v>
      </c>
      <c r="D770" s="49" t="n">
        <f aca="false">0.5*c_rho*'P3 Energie'!E8*'P3 Energie'!E7*(C770-c_Vv)^2+'P3 Energie'!E13+'P3 Energie'!E15+'P3 Energie'!E6*$C$7</f>
        <v>18224.732063178</v>
      </c>
      <c r="E770" s="50" t="n">
        <f aca="false">D770*C770</f>
        <v>192625.293056645</v>
      </c>
      <c r="F770" s="46" t="n">
        <v>761</v>
      </c>
      <c r="G770" s="47" t="n">
        <f aca="false">F770*$H$6</f>
        <v>1.38859385951305</v>
      </c>
      <c r="H770" s="48" t="n">
        <f aca="false">$H$7*G770</f>
        <v>10.5694444444444</v>
      </c>
      <c r="I770" s="49" t="n">
        <f aca="false">0.5*c_rho*'P3 Energie'!F8*'P3 Energie'!F7*(H770-c_Vv)^2+'P3 Energie'!F13+'P3 Energie'!F15+'P3 Energie'!F6*$H$7</f>
        <v>19077.0703639632</v>
      </c>
      <c r="J770" s="50" t="n">
        <f aca="false">I770*H770</f>
        <v>201634.035374667</v>
      </c>
    </row>
    <row r="771" customFormat="false" ht="15" hidden="false" customHeight="false" outlineLevel="0" collapsed="false">
      <c r="A771" s="46" t="n">
        <v>762</v>
      </c>
      <c r="B771" s="47" t="n">
        <f aca="false">A771*$C$6</f>
        <v>1.39444467552906</v>
      </c>
      <c r="C771" s="48" t="n">
        <f aca="false">$C$7*B771</f>
        <v>10.5833333333333</v>
      </c>
      <c r="D771" s="49" t="n">
        <f aca="false">0.5*c_rho*'P3 Energie'!E8*'P3 Energie'!E7*(C771-c_Vv)^2+'P3 Energie'!E13+'P3 Energie'!E15+'P3 Energie'!E6*$C$7</f>
        <v>18224.8494137159</v>
      </c>
      <c r="E771" s="50" t="n">
        <f aca="false">D771*C771</f>
        <v>192879.65629516</v>
      </c>
      <c r="F771" s="46" t="n">
        <v>762</v>
      </c>
      <c r="G771" s="47" t="n">
        <f aca="false">F771*$H$6</f>
        <v>1.39041855578048</v>
      </c>
      <c r="H771" s="48" t="n">
        <f aca="false">$H$7*G771</f>
        <v>10.5833333333333</v>
      </c>
      <c r="I771" s="49" t="n">
        <f aca="false">0.5*c_rho*'P3 Energie'!F8*'P3 Energie'!F7*(H771-c_Vv)^2+'P3 Energie'!F13+'P3 Energie'!F15+'P3 Energie'!F6*$H$7</f>
        <v>19077.1723207046</v>
      </c>
      <c r="J771" s="50" t="n">
        <f aca="false">I771*H771</f>
        <v>201900.073727457</v>
      </c>
    </row>
    <row r="772" customFormat="false" ht="15" hidden="false" customHeight="false" outlineLevel="0" collapsed="false">
      <c r="A772" s="46" t="n">
        <v>763</v>
      </c>
      <c r="B772" s="47" t="n">
        <f aca="false">A772*$C$6</f>
        <v>1.39627465541821</v>
      </c>
      <c r="C772" s="48" t="n">
        <f aca="false">$C$7*B772</f>
        <v>10.5972222222222</v>
      </c>
      <c r="D772" s="49" t="n">
        <f aca="false">0.5*c_rho*'P3 Energie'!E8*'P3 Energie'!E7*(C772-c_Vv)^2+'P3 Energie'!E13+'P3 Energie'!E15+'P3 Energie'!E6*$C$7</f>
        <v>18224.9669183584</v>
      </c>
      <c r="E772" s="50" t="n">
        <f aca="false">D772*C772</f>
        <v>193134.024426492</v>
      </c>
      <c r="F772" s="46" t="n">
        <v>763</v>
      </c>
      <c r="G772" s="47" t="n">
        <f aca="false">F772*$H$6</f>
        <v>1.39224325204791</v>
      </c>
      <c r="H772" s="48" t="n">
        <f aca="false">$H$7*G772</f>
        <v>10.5972222222222</v>
      </c>
      <c r="I772" s="49" t="n">
        <f aca="false">0.5*c_rho*'P3 Energie'!F8*'P3 Energie'!F7*(H772-c_Vv)^2+'P3 Energie'!F13+'P3 Energie'!F15+'P3 Energie'!F6*$H$7</f>
        <v>19077.2744113354</v>
      </c>
      <c r="J772" s="50" t="n">
        <f aca="false">I772*H772</f>
        <v>202166.116331235</v>
      </c>
    </row>
    <row r="773" customFormat="false" ht="15" hidden="false" customHeight="false" outlineLevel="0" collapsed="false">
      <c r="A773" s="46" t="n">
        <v>764</v>
      </c>
      <c r="B773" s="47" t="n">
        <f aca="false">A773*$C$6</f>
        <v>1.39810463530735</v>
      </c>
      <c r="C773" s="48" t="n">
        <f aca="false">$C$7*B773</f>
        <v>10.6111111111111</v>
      </c>
      <c r="D773" s="49" t="n">
        <f aca="false">0.5*c_rho*'P3 Energie'!E8*'P3 Energie'!E7*(C773-c_Vv)^2+'P3 Energie'!E13+'P3 Energie'!E15+'P3 Energie'!E6*$C$7</f>
        <v>18225.0845771052</v>
      </c>
      <c r="E773" s="50" t="n">
        <f aca="false">D773*C773</f>
        <v>193388.397457061</v>
      </c>
      <c r="F773" s="46" t="n">
        <v>764</v>
      </c>
      <c r="G773" s="47" t="n">
        <f aca="false">F773*$H$6</f>
        <v>1.39406794831534</v>
      </c>
      <c r="H773" s="48" t="n">
        <f aca="false">$H$7*G773</f>
        <v>10.6111111111111</v>
      </c>
      <c r="I773" s="49" t="n">
        <f aca="false">0.5*c_rho*'P3 Energie'!F8*'P3 Energie'!F7*(H773-c_Vv)^2+'P3 Energie'!F13+'P3 Energie'!F15+'P3 Energie'!F6*$H$7</f>
        <v>19077.3766358556</v>
      </c>
      <c r="J773" s="50" t="n">
        <f aca="false">I773*H773</f>
        <v>202432.163191578</v>
      </c>
    </row>
    <row r="774" customFormat="false" ht="15" hidden="false" customHeight="false" outlineLevel="0" collapsed="false">
      <c r="A774" s="46" t="n">
        <v>765</v>
      </c>
      <c r="B774" s="47" t="n">
        <f aca="false">A774*$C$6</f>
        <v>1.3999346151965</v>
      </c>
      <c r="C774" s="48" t="n">
        <f aca="false">$C$7*B774</f>
        <v>10.625</v>
      </c>
      <c r="D774" s="49" t="n">
        <f aca="false">0.5*c_rho*'P3 Energie'!E8*'P3 Energie'!E7*(C774-c_Vv)^2+'P3 Energie'!E13+'P3 Energie'!E15+'P3 Energie'!E6*$C$7</f>
        <v>18225.2023899565</v>
      </c>
      <c r="E774" s="50" t="n">
        <f aca="false">D774*C774</f>
        <v>193642.775393288</v>
      </c>
      <c r="F774" s="46" t="n">
        <v>765</v>
      </c>
      <c r="G774" s="47" t="n">
        <f aca="false">F774*$H$6</f>
        <v>1.39589264458277</v>
      </c>
      <c r="H774" s="48" t="n">
        <f aca="false">$H$7*G774</f>
        <v>10.625</v>
      </c>
      <c r="I774" s="49" t="n">
        <f aca="false">0.5*c_rho*'P3 Energie'!F8*'P3 Energie'!F7*(H774-c_Vv)^2+'P3 Energie'!F13+'P3 Energie'!F15+'P3 Energie'!F6*$H$7</f>
        <v>19077.478994265</v>
      </c>
      <c r="J774" s="50" t="n">
        <f aca="false">I774*H774</f>
        <v>202698.214314066</v>
      </c>
    </row>
    <row r="775" customFormat="false" ht="15" hidden="false" customHeight="false" outlineLevel="0" collapsed="false">
      <c r="A775" s="46" t="n">
        <v>766</v>
      </c>
      <c r="B775" s="47" t="n">
        <f aca="false">A775*$C$6</f>
        <v>1.40176459508564</v>
      </c>
      <c r="C775" s="48" t="n">
        <f aca="false">$C$7*B775</f>
        <v>10.6388888888889</v>
      </c>
      <c r="D775" s="49" t="n">
        <f aca="false">0.5*c_rho*'P3 Energie'!E8*'P3 Energie'!E7*(C775-c_Vv)^2+'P3 Energie'!E13+'P3 Energie'!E15+'P3 Energie'!E6*$C$7</f>
        <v>18225.3203569123</v>
      </c>
      <c r="E775" s="50" t="n">
        <f aca="false">D775*C775</f>
        <v>193897.158241595</v>
      </c>
      <c r="F775" s="46" t="n">
        <v>766</v>
      </c>
      <c r="G775" s="47" t="n">
        <f aca="false">F775*$H$6</f>
        <v>1.3977173408502</v>
      </c>
      <c r="H775" s="48" t="n">
        <f aca="false">$H$7*G775</f>
        <v>10.6388888888889</v>
      </c>
      <c r="I775" s="49" t="n">
        <f aca="false">0.5*c_rho*'P3 Energie'!F8*'P3 Energie'!F7*(H775-c_Vv)^2+'P3 Energie'!F13+'P3 Energie'!F15+'P3 Energie'!F6*$H$7</f>
        <v>19077.5814865639</v>
      </c>
      <c r="J775" s="50" t="n">
        <f aca="false">I775*H775</f>
        <v>202964.269704277</v>
      </c>
    </row>
    <row r="776" customFormat="false" ht="15" hidden="false" customHeight="false" outlineLevel="0" collapsed="false">
      <c r="A776" s="46" t="n">
        <v>767</v>
      </c>
      <c r="B776" s="47" t="n">
        <f aca="false">A776*$C$6</f>
        <v>1.40359457497479</v>
      </c>
      <c r="C776" s="48" t="n">
        <f aca="false">$C$7*B776</f>
        <v>10.6527777777778</v>
      </c>
      <c r="D776" s="49" t="n">
        <f aca="false">0.5*c_rho*'P3 Energie'!E8*'P3 Energie'!E7*(C776-c_Vv)^2+'P3 Energie'!E13+'P3 Energie'!E15+'P3 Energie'!E6*$C$7</f>
        <v>18225.4384779725</v>
      </c>
      <c r="E776" s="50" t="n">
        <f aca="false">D776*C776</f>
        <v>194151.546008402</v>
      </c>
      <c r="F776" s="46" t="n">
        <v>767</v>
      </c>
      <c r="G776" s="47" t="n">
        <f aca="false">F776*$H$6</f>
        <v>1.39954203711762</v>
      </c>
      <c r="H776" s="48" t="n">
        <f aca="false">$H$7*G776</f>
        <v>10.6527777777778</v>
      </c>
      <c r="I776" s="49" t="n">
        <f aca="false">0.5*c_rho*'P3 Energie'!F8*'P3 Energie'!F7*(H776-c_Vv)^2+'P3 Energie'!F13+'P3 Energie'!F15+'P3 Energie'!F6*$H$7</f>
        <v>19077.6841127521</v>
      </c>
      <c r="J776" s="50" t="n">
        <f aca="false">I776*H776</f>
        <v>203230.32936779</v>
      </c>
    </row>
    <row r="777" customFormat="false" ht="15" hidden="false" customHeight="false" outlineLevel="0" collapsed="false">
      <c r="A777" s="46" t="n">
        <v>768</v>
      </c>
      <c r="B777" s="47" t="n">
        <f aca="false">A777*$C$6</f>
        <v>1.40542455486394</v>
      </c>
      <c r="C777" s="48" t="n">
        <f aca="false">$C$7*B777</f>
        <v>10.6666666666667</v>
      </c>
      <c r="D777" s="49" t="n">
        <f aca="false">0.5*c_rho*'P3 Energie'!E8*'P3 Energie'!E7*(C777-c_Vv)^2+'P3 Energie'!E13+'P3 Energie'!E15+'P3 Energie'!E6*$C$7</f>
        <v>18225.5567531372</v>
      </c>
      <c r="E777" s="50" t="n">
        <f aca="false">D777*C777</f>
        <v>194405.93870013</v>
      </c>
      <c r="F777" s="46" t="n">
        <v>768</v>
      </c>
      <c r="G777" s="47" t="n">
        <f aca="false">F777*$H$6</f>
        <v>1.40136673338505</v>
      </c>
      <c r="H777" s="48" t="n">
        <f aca="false">$H$7*G777</f>
        <v>10.6666666666667</v>
      </c>
      <c r="I777" s="49" t="n">
        <f aca="false">0.5*c_rho*'P3 Energie'!F8*'P3 Energie'!F7*(H777-c_Vv)^2+'P3 Energie'!F13+'P3 Energie'!F15+'P3 Energie'!F6*$H$7</f>
        <v>19077.7868728296</v>
      </c>
      <c r="J777" s="50" t="n">
        <f aca="false">I777*H777</f>
        <v>203496.393310183</v>
      </c>
    </row>
    <row r="778" customFormat="false" ht="15" hidden="false" customHeight="false" outlineLevel="0" collapsed="false">
      <c r="A778" s="46" t="n">
        <v>769</v>
      </c>
      <c r="B778" s="47" t="n">
        <f aca="false">A778*$C$6</f>
        <v>1.40725453475308</v>
      </c>
      <c r="C778" s="48" t="n">
        <f aca="false">$C$7*B778</f>
        <v>10.6805555555556</v>
      </c>
      <c r="D778" s="49" t="n">
        <f aca="false">0.5*c_rho*'P3 Energie'!E8*'P3 Energie'!E7*(C778-c_Vv)^2+'P3 Energie'!E13+'P3 Energie'!E15+'P3 Energie'!E6*$C$7</f>
        <v>18225.6751824063</v>
      </c>
      <c r="E778" s="50" t="n">
        <f aca="false">D778*C778</f>
        <v>194660.336323201</v>
      </c>
      <c r="F778" s="46" t="n">
        <v>769</v>
      </c>
      <c r="G778" s="47" t="n">
        <f aca="false">F778*$H$6</f>
        <v>1.40319142965248</v>
      </c>
      <c r="H778" s="48" t="n">
        <f aca="false">$H$7*G778</f>
        <v>10.6805555555556</v>
      </c>
      <c r="I778" s="49" t="n">
        <f aca="false">0.5*c_rho*'P3 Energie'!F8*'P3 Energie'!F7*(H778-c_Vv)^2+'P3 Energie'!F13+'P3 Energie'!F15+'P3 Energie'!F6*$H$7</f>
        <v>19077.8897667965</v>
      </c>
      <c r="J778" s="50" t="n">
        <f aca="false">I778*H778</f>
        <v>203762.461537035</v>
      </c>
    </row>
    <row r="779" customFormat="false" ht="15" hidden="false" customHeight="false" outlineLevel="0" collapsed="false">
      <c r="A779" s="46" t="n">
        <v>770</v>
      </c>
      <c r="B779" s="47" t="n">
        <f aca="false">A779*$C$6</f>
        <v>1.40908451464223</v>
      </c>
      <c r="C779" s="48" t="n">
        <f aca="false">$C$7*B779</f>
        <v>10.6944444444444</v>
      </c>
      <c r="D779" s="49" t="n">
        <f aca="false">0.5*c_rho*'P3 Energie'!E8*'P3 Energie'!E7*(C779-c_Vv)^2+'P3 Energie'!E13+'P3 Energie'!E15+'P3 Energie'!E6*$C$7</f>
        <v>18225.7937657799</v>
      </c>
      <c r="E779" s="50" t="n">
        <f aca="false">D779*C779</f>
        <v>194914.738884035</v>
      </c>
      <c r="F779" s="46" t="n">
        <v>770</v>
      </c>
      <c r="G779" s="47" t="n">
        <f aca="false">F779*$H$6</f>
        <v>1.40501612591991</v>
      </c>
      <c r="H779" s="48" t="n">
        <f aca="false">$H$7*G779</f>
        <v>10.6944444444444</v>
      </c>
      <c r="I779" s="49" t="n">
        <f aca="false">0.5*c_rho*'P3 Energie'!F8*'P3 Energie'!F7*(H779-c_Vv)^2+'P3 Energie'!F13+'P3 Energie'!F15+'P3 Energie'!F6*$H$7</f>
        <v>19077.9927946528</v>
      </c>
      <c r="J779" s="50" t="n">
        <f aca="false">I779*H779</f>
        <v>204028.534053926</v>
      </c>
    </row>
    <row r="780" customFormat="false" ht="15" hidden="false" customHeight="false" outlineLevel="0" collapsed="false">
      <c r="A780" s="46" t="n">
        <v>771</v>
      </c>
      <c r="B780" s="47" t="n">
        <f aca="false">A780*$C$6</f>
        <v>1.41091449453137</v>
      </c>
      <c r="C780" s="48" t="n">
        <f aca="false">$C$7*B780</f>
        <v>10.7083333333333</v>
      </c>
      <c r="D780" s="49" t="n">
        <f aca="false">0.5*c_rho*'P3 Energie'!E8*'P3 Energie'!E7*(C780-c_Vv)^2+'P3 Energie'!E13+'P3 Energie'!E15+'P3 Energie'!E6*$C$7</f>
        <v>18225.9125032579</v>
      </c>
      <c r="E780" s="50" t="n">
        <f aca="false">D780*C780</f>
        <v>195169.146389053</v>
      </c>
      <c r="F780" s="46" t="n">
        <v>771</v>
      </c>
      <c r="G780" s="47" t="n">
        <f aca="false">F780*$H$6</f>
        <v>1.40684082218734</v>
      </c>
      <c r="H780" s="48" t="n">
        <f aca="false">$H$7*G780</f>
        <v>10.7083333333333</v>
      </c>
      <c r="I780" s="49" t="n">
        <f aca="false">0.5*c_rho*'P3 Energie'!F8*'P3 Energie'!F7*(H780-c_Vv)^2+'P3 Energie'!F13+'P3 Energie'!F15+'P3 Energie'!F6*$H$7</f>
        <v>19078.0959563984</v>
      </c>
      <c r="J780" s="50" t="n">
        <f aca="false">I780*H780</f>
        <v>204294.610866433</v>
      </c>
    </row>
    <row r="781" customFormat="false" ht="15" hidden="false" customHeight="false" outlineLevel="0" collapsed="false">
      <c r="A781" s="46" t="n">
        <v>772</v>
      </c>
      <c r="B781" s="47" t="n">
        <f aca="false">A781*$C$6</f>
        <v>1.41274447442052</v>
      </c>
      <c r="C781" s="48" t="n">
        <f aca="false">$C$7*B781</f>
        <v>10.7222222222222</v>
      </c>
      <c r="D781" s="49" t="n">
        <f aca="false">0.5*c_rho*'P3 Energie'!E8*'P3 Energie'!E7*(C781-c_Vv)^2+'P3 Energie'!E13+'P3 Energie'!E15+'P3 Energie'!E6*$C$7</f>
        <v>18226.0313948403</v>
      </c>
      <c r="E781" s="50" t="n">
        <f aca="false">D781*C781</f>
        <v>195423.558844677</v>
      </c>
      <c r="F781" s="46" t="n">
        <v>772</v>
      </c>
      <c r="G781" s="47" t="n">
        <f aca="false">F781*$H$6</f>
        <v>1.40866551845477</v>
      </c>
      <c r="H781" s="48" t="n">
        <f aca="false">$H$7*G781</f>
        <v>10.7222222222222</v>
      </c>
      <c r="I781" s="49" t="n">
        <f aca="false">0.5*c_rho*'P3 Energie'!F8*'P3 Energie'!F7*(H781-c_Vv)^2+'P3 Energie'!F13+'P3 Energie'!F15+'P3 Energie'!F6*$H$7</f>
        <v>19078.1992520333</v>
      </c>
      <c r="J781" s="50" t="n">
        <f aca="false">I781*H781</f>
        <v>204560.691980135</v>
      </c>
    </row>
    <row r="782" customFormat="false" ht="15" hidden="false" customHeight="false" outlineLevel="0" collapsed="false">
      <c r="A782" s="46" t="n">
        <v>773</v>
      </c>
      <c r="B782" s="47" t="n">
        <f aca="false">A782*$C$6</f>
        <v>1.41457445430966</v>
      </c>
      <c r="C782" s="48" t="n">
        <f aca="false">$C$7*B782</f>
        <v>10.7361111111111</v>
      </c>
      <c r="D782" s="49" t="n">
        <f aca="false">0.5*c_rho*'P3 Energie'!E8*'P3 Energie'!E7*(C782-c_Vv)^2+'P3 Energie'!E13+'P3 Energie'!E15+'P3 Energie'!E6*$C$7</f>
        <v>18226.1504405273</v>
      </c>
      <c r="E782" s="50" t="n">
        <f aca="false">D782*C782</f>
        <v>195677.976257327</v>
      </c>
      <c r="F782" s="46" t="n">
        <v>773</v>
      </c>
      <c r="G782" s="47" t="n">
        <f aca="false">F782*$H$6</f>
        <v>1.41049021472219</v>
      </c>
      <c r="H782" s="48" t="n">
        <f aca="false">$H$7*G782</f>
        <v>10.7361111111111</v>
      </c>
      <c r="I782" s="49" t="n">
        <f aca="false">0.5*c_rho*'P3 Energie'!F8*'P3 Energie'!F7*(H782-c_Vv)^2+'P3 Energie'!F13+'P3 Energie'!F15+'P3 Energie'!F6*$H$7</f>
        <v>19078.3026815576</v>
      </c>
      <c r="J782" s="50" t="n">
        <f aca="false">I782*H782</f>
        <v>204826.777400612</v>
      </c>
    </row>
    <row r="783" customFormat="false" ht="15" hidden="false" customHeight="false" outlineLevel="0" collapsed="false">
      <c r="A783" s="46" t="n">
        <v>774</v>
      </c>
      <c r="B783" s="47" t="n">
        <f aca="false">A783*$C$6</f>
        <v>1.41640443419881</v>
      </c>
      <c r="C783" s="48" t="n">
        <f aca="false">$C$7*B783</f>
        <v>10.75</v>
      </c>
      <c r="D783" s="49" t="n">
        <f aca="false">0.5*c_rho*'P3 Energie'!E8*'P3 Energie'!E7*(C783-c_Vv)^2+'P3 Energie'!E13+'P3 Energie'!E15+'P3 Energie'!E6*$C$7</f>
        <v>18226.2696403186</v>
      </c>
      <c r="E783" s="50" t="n">
        <f aca="false">D783*C783</f>
        <v>195932.398633425</v>
      </c>
      <c r="F783" s="46" t="n">
        <v>774</v>
      </c>
      <c r="G783" s="47" t="n">
        <f aca="false">F783*$H$6</f>
        <v>1.41231491098962</v>
      </c>
      <c r="H783" s="48" t="n">
        <f aca="false">$H$7*G783</f>
        <v>10.75</v>
      </c>
      <c r="I783" s="49" t="n">
        <f aca="false">0.5*c_rho*'P3 Energie'!F8*'P3 Energie'!F7*(H783-c_Vv)^2+'P3 Energie'!F13+'P3 Energie'!F15+'P3 Energie'!F6*$H$7</f>
        <v>19078.4062449713</v>
      </c>
      <c r="J783" s="50" t="n">
        <f aca="false">I783*H783</f>
        <v>205092.867133441</v>
      </c>
    </row>
    <row r="784" customFormat="false" ht="15" hidden="false" customHeight="false" outlineLevel="0" collapsed="false">
      <c r="A784" s="46" t="n">
        <v>775</v>
      </c>
      <c r="B784" s="47" t="n">
        <f aca="false">A784*$C$6</f>
        <v>1.41823441408796</v>
      </c>
      <c r="C784" s="48" t="n">
        <f aca="false">$C$7*B784</f>
        <v>10.7638888888889</v>
      </c>
      <c r="D784" s="49" t="n">
        <f aca="false">0.5*c_rho*'P3 Energie'!E8*'P3 Energie'!E7*(C784-c_Vv)^2+'P3 Energie'!E13+'P3 Energie'!E15+'P3 Energie'!E6*$C$7</f>
        <v>18226.3889942144</v>
      </c>
      <c r="E784" s="50" t="n">
        <f aca="false">D784*C784</f>
        <v>196186.825979391</v>
      </c>
      <c r="F784" s="46" t="n">
        <v>775</v>
      </c>
      <c r="G784" s="47" t="n">
        <f aca="false">F784*$H$6</f>
        <v>1.41413960725705</v>
      </c>
      <c r="H784" s="48" t="n">
        <f aca="false">$H$7*G784</f>
        <v>10.7638888888889</v>
      </c>
      <c r="I784" s="49" t="n">
        <f aca="false">0.5*c_rho*'P3 Energie'!F8*'P3 Energie'!F7*(H784-c_Vv)^2+'P3 Energie'!F13+'P3 Energie'!F15+'P3 Energie'!F6*$H$7</f>
        <v>19078.5099422743</v>
      </c>
      <c r="J784" s="50" t="n">
        <f aca="false">I784*H784</f>
        <v>205358.961184203</v>
      </c>
    </row>
    <row r="785" customFormat="false" ht="15" hidden="false" customHeight="false" outlineLevel="0" collapsed="false">
      <c r="A785" s="46" t="n">
        <v>776</v>
      </c>
      <c r="B785" s="47" t="n">
        <f aca="false">A785*$C$6</f>
        <v>1.4200643939771</v>
      </c>
      <c r="C785" s="48" t="n">
        <f aca="false">$C$7*B785</f>
        <v>10.7777777777778</v>
      </c>
      <c r="D785" s="49" t="n">
        <f aca="false">0.5*c_rho*'P3 Energie'!E8*'P3 Energie'!E7*(C785-c_Vv)^2+'P3 Energie'!E13+'P3 Energie'!E15+'P3 Energie'!E6*$C$7</f>
        <v>18226.5085022147</v>
      </c>
      <c r="E785" s="50" t="n">
        <f aca="false">D785*C785</f>
        <v>196441.258301647</v>
      </c>
      <c r="F785" s="46" t="n">
        <v>776</v>
      </c>
      <c r="G785" s="47" t="n">
        <f aca="false">F785*$H$6</f>
        <v>1.41596430352448</v>
      </c>
      <c r="H785" s="48" t="n">
        <f aca="false">$H$7*G785</f>
        <v>10.7777777777778</v>
      </c>
      <c r="I785" s="49" t="n">
        <f aca="false">0.5*c_rho*'P3 Energie'!F8*'P3 Energie'!F7*(H785-c_Vv)^2+'P3 Energie'!F13+'P3 Energie'!F15+'P3 Energie'!F6*$H$7</f>
        <v>19078.6137734667</v>
      </c>
      <c r="J785" s="50" t="n">
        <f aca="false">I785*H785</f>
        <v>205625.059558474</v>
      </c>
    </row>
    <row r="786" customFormat="false" ht="15" hidden="false" customHeight="false" outlineLevel="0" collapsed="false">
      <c r="A786" s="46" t="n">
        <v>777</v>
      </c>
      <c r="B786" s="47" t="n">
        <f aca="false">A786*$C$6</f>
        <v>1.42189437386625</v>
      </c>
      <c r="C786" s="48" t="n">
        <f aca="false">$C$7*B786</f>
        <v>10.7916666666667</v>
      </c>
      <c r="D786" s="49" t="n">
        <f aca="false">0.5*c_rho*'P3 Energie'!E8*'P3 Energie'!E7*(C786-c_Vv)^2+'P3 Energie'!E13+'P3 Energie'!E15+'P3 Energie'!E6*$C$7</f>
        <v>18226.6281643194</v>
      </c>
      <c r="E786" s="50" t="n">
        <f aca="false">D786*C786</f>
        <v>196695.695606613</v>
      </c>
      <c r="F786" s="46" t="n">
        <v>777</v>
      </c>
      <c r="G786" s="47" t="n">
        <f aca="false">F786*$H$6</f>
        <v>1.41778899979191</v>
      </c>
      <c r="H786" s="48" t="n">
        <f aca="false">$H$7*G786</f>
        <v>10.7916666666667</v>
      </c>
      <c r="I786" s="49" t="n">
        <f aca="false">0.5*c_rho*'P3 Energie'!F8*'P3 Energie'!F7*(H786-c_Vv)^2+'P3 Energie'!F13+'P3 Energie'!F15+'P3 Energie'!F6*$H$7</f>
        <v>19078.7177385484</v>
      </c>
      <c r="J786" s="50" t="n">
        <f aca="false">I786*H786</f>
        <v>205891.162261835</v>
      </c>
    </row>
    <row r="787" customFormat="false" ht="15" hidden="false" customHeight="false" outlineLevel="0" collapsed="false">
      <c r="A787" s="46" t="n">
        <v>778</v>
      </c>
      <c r="B787" s="47" t="n">
        <f aca="false">A787*$C$6</f>
        <v>1.42372435375539</v>
      </c>
      <c r="C787" s="48" t="n">
        <f aca="false">$C$7*B787</f>
        <v>10.8055555555556</v>
      </c>
      <c r="D787" s="49" t="n">
        <f aca="false">0.5*c_rho*'P3 Energie'!E8*'P3 Energie'!E7*(C787-c_Vv)^2+'P3 Energie'!E13+'P3 Energie'!E15+'P3 Energie'!E6*$C$7</f>
        <v>18226.7479805285</v>
      </c>
      <c r="E787" s="50" t="n">
        <f aca="false">D787*C787</f>
        <v>196950.137900711</v>
      </c>
      <c r="F787" s="46" t="n">
        <v>778</v>
      </c>
      <c r="G787" s="47" t="n">
        <f aca="false">F787*$H$6</f>
        <v>1.41961369605934</v>
      </c>
      <c r="H787" s="48" t="n">
        <f aca="false">$H$7*G787</f>
        <v>10.8055555555556</v>
      </c>
      <c r="I787" s="49" t="n">
        <f aca="false">0.5*c_rho*'P3 Energie'!F8*'P3 Energie'!F7*(H787-c_Vv)^2+'P3 Energie'!F13+'P3 Energie'!F15+'P3 Energie'!F6*$H$7</f>
        <v>19078.8218375194</v>
      </c>
      <c r="J787" s="50" t="n">
        <f aca="false">I787*H787</f>
        <v>206157.269299863</v>
      </c>
    </row>
    <row r="788" customFormat="false" ht="15" hidden="false" customHeight="false" outlineLevel="0" collapsed="false">
      <c r="A788" s="46" t="n">
        <v>779</v>
      </c>
      <c r="B788" s="47" t="n">
        <f aca="false">A788*$C$6</f>
        <v>1.42555433364454</v>
      </c>
      <c r="C788" s="48" t="n">
        <f aca="false">$C$7*B788</f>
        <v>10.8194444444444</v>
      </c>
      <c r="D788" s="49" t="n">
        <f aca="false">0.5*c_rho*'P3 Energie'!E8*'P3 Energie'!E7*(C788-c_Vv)^2+'P3 Energie'!E13+'P3 Energie'!E15+'P3 Energie'!E6*$C$7</f>
        <v>18226.8679508421</v>
      </c>
      <c r="E788" s="50" t="n">
        <f aca="false">D788*C788</f>
        <v>197204.585190361</v>
      </c>
      <c r="F788" s="46" t="n">
        <v>779</v>
      </c>
      <c r="G788" s="47" t="n">
        <f aca="false">F788*$H$6</f>
        <v>1.42143839232677</v>
      </c>
      <c r="H788" s="48" t="n">
        <f aca="false">$H$7*G788</f>
        <v>10.8194444444444</v>
      </c>
      <c r="I788" s="49" t="n">
        <f aca="false">0.5*c_rho*'P3 Energie'!F8*'P3 Energie'!F7*(H788-c_Vv)^2+'P3 Energie'!F13+'P3 Energie'!F15+'P3 Energie'!F6*$H$7</f>
        <v>19078.9260703799</v>
      </c>
      <c r="J788" s="50" t="n">
        <f aca="false">I788*H788</f>
        <v>206423.380678138</v>
      </c>
    </row>
    <row r="789" customFormat="false" ht="15" hidden="false" customHeight="false" outlineLevel="0" collapsed="false">
      <c r="A789" s="46" t="n">
        <v>780</v>
      </c>
      <c r="B789" s="47" t="n">
        <f aca="false">A789*$C$6</f>
        <v>1.42738431353368</v>
      </c>
      <c r="C789" s="48" t="n">
        <f aca="false">$C$7*B789</f>
        <v>10.8333333333333</v>
      </c>
      <c r="D789" s="49" t="n">
        <f aca="false">0.5*c_rho*'P3 Energie'!E8*'P3 Energie'!E7*(C789-c_Vv)^2+'P3 Energie'!E13+'P3 Energie'!E15+'P3 Energie'!E6*$C$7</f>
        <v>18226.9880752602</v>
      </c>
      <c r="E789" s="50" t="n">
        <f aca="false">D789*C789</f>
        <v>197459.037481985</v>
      </c>
      <c r="F789" s="46" t="n">
        <v>780</v>
      </c>
      <c r="G789" s="47" t="n">
        <f aca="false">F789*$H$6</f>
        <v>1.42326308859419</v>
      </c>
      <c r="H789" s="48" t="n">
        <f aca="false">$H$7*G789</f>
        <v>10.8333333333333</v>
      </c>
      <c r="I789" s="49" t="n">
        <f aca="false">0.5*c_rho*'P3 Energie'!F8*'P3 Energie'!F7*(H789-c_Vv)^2+'P3 Energie'!F13+'P3 Energie'!F15+'P3 Energie'!F6*$H$7</f>
        <v>19079.0304371296</v>
      </c>
      <c r="J789" s="50" t="n">
        <f aca="false">I789*H789</f>
        <v>206689.496402238</v>
      </c>
    </row>
    <row r="790" customFormat="false" ht="15" hidden="false" customHeight="false" outlineLevel="0" collapsed="false">
      <c r="A790" s="46" t="n">
        <v>781</v>
      </c>
      <c r="B790" s="47" t="n">
        <f aca="false">A790*$C$6</f>
        <v>1.42921429342283</v>
      </c>
      <c r="C790" s="48" t="n">
        <f aca="false">$C$7*B790</f>
        <v>10.8472222222222</v>
      </c>
      <c r="D790" s="49" t="n">
        <f aca="false">0.5*c_rho*'P3 Energie'!E8*'P3 Energie'!E7*(C790-c_Vv)^2+'P3 Energie'!E13+'P3 Energie'!E15+'P3 Energie'!E6*$C$7</f>
        <v>18227.1083537827</v>
      </c>
      <c r="E790" s="50" t="n">
        <f aca="false">D790*C790</f>
        <v>197713.494782004</v>
      </c>
      <c r="F790" s="46" t="n">
        <v>781</v>
      </c>
      <c r="G790" s="47" t="n">
        <f aca="false">F790*$H$6</f>
        <v>1.42508778486162</v>
      </c>
      <c r="H790" s="48" t="n">
        <f aca="false">$H$7*G790</f>
        <v>10.8472222222222</v>
      </c>
      <c r="I790" s="49" t="n">
        <f aca="false">0.5*c_rho*'P3 Energie'!F8*'P3 Energie'!F7*(H790-c_Vv)^2+'P3 Energie'!F13+'P3 Energie'!F15+'P3 Energie'!F6*$H$7</f>
        <v>19079.1349377688</v>
      </c>
      <c r="J790" s="50" t="n">
        <f aca="false">I790*H790</f>
        <v>206955.616477742</v>
      </c>
    </row>
    <row r="791" customFormat="false" ht="15" hidden="false" customHeight="false" outlineLevel="0" collapsed="false">
      <c r="A791" s="46" t="n">
        <v>782</v>
      </c>
      <c r="B791" s="47" t="n">
        <f aca="false">A791*$C$6</f>
        <v>1.43104427331198</v>
      </c>
      <c r="C791" s="48" t="n">
        <f aca="false">$C$7*B791</f>
        <v>10.8611111111111</v>
      </c>
      <c r="D791" s="49" t="n">
        <f aca="false">0.5*c_rho*'P3 Energie'!E8*'P3 Energie'!E7*(C791-c_Vv)^2+'P3 Energie'!E13+'P3 Energie'!E15+'P3 Energie'!E6*$C$7</f>
        <v>18227.2287864096</v>
      </c>
      <c r="E791" s="50" t="n">
        <f aca="false">D791*C791</f>
        <v>197967.957096838</v>
      </c>
      <c r="F791" s="46" t="n">
        <v>782</v>
      </c>
      <c r="G791" s="47" t="n">
        <f aca="false">F791*$H$6</f>
        <v>1.42691248112905</v>
      </c>
      <c r="H791" s="48" t="n">
        <f aca="false">$H$7*G791</f>
        <v>10.8611111111111</v>
      </c>
      <c r="I791" s="49" t="n">
        <f aca="false">0.5*c_rho*'P3 Energie'!F8*'P3 Energie'!F7*(H791-c_Vv)^2+'P3 Energie'!F13+'P3 Energie'!F15+'P3 Energie'!F6*$H$7</f>
        <v>19079.2395722972</v>
      </c>
      <c r="J791" s="50" t="n">
        <f aca="false">I791*H791</f>
        <v>207221.740910228</v>
      </c>
    </row>
    <row r="792" customFormat="false" ht="15" hidden="false" customHeight="false" outlineLevel="0" collapsed="false">
      <c r="A792" s="46" t="n">
        <v>783</v>
      </c>
      <c r="B792" s="47" t="n">
        <f aca="false">A792*$C$6</f>
        <v>1.43287425320112</v>
      </c>
      <c r="C792" s="48" t="n">
        <f aca="false">$C$7*B792</f>
        <v>10.875</v>
      </c>
      <c r="D792" s="49" t="n">
        <f aca="false">0.5*c_rho*'P3 Energie'!E8*'P3 Energie'!E7*(C792-c_Vv)^2+'P3 Energie'!E13+'P3 Energie'!E15+'P3 Energie'!E6*$C$7</f>
        <v>18227.349373141</v>
      </c>
      <c r="E792" s="50" t="n">
        <f aca="false">D792*C792</f>
        <v>198222.424432909</v>
      </c>
      <c r="F792" s="46" t="n">
        <v>783</v>
      </c>
      <c r="G792" s="47" t="n">
        <f aca="false">F792*$H$6</f>
        <v>1.42873717739648</v>
      </c>
      <c r="H792" s="48" t="n">
        <f aca="false">$H$7*G792</f>
        <v>10.875</v>
      </c>
      <c r="I792" s="49" t="n">
        <f aca="false">0.5*c_rho*'P3 Energie'!F8*'P3 Energie'!F7*(H792-c_Vv)^2+'P3 Energie'!F13+'P3 Energie'!F15+'P3 Energie'!F6*$H$7</f>
        <v>19079.344340715</v>
      </c>
      <c r="J792" s="50" t="n">
        <f aca="false">I792*H792</f>
        <v>207487.869705276</v>
      </c>
    </row>
    <row r="793" customFormat="false" ht="15" hidden="false" customHeight="false" outlineLevel="0" collapsed="false">
      <c r="A793" s="46" t="n">
        <v>784</v>
      </c>
      <c r="B793" s="47" t="n">
        <f aca="false">A793*$C$6</f>
        <v>1.43470423309027</v>
      </c>
      <c r="C793" s="48" t="n">
        <f aca="false">$C$7*B793</f>
        <v>10.8888888888889</v>
      </c>
      <c r="D793" s="49" t="n">
        <f aca="false">0.5*c_rho*'P3 Energie'!E8*'P3 Energie'!E7*(C793-c_Vv)^2+'P3 Energie'!E13+'P3 Energie'!E15+'P3 Energie'!E6*$C$7</f>
        <v>18227.4701139769</v>
      </c>
      <c r="E793" s="50" t="n">
        <f aca="false">D793*C793</f>
        <v>198476.896796637</v>
      </c>
      <c r="F793" s="46" t="n">
        <v>784</v>
      </c>
      <c r="G793" s="47" t="n">
        <f aca="false">F793*$H$6</f>
        <v>1.43056187366391</v>
      </c>
      <c r="H793" s="48" t="n">
        <f aca="false">$H$7*G793</f>
        <v>10.8888888888889</v>
      </c>
      <c r="I793" s="49" t="n">
        <f aca="false">0.5*c_rho*'P3 Energie'!F8*'P3 Energie'!F7*(H793-c_Vv)^2+'P3 Energie'!F13+'P3 Energie'!F15+'P3 Energie'!F6*$H$7</f>
        <v>19079.4492430222</v>
      </c>
      <c r="J793" s="50" t="n">
        <f aca="false">I793*H793</f>
        <v>207754.002868464</v>
      </c>
    </row>
    <row r="794" customFormat="false" ht="15" hidden="false" customHeight="false" outlineLevel="0" collapsed="false">
      <c r="A794" s="46" t="n">
        <v>785</v>
      </c>
      <c r="B794" s="47" t="n">
        <f aca="false">A794*$C$6</f>
        <v>1.43653421297941</v>
      </c>
      <c r="C794" s="48" t="n">
        <f aca="false">$C$7*B794</f>
        <v>10.9027777777778</v>
      </c>
      <c r="D794" s="49" t="n">
        <f aca="false">0.5*c_rho*'P3 Energie'!E8*'P3 Energie'!E7*(C794-c_Vv)^2+'P3 Energie'!E13+'P3 Energie'!E15+'P3 Energie'!E6*$C$7</f>
        <v>18227.5910089172</v>
      </c>
      <c r="E794" s="50" t="n">
        <f aca="false">D794*C794</f>
        <v>198731.374194444</v>
      </c>
      <c r="F794" s="46" t="n">
        <v>785</v>
      </c>
      <c r="G794" s="47" t="n">
        <f aca="false">F794*$H$6</f>
        <v>1.43238656993134</v>
      </c>
      <c r="H794" s="48" t="n">
        <f aca="false">$H$7*G794</f>
        <v>10.9027777777778</v>
      </c>
      <c r="I794" s="49" t="n">
        <f aca="false">0.5*c_rho*'P3 Energie'!F8*'P3 Energie'!F7*(H794-c_Vv)^2+'P3 Energie'!F13+'P3 Energie'!F15+'P3 Energie'!F6*$H$7</f>
        <v>19079.5542792188</v>
      </c>
      <c r="J794" s="50" t="n">
        <f aca="false">I794*H794</f>
        <v>208020.140405371</v>
      </c>
    </row>
    <row r="795" customFormat="false" ht="15" hidden="false" customHeight="false" outlineLevel="0" collapsed="false">
      <c r="A795" s="46" t="n">
        <v>786</v>
      </c>
      <c r="B795" s="47" t="n">
        <f aca="false">A795*$C$6</f>
        <v>1.43836419286856</v>
      </c>
      <c r="C795" s="48" t="n">
        <f aca="false">$C$7*B795</f>
        <v>10.9166666666667</v>
      </c>
      <c r="D795" s="49" t="n">
        <f aca="false">0.5*c_rho*'P3 Energie'!E8*'P3 Energie'!E7*(C795-c_Vv)^2+'P3 Energie'!E13+'P3 Energie'!E15+'P3 Energie'!E6*$C$7</f>
        <v>18227.7120579619</v>
      </c>
      <c r="E795" s="50" t="n">
        <f aca="false">D795*C795</f>
        <v>198985.856632751</v>
      </c>
      <c r="F795" s="46" t="n">
        <v>786</v>
      </c>
      <c r="G795" s="47" t="n">
        <f aca="false">F795*$H$6</f>
        <v>1.43421126619876</v>
      </c>
      <c r="H795" s="48" t="n">
        <f aca="false">$H$7*G795</f>
        <v>10.9166666666667</v>
      </c>
      <c r="I795" s="49" t="n">
        <f aca="false">0.5*c_rho*'P3 Energie'!F8*'P3 Energie'!F7*(H795-c_Vv)^2+'P3 Energie'!F13+'P3 Energie'!F15+'P3 Energie'!F6*$H$7</f>
        <v>19079.6594493046</v>
      </c>
      <c r="J795" s="50" t="n">
        <f aca="false">I795*H795</f>
        <v>208286.282321576</v>
      </c>
    </row>
    <row r="796" customFormat="false" ht="15" hidden="false" customHeight="false" outlineLevel="0" collapsed="false">
      <c r="A796" s="46" t="n">
        <v>787</v>
      </c>
      <c r="B796" s="47" t="n">
        <f aca="false">A796*$C$6</f>
        <v>1.4401941727577</v>
      </c>
      <c r="C796" s="48" t="n">
        <f aca="false">$C$7*B796</f>
        <v>10.9305555555556</v>
      </c>
      <c r="D796" s="49" t="n">
        <f aca="false">0.5*c_rho*'P3 Energie'!E8*'P3 Energie'!E7*(C796-c_Vv)^2+'P3 Energie'!E13+'P3 Energie'!E15+'P3 Energie'!E6*$C$7</f>
        <v>18227.8332611111</v>
      </c>
      <c r="E796" s="50" t="n">
        <f aca="false">D796*C796</f>
        <v>199240.344117979</v>
      </c>
      <c r="F796" s="46" t="n">
        <v>787</v>
      </c>
      <c r="G796" s="47" t="n">
        <f aca="false">F796*$H$6</f>
        <v>1.43603596246619</v>
      </c>
      <c r="H796" s="48" t="n">
        <f aca="false">$H$7*G796</f>
        <v>10.9305555555556</v>
      </c>
      <c r="I796" s="49" t="n">
        <f aca="false">0.5*c_rho*'P3 Energie'!F8*'P3 Energie'!F7*(H796-c_Vv)^2+'P3 Energie'!F13+'P3 Energie'!F15+'P3 Energie'!F6*$H$7</f>
        <v>19079.7647532799</v>
      </c>
      <c r="J796" s="50" t="n">
        <f aca="false">I796*H796</f>
        <v>208552.428622656</v>
      </c>
    </row>
    <row r="797" customFormat="false" ht="15" hidden="false" customHeight="false" outlineLevel="0" collapsed="false">
      <c r="A797" s="46" t="n">
        <v>788</v>
      </c>
      <c r="B797" s="47" t="n">
        <f aca="false">A797*$C$6</f>
        <v>1.44202415264685</v>
      </c>
      <c r="C797" s="48" t="n">
        <f aca="false">$C$7*B797</f>
        <v>10.9444444444444</v>
      </c>
      <c r="D797" s="49" t="n">
        <f aca="false">0.5*c_rho*'P3 Energie'!E8*'P3 Energie'!E7*(C797-c_Vv)^2+'P3 Energie'!E13+'P3 Energie'!E15+'P3 Energie'!E6*$C$7</f>
        <v>18227.9546183648</v>
      </c>
      <c r="E797" s="50" t="n">
        <f aca="false">D797*C797</f>
        <v>199494.836656548</v>
      </c>
      <c r="F797" s="46" t="n">
        <v>788</v>
      </c>
      <c r="G797" s="47" t="n">
        <f aca="false">F797*$H$6</f>
        <v>1.43786065873362</v>
      </c>
      <c r="H797" s="48" t="n">
        <f aca="false">$H$7*G797</f>
        <v>10.9444444444444</v>
      </c>
      <c r="I797" s="49" t="n">
        <f aca="false">0.5*c_rho*'P3 Energie'!F8*'P3 Energie'!F7*(H797-c_Vv)^2+'P3 Energie'!F13+'P3 Energie'!F15+'P3 Energie'!F6*$H$7</f>
        <v>19079.8701911444</v>
      </c>
      <c r="J797" s="50" t="n">
        <f aca="false">I797*H797</f>
        <v>208818.579314192</v>
      </c>
    </row>
    <row r="798" customFormat="false" ht="15" hidden="false" customHeight="false" outlineLevel="0" collapsed="false">
      <c r="A798" s="46" t="n">
        <v>789</v>
      </c>
      <c r="B798" s="47" t="n">
        <f aca="false">A798*$C$6</f>
        <v>1.443854132536</v>
      </c>
      <c r="C798" s="48" t="n">
        <f aca="false">$C$7*B798</f>
        <v>10.9583333333333</v>
      </c>
      <c r="D798" s="49" t="n">
        <f aca="false">0.5*c_rho*'P3 Energie'!E8*'P3 Energie'!E7*(C798-c_Vv)^2+'P3 Energie'!E13+'P3 Energie'!E15+'P3 Energie'!E6*$C$7</f>
        <v>18228.0761297229</v>
      </c>
      <c r="E798" s="50" t="n">
        <f aca="false">D798*C798</f>
        <v>199749.33425488</v>
      </c>
      <c r="F798" s="46" t="n">
        <v>789</v>
      </c>
      <c r="G798" s="47" t="n">
        <f aca="false">F798*$H$6</f>
        <v>1.43968535500105</v>
      </c>
      <c r="H798" s="48" t="n">
        <f aca="false">$H$7*G798</f>
        <v>10.9583333333333</v>
      </c>
      <c r="I798" s="49" t="n">
        <f aca="false">0.5*c_rho*'P3 Energie'!F8*'P3 Energie'!F7*(H798-c_Vv)^2+'P3 Energie'!F13+'P3 Energie'!F15+'P3 Energie'!F6*$H$7</f>
        <v>19079.9757628984</v>
      </c>
      <c r="J798" s="50" t="n">
        <f aca="false">I798*H798</f>
        <v>209084.734401761</v>
      </c>
    </row>
    <row r="799" customFormat="false" ht="15" hidden="false" customHeight="false" outlineLevel="0" collapsed="false">
      <c r="A799" s="46" t="n">
        <v>790</v>
      </c>
      <c r="B799" s="47" t="n">
        <f aca="false">A799*$C$6</f>
        <v>1.44568411242514</v>
      </c>
      <c r="C799" s="48" t="n">
        <f aca="false">$C$7*B799</f>
        <v>10.9722222222222</v>
      </c>
      <c r="D799" s="49" t="n">
        <f aca="false">0.5*c_rho*'P3 Energie'!E8*'P3 Energie'!E7*(C799-c_Vv)^2+'P3 Energie'!E13+'P3 Energie'!E15+'P3 Energie'!E6*$C$7</f>
        <v>18228.1977951854</v>
      </c>
      <c r="E799" s="50" t="n">
        <f aca="false">D799*C799</f>
        <v>200003.836919396</v>
      </c>
      <c r="F799" s="46" t="n">
        <v>790</v>
      </c>
      <c r="G799" s="47" t="n">
        <f aca="false">F799*$H$6</f>
        <v>1.44151005126848</v>
      </c>
      <c r="H799" s="48" t="n">
        <f aca="false">$H$7*G799</f>
        <v>10.9722222222222</v>
      </c>
      <c r="I799" s="49" t="n">
        <f aca="false">0.5*c_rho*'P3 Energie'!F8*'P3 Energie'!F7*(H799-c_Vv)^2+'P3 Energie'!F13+'P3 Energie'!F15+'P3 Energie'!F6*$H$7</f>
        <v>19080.0814685417</v>
      </c>
      <c r="J799" s="50" t="n">
        <f aca="false">I799*H799</f>
        <v>209350.893890943</v>
      </c>
    </row>
    <row r="800" customFormat="false" ht="15" hidden="false" customHeight="false" outlineLevel="0" collapsed="false">
      <c r="A800" s="46" t="n">
        <v>791</v>
      </c>
      <c r="B800" s="47" t="n">
        <f aca="false">A800*$C$6</f>
        <v>1.44751409231429</v>
      </c>
      <c r="C800" s="48" t="n">
        <f aca="false">$C$7*B800</f>
        <v>10.9861111111111</v>
      </c>
      <c r="D800" s="49" t="n">
        <f aca="false">0.5*c_rho*'P3 Energie'!E8*'P3 Energie'!E7*(C800-c_Vv)^2+'P3 Energie'!E13+'P3 Energie'!E15+'P3 Energie'!E6*$C$7</f>
        <v>18228.3196147524</v>
      </c>
      <c r="E800" s="50" t="n">
        <f aca="false">D800*C800</f>
        <v>200258.344656516</v>
      </c>
      <c r="F800" s="46" t="n">
        <v>791</v>
      </c>
      <c r="G800" s="47" t="n">
        <f aca="false">F800*$H$6</f>
        <v>1.44333474753591</v>
      </c>
      <c r="H800" s="48" t="n">
        <f aca="false">$H$7*G800</f>
        <v>10.9861111111111</v>
      </c>
      <c r="I800" s="49" t="n">
        <f aca="false">0.5*c_rho*'P3 Energie'!F8*'P3 Energie'!F7*(H800-c_Vv)^2+'P3 Energie'!F13+'P3 Energie'!F15+'P3 Energie'!F6*$H$7</f>
        <v>19080.1873080743</v>
      </c>
      <c r="J800" s="50" t="n">
        <f aca="false">I800*H800</f>
        <v>209617.057787316</v>
      </c>
    </row>
    <row r="801" customFormat="false" ht="15" hidden="false" customHeight="false" outlineLevel="0" collapsed="false">
      <c r="A801" s="46" t="n">
        <v>792</v>
      </c>
      <c r="B801" s="47" t="n">
        <f aca="false">A801*$C$6</f>
        <v>1.44934407220343</v>
      </c>
      <c r="C801" s="48" t="n">
        <f aca="false">$C$7*B801</f>
        <v>11</v>
      </c>
      <c r="D801" s="49" t="n">
        <f aca="false">0.5*c_rho*'P3 Energie'!E8*'P3 Energie'!E7*(C801-c_Vv)^2+'P3 Energie'!E13+'P3 Energie'!E15+'P3 Energie'!E6*$C$7</f>
        <v>18228.4415884239</v>
      </c>
      <c r="E801" s="50" t="n">
        <f aca="false">D801*C801</f>
        <v>200512.857472662</v>
      </c>
      <c r="F801" s="46" t="n">
        <v>792</v>
      </c>
      <c r="G801" s="47" t="n">
        <f aca="false">F801*$H$6</f>
        <v>1.44515944380334</v>
      </c>
      <c r="H801" s="48" t="n">
        <f aca="false">$H$7*G801</f>
        <v>11</v>
      </c>
      <c r="I801" s="49" t="n">
        <f aca="false">0.5*c_rho*'P3 Energie'!F8*'P3 Energie'!F7*(H801-c_Vv)^2+'P3 Energie'!F13+'P3 Energie'!F15+'P3 Energie'!F6*$H$7</f>
        <v>19080.2932814963</v>
      </c>
      <c r="J801" s="50" t="n">
        <f aca="false">I801*H801</f>
        <v>209883.226096459</v>
      </c>
    </row>
    <row r="802" customFormat="false" ht="15" hidden="false" customHeight="false" outlineLevel="0" collapsed="false">
      <c r="A802" s="46" t="n">
        <v>793</v>
      </c>
      <c r="B802" s="47" t="n">
        <f aca="false">A802*$C$6</f>
        <v>1.45117405209258</v>
      </c>
      <c r="C802" s="48" t="n">
        <f aca="false">$C$7*B802</f>
        <v>11.0138888888889</v>
      </c>
      <c r="D802" s="49" t="n">
        <f aca="false">0.5*c_rho*'P3 Energie'!E8*'P3 Energie'!E7*(C802-c_Vv)^2+'P3 Energie'!E13+'P3 Energie'!E15+'P3 Energie'!E6*$C$7</f>
        <v>18228.5637161998</v>
      </c>
      <c r="E802" s="50" t="n">
        <f aca="false">D802*C802</f>
        <v>200767.375374256</v>
      </c>
      <c r="F802" s="46" t="n">
        <v>793</v>
      </c>
      <c r="G802" s="47" t="n">
        <f aca="false">F802*$H$6</f>
        <v>1.44698414007076</v>
      </c>
      <c r="H802" s="48" t="n">
        <f aca="false">$H$7*G802</f>
        <v>11.0138888888889</v>
      </c>
      <c r="I802" s="49" t="n">
        <f aca="false">0.5*c_rho*'P3 Energie'!F8*'P3 Energie'!F7*(H802-c_Vv)^2+'P3 Energie'!F13+'P3 Energie'!F15+'P3 Energie'!F6*$H$7</f>
        <v>19080.3993888076</v>
      </c>
      <c r="J802" s="50" t="n">
        <f aca="false">I802*H802</f>
        <v>210149.398823951</v>
      </c>
    </row>
    <row r="803" customFormat="false" ht="15" hidden="false" customHeight="false" outlineLevel="0" collapsed="false">
      <c r="A803" s="46" t="n">
        <v>794</v>
      </c>
      <c r="B803" s="47" t="n">
        <f aca="false">A803*$C$6</f>
        <v>1.45300403198173</v>
      </c>
      <c r="C803" s="48" t="n">
        <f aca="false">$C$7*B803</f>
        <v>11.0277777777778</v>
      </c>
      <c r="D803" s="49" t="n">
        <f aca="false">0.5*c_rho*'P3 Energie'!E8*'P3 Energie'!E7*(C803-c_Vv)^2+'P3 Energie'!E13+'P3 Energie'!E15+'P3 Energie'!E6*$C$7</f>
        <v>18228.6859980801</v>
      </c>
      <c r="E803" s="50" t="n">
        <f aca="false">D803*C803</f>
        <v>201021.898367717</v>
      </c>
      <c r="F803" s="46" t="n">
        <v>794</v>
      </c>
      <c r="G803" s="47" t="n">
        <f aca="false">F803*$H$6</f>
        <v>1.44880883633819</v>
      </c>
      <c r="H803" s="48" t="n">
        <f aca="false">$H$7*G803</f>
        <v>11.0277777777778</v>
      </c>
      <c r="I803" s="49" t="n">
        <f aca="false">0.5*c_rho*'P3 Energie'!F8*'P3 Energie'!F7*(H803-c_Vv)^2+'P3 Energie'!F13+'P3 Energie'!F15+'P3 Energie'!F6*$H$7</f>
        <v>19080.5056300083</v>
      </c>
      <c r="J803" s="50" t="n">
        <f aca="false">I803*H803</f>
        <v>210415.57597537</v>
      </c>
    </row>
    <row r="804" customFormat="false" ht="15" hidden="false" customHeight="false" outlineLevel="0" collapsed="false">
      <c r="A804" s="46" t="n">
        <v>795</v>
      </c>
      <c r="B804" s="47" t="n">
        <f aca="false">A804*$C$6</f>
        <v>1.45483401187087</v>
      </c>
      <c r="C804" s="48" t="n">
        <f aca="false">$C$7*B804</f>
        <v>11.0416666666667</v>
      </c>
      <c r="D804" s="49" t="n">
        <f aca="false">0.5*c_rho*'P3 Energie'!E8*'P3 Energie'!E7*(C804-c_Vv)^2+'P3 Energie'!E13+'P3 Energie'!E15+'P3 Energie'!E6*$C$7</f>
        <v>18228.8084340649</v>
      </c>
      <c r="E804" s="50" t="n">
        <f aca="false">D804*C804</f>
        <v>201276.426459466</v>
      </c>
      <c r="F804" s="46" t="n">
        <v>795</v>
      </c>
      <c r="G804" s="47" t="n">
        <f aca="false">F804*$H$6</f>
        <v>1.45063353260562</v>
      </c>
      <c r="H804" s="48" t="n">
        <f aca="false">$H$7*G804</f>
        <v>11.0416666666667</v>
      </c>
      <c r="I804" s="49" t="n">
        <f aca="false">0.5*c_rho*'P3 Energie'!F8*'P3 Energie'!F7*(H804-c_Vv)^2+'P3 Energie'!F13+'P3 Energie'!F15+'P3 Energie'!F6*$H$7</f>
        <v>19080.6120050984</v>
      </c>
      <c r="J804" s="50" t="n">
        <f aca="false">I804*H804</f>
        <v>210681.757556295</v>
      </c>
    </row>
    <row r="805" customFormat="false" ht="15" hidden="false" customHeight="false" outlineLevel="0" collapsed="false">
      <c r="A805" s="46" t="n">
        <v>796</v>
      </c>
      <c r="B805" s="47" t="n">
        <f aca="false">A805*$C$6</f>
        <v>1.45666399176002</v>
      </c>
      <c r="C805" s="48" t="n">
        <f aca="false">$C$7*B805</f>
        <v>11.0555555555556</v>
      </c>
      <c r="D805" s="49" t="n">
        <f aca="false">0.5*c_rho*'P3 Energie'!E8*'P3 Energie'!E7*(C805-c_Vv)^2+'P3 Energie'!E13+'P3 Energie'!E15+'P3 Energie'!E6*$C$7</f>
        <v>18228.9310241541</v>
      </c>
      <c r="E805" s="50" t="n">
        <f aca="false">D805*C805</f>
        <v>201530.959655926</v>
      </c>
      <c r="F805" s="46" t="n">
        <v>796</v>
      </c>
      <c r="G805" s="47" t="n">
        <f aca="false">F805*$H$6</f>
        <v>1.45245822887305</v>
      </c>
      <c r="H805" s="48" t="n">
        <f aca="false">$H$7*G805</f>
        <v>11.0555555555556</v>
      </c>
      <c r="I805" s="49" t="n">
        <f aca="false">0.5*c_rho*'P3 Energie'!F8*'P3 Energie'!F7*(H805-c_Vv)^2+'P3 Energie'!F13+'P3 Energie'!F15+'P3 Energie'!F6*$H$7</f>
        <v>19080.7185140778</v>
      </c>
      <c r="J805" s="50" t="n">
        <f aca="false">I805*H805</f>
        <v>210947.943572304</v>
      </c>
    </row>
    <row r="806" customFormat="false" ht="15" hidden="false" customHeight="false" outlineLevel="0" collapsed="false">
      <c r="A806" s="46" t="n">
        <v>797</v>
      </c>
      <c r="B806" s="47" t="n">
        <f aca="false">A806*$C$6</f>
        <v>1.45849397164916</v>
      </c>
      <c r="C806" s="48" t="n">
        <f aca="false">$C$7*B806</f>
        <v>11.0694444444444</v>
      </c>
      <c r="D806" s="49" t="n">
        <f aca="false">0.5*c_rho*'P3 Energie'!E8*'P3 Energie'!E7*(C806-c_Vv)^2+'P3 Energie'!E13+'P3 Energie'!E15+'P3 Energie'!E6*$C$7</f>
        <v>18229.0537683478</v>
      </c>
      <c r="E806" s="50" t="n">
        <f aca="false">D806*C806</f>
        <v>201785.497963517</v>
      </c>
      <c r="F806" s="46" t="n">
        <v>797</v>
      </c>
      <c r="G806" s="47" t="n">
        <f aca="false">F806*$H$6</f>
        <v>1.45428292514048</v>
      </c>
      <c r="H806" s="48" t="n">
        <f aca="false">$H$7*G806</f>
        <v>11.0694444444444</v>
      </c>
      <c r="I806" s="49" t="n">
        <f aca="false">0.5*c_rho*'P3 Energie'!F8*'P3 Energie'!F7*(H806-c_Vv)^2+'P3 Energie'!F13+'P3 Energie'!F15+'P3 Energie'!F6*$H$7</f>
        <v>19080.8251569465</v>
      </c>
      <c r="J806" s="50" t="n">
        <f aca="false">I806*H806</f>
        <v>211214.134028978</v>
      </c>
    </row>
    <row r="807" customFormat="false" ht="15" hidden="false" customHeight="false" outlineLevel="0" collapsed="false">
      <c r="A807" s="46" t="n">
        <v>798</v>
      </c>
      <c r="B807" s="47" t="n">
        <f aca="false">A807*$C$6</f>
        <v>1.46032395153831</v>
      </c>
      <c r="C807" s="48" t="n">
        <f aca="false">$C$7*B807</f>
        <v>11.0833333333333</v>
      </c>
      <c r="D807" s="49" t="n">
        <f aca="false">0.5*c_rho*'P3 Energie'!E8*'P3 Energie'!E7*(C807-c_Vv)^2+'P3 Energie'!E13+'P3 Energie'!E15+'P3 Energie'!E6*$C$7</f>
        <v>18229.1766666459</v>
      </c>
      <c r="E807" s="50" t="n">
        <f aca="false">D807*C807</f>
        <v>202040.041388659</v>
      </c>
      <c r="F807" s="46" t="n">
        <v>798</v>
      </c>
      <c r="G807" s="47" t="n">
        <f aca="false">F807*$H$6</f>
        <v>1.45610762140791</v>
      </c>
      <c r="H807" s="48" t="n">
        <f aca="false">$H$7*G807</f>
        <v>11.0833333333333</v>
      </c>
      <c r="I807" s="49" t="n">
        <f aca="false">0.5*c_rho*'P3 Energie'!F8*'P3 Energie'!F7*(H807-c_Vv)^2+'P3 Energie'!F13+'P3 Energie'!F15+'P3 Energie'!F6*$H$7</f>
        <v>19080.9319337046</v>
      </c>
      <c r="J807" s="50" t="n">
        <f aca="false">I807*H807</f>
        <v>211480.328931893</v>
      </c>
    </row>
    <row r="808" customFormat="false" ht="15" hidden="false" customHeight="false" outlineLevel="0" collapsed="false">
      <c r="A808" s="46" t="n">
        <v>799</v>
      </c>
      <c r="B808" s="47" t="n">
        <f aca="false">A808*$C$6</f>
        <v>1.46215393142745</v>
      </c>
      <c r="C808" s="48" t="n">
        <f aca="false">$C$7*B808</f>
        <v>11.0972222222222</v>
      </c>
      <c r="D808" s="49" t="n">
        <f aca="false">0.5*c_rho*'P3 Energie'!E8*'P3 Energie'!E7*(C808-c_Vv)^2+'P3 Energie'!E13+'P3 Energie'!E15+'P3 Energie'!E6*$C$7</f>
        <v>18229.2997190485</v>
      </c>
      <c r="E808" s="50" t="n">
        <f aca="false">D808*C808</f>
        <v>202294.589937775</v>
      </c>
      <c r="F808" s="46" t="n">
        <v>799</v>
      </c>
      <c r="G808" s="47" t="n">
        <f aca="false">F808*$H$6</f>
        <v>1.45793231767533</v>
      </c>
      <c r="H808" s="48" t="n">
        <f aca="false">$H$7*G808</f>
        <v>11.0972222222222</v>
      </c>
      <c r="I808" s="49" t="n">
        <f aca="false">0.5*c_rho*'P3 Energie'!F8*'P3 Energie'!F7*(H808-c_Vv)^2+'P3 Energie'!F13+'P3 Energie'!F15+'P3 Energie'!F6*$H$7</f>
        <v>19081.0388443521</v>
      </c>
      <c r="J808" s="50" t="n">
        <f aca="false">I808*H808</f>
        <v>211746.528286629</v>
      </c>
    </row>
    <row r="809" customFormat="false" ht="15" hidden="false" customHeight="false" outlineLevel="0" collapsed="false">
      <c r="A809" s="46" t="n">
        <v>800</v>
      </c>
      <c r="B809" s="47" t="n">
        <f aca="false">A809*$C$6</f>
        <v>1.4639839113166</v>
      </c>
      <c r="C809" s="48" t="n">
        <f aca="false">$C$7*B809</f>
        <v>11.1111111111111</v>
      </c>
      <c r="D809" s="49" t="n">
        <f aca="false">0.5*c_rho*'P3 Energie'!E8*'P3 Energie'!E7*(C809-c_Vv)^2+'P3 Energie'!E13+'P3 Energie'!E15+'P3 Energie'!E6*$C$7</f>
        <v>18229.4229255556</v>
      </c>
      <c r="E809" s="50" t="n">
        <f aca="false">D809*C809</f>
        <v>202549.143617284</v>
      </c>
      <c r="F809" s="46" t="n">
        <v>800</v>
      </c>
      <c r="G809" s="47" t="n">
        <f aca="false">F809*$H$6</f>
        <v>1.45975701394276</v>
      </c>
      <c r="H809" s="48" t="n">
        <f aca="false">$H$7*G809</f>
        <v>11.1111111111111</v>
      </c>
      <c r="I809" s="49" t="n">
        <f aca="false">0.5*c_rho*'P3 Energie'!F8*'P3 Energie'!F7*(H809-c_Vv)^2+'P3 Energie'!F13+'P3 Energie'!F15+'P3 Energie'!F6*$H$7</f>
        <v>19081.1458888889</v>
      </c>
      <c r="J809" s="50" t="n">
        <f aca="false">I809*H809</f>
        <v>212012.732098765</v>
      </c>
    </row>
    <row r="810" customFormat="false" ht="15" hidden="false" customHeight="false" outlineLevel="0" collapsed="false">
      <c r="A810" s="46" t="n">
        <v>801</v>
      </c>
      <c r="B810" s="47" t="n">
        <f aca="false">A810*$C$6</f>
        <v>1.46581389120575</v>
      </c>
      <c r="C810" s="48" t="n">
        <f aca="false">$C$7*B810</f>
        <v>11.125</v>
      </c>
      <c r="D810" s="49" t="n">
        <f aca="false">0.5*c_rho*'P3 Energie'!E8*'P3 Energie'!E7*(C810-c_Vv)^2+'P3 Energie'!E13+'P3 Energie'!E15+'P3 Energie'!E6*$C$7</f>
        <v>18229.546286167</v>
      </c>
      <c r="E810" s="50" t="n">
        <f aca="false">D810*C810</f>
        <v>202803.702433608</v>
      </c>
      <c r="F810" s="46" t="n">
        <v>801</v>
      </c>
      <c r="G810" s="47" t="n">
        <f aca="false">F810*$H$6</f>
        <v>1.46158171021019</v>
      </c>
      <c r="H810" s="48" t="n">
        <f aca="false">$H$7*G810</f>
        <v>11.125</v>
      </c>
      <c r="I810" s="49" t="n">
        <f aca="false">0.5*c_rho*'P3 Energie'!F8*'P3 Energie'!F7*(H810-c_Vv)^2+'P3 Energie'!F13+'P3 Energie'!F15+'P3 Energie'!F6*$H$7</f>
        <v>19081.253067315</v>
      </c>
      <c r="J810" s="50" t="n">
        <f aca="false">I810*H810</f>
        <v>212278.94037388</v>
      </c>
    </row>
    <row r="811" customFormat="false" ht="15" hidden="false" customHeight="false" outlineLevel="0" collapsed="false">
      <c r="A811" s="46" t="n">
        <v>802</v>
      </c>
      <c r="B811" s="47" t="n">
        <f aca="false">A811*$C$6</f>
        <v>1.46764387109489</v>
      </c>
      <c r="C811" s="48" t="n">
        <f aca="false">$C$7*B811</f>
        <v>11.1388888888889</v>
      </c>
      <c r="D811" s="49" t="n">
        <f aca="false">0.5*c_rho*'P3 Energie'!E8*'P3 Energie'!E7*(C811-c_Vv)^2+'P3 Energie'!E13+'P3 Energie'!E15+'P3 Energie'!E6*$C$7</f>
        <v>18229.669800883</v>
      </c>
      <c r="E811" s="50" t="n">
        <f aca="false">D811*C811</f>
        <v>203058.266393169</v>
      </c>
      <c r="F811" s="46" t="n">
        <v>802</v>
      </c>
      <c r="G811" s="47" t="n">
        <f aca="false">F811*$H$6</f>
        <v>1.46340640647762</v>
      </c>
      <c r="H811" s="48" t="n">
        <f aca="false">$H$7*G811</f>
        <v>11.1388888888889</v>
      </c>
      <c r="I811" s="49" t="n">
        <f aca="false">0.5*c_rho*'P3 Energie'!F8*'P3 Energie'!F7*(H811-c_Vv)^2+'P3 Energie'!F13+'P3 Energie'!F15+'P3 Energie'!F6*$H$7</f>
        <v>19081.3603796306</v>
      </c>
      <c r="J811" s="50" t="n">
        <f aca="false">I811*H811</f>
        <v>212545.153117552</v>
      </c>
    </row>
    <row r="812" customFormat="false" ht="15" hidden="false" customHeight="false" outlineLevel="0" collapsed="false">
      <c r="A812" s="46" t="n">
        <v>803</v>
      </c>
      <c r="B812" s="47" t="n">
        <f aca="false">A812*$C$6</f>
        <v>1.46947385098404</v>
      </c>
      <c r="C812" s="48" t="n">
        <f aca="false">$C$7*B812</f>
        <v>11.1527777777778</v>
      </c>
      <c r="D812" s="49" t="n">
        <f aca="false">0.5*c_rho*'P3 Energie'!E8*'P3 Energie'!E7*(C812-c_Vv)^2+'P3 Energie'!E13+'P3 Energie'!E15+'P3 Energie'!E6*$C$7</f>
        <v>18229.7934697034</v>
      </c>
      <c r="E812" s="50" t="n">
        <f aca="false">D812*C812</f>
        <v>203312.835502386</v>
      </c>
      <c r="F812" s="46" t="n">
        <v>803</v>
      </c>
      <c r="G812" s="47" t="n">
        <f aca="false">F812*$H$6</f>
        <v>1.46523110274505</v>
      </c>
      <c r="H812" s="48" t="n">
        <f aca="false">$H$7*G812</f>
        <v>11.1527777777778</v>
      </c>
      <c r="I812" s="49" t="n">
        <f aca="false">0.5*c_rho*'P3 Energie'!F8*'P3 Energie'!F7*(H812-c_Vv)^2+'P3 Energie'!F13+'P3 Energie'!F15+'P3 Energie'!F6*$H$7</f>
        <v>19081.4678258354</v>
      </c>
      <c r="J812" s="50" t="n">
        <f aca="false">I812*H812</f>
        <v>212811.370335359</v>
      </c>
    </row>
    <row r="813" customFormat="false" ht="15" hidden="false" customHeight="false" outlineLevel="0" collapsed="false">
      <c r="A813" s="46" t="n">
        <v>804</v>
      </c>
      <c r="B813" s="47" t="n">
        <f aca="false">A813*$C$6</f>
        <v>1.47130383087318</v>
      </c>
      <c r="C813" s="48" t="n">
        <f aca="false">$C$7*B813</f>
        <v>11.1666666666667</v>
      </c>
      <c r="D813" s="49" t="n">
        <f aca="false">0.5*c_rho*'P3 Energie'!E8*'P3 Energie'!E7*(C813-c_Vv)^2+'P3 Energie'!E13+'P3 Energie'!E15+'P3 Energie'!E6*$C$7</f>
        <v>18229.9172926282</v>
      </c>
      <c r="E813" s="50" t="n">
        <f aca="false">D813*C813</f>
        <v>203567.409767681</v>
      </c>
      <c r="F813" s="46" t="n">
        <v>804</v>
      </c>
      <c r="G813" s="47" t="n">
        <f aca="false">F813*$H$6</f>
        <v>1.46705579901248</v>
      </c>
      <c r="H813" s="48" t="n">
        <f aca="false">$H$7*G813</f>
        <v>11.1666666666667</v>
      </c>
      <c r="I813" s="49" t="n">
        <f aca="false">0.5*c_rho*'P3 Energie'!F8*'P3 Energie'!F7*(H813-c_Vv)^2+'P3 Energie'!F13+'P3 Energie'!F15+'P3 Energie'!F6*$H$7</f>
        <v>19081.5754059296</v>
      </c>
      <c r="J813" s="50" t="n">
        <f aca="false">I813*H813</f>
        <v>213077.592032881</v>
      </c>
    </row>
    <row r="814" customFormat="false" ht="15" hidden="false" customHeight="false" outlineLevel="0" collapsed="false">
      <c r="A814" s="46" t="n">
        <v>805</v>
      </c>
      <c r="B814" s="47" t="n">
        <f aca="false">A814*$C$6</f>
        <v>1.47313381076233</v>
      </c>
      <c r="C814" s="48" t="n">
        <f aca="false">$C$7*B814</f>
        <v>11.1805555555556</v>
      </c>
      <c r="D814" s="49" t="n">
        <f aca="false">0.5*c_rho*'P3 Energie'!E8*'P3 Energie'!E7*(C814-c_Vv)^2+'P3 Energie'!E13+'P3 Energie'!E15+'P3 Energie'!E6*$C$7</f>
        <v>18230.0412696575</v>
      </c>
      <c r="E814" s="50" t="n">
        <f aca="false">D814*C814</f>
        <v>203821.989195476</v>
      </c>
      <c r="F814" s="46" t="n">
        <v>805</v>
      </c>
      <c r="G814" s="47" t="n">
        <f aca="false">F814*$H$6</f>
        <v>1.46888049527991</v>
      </c>
      <c r="H814" s="48" t="n">
        <f aca="false">$H$7*G814</f>
        <v>11.1805555555556</v>
      </c>
      <c r="I814" s="49" t="n">
        <f aca="false">0.5*c_rho*'P3 Energie'!F8*'P3 Energie'!F7*(H814-c_Vv)^2+'P3 Energie'!F13+'P3 Energie'!F15+'P3 Energie'!F6*$H$7</f>
        <v>19081.6831199132</v>
      </c>
      <c r="J814" s="50" t="n">
        <f aca="false">I814*H814</f>
        <v>213343.818215696</v>
      </c>
    </row>
    <row r="815" customFormat="false" ht="15" hidden="false" customHeight="false" outlineLevel="0" collapsed="false">
      <c r="A815" s="46" t="n">
        <v>806</v>
      </c>
      <c r="B815" s="47" t="n">
        <f aca="false">A815*$C$6</f>
        <v>1.47496379065147</v>
      </c>
      <c r="C815" s="48" t="n">
        <f aca="false">$C$7*B815</f>
        <v>11.1944444444444</v>
      </c>
      <c r="D815" s="49" t="n">
        <f aca="false">0.5*c_rho*'P3 Energie'!E8*'P3 Energie'!E7*(C815-c_Vv)^2+'P3 Energie'!E13+'P3 Energie'!E15+'P3 Energie'!E6*$C$7</f>
        <v>18230.1654007912</v>
      </c>
      <c r="E815" s="50" t="n">
        <f aca="false">D815*C815</f>
        <v>204076.57379219</v>
      </c>
      <c r="F815" s="46" t="n">
        <v>806</v>
      </c>
      <c r="G815" s="47" t="n">
        <f aca="false">F815*$H$6</f>
        <v>1.47070519154733</v>
      </c>
      <c r="H815" s="48" t="n">
        <f aca="false">$H$7*G815</f>
        <v>11.1944444444444</v>
      </c>
      <c r="I815" s="49" t="n">
        <f aca="false">0.5*c_rho*'P3 Energie'!F8*'P3 Energie'!F7*(H815-c_Vv)^2+'P3 Energie'!F13+'P3 Energie'!F15+'P3 Energie'!F6*$H$7</f>
        <v>19081.7909677861</v>
      </c>
      <c r="J815" s="50" t="n">
        <f aca="false">I815*H815</f>
        <v>213610.048889383</v>
      </c>
    </row>
    <row r="816" customFormat="false" ht="15" hidden="false" customHeight="false" outlineLevel="0" collapsed="false">
      <c r="A816" s="46" t="n">
        <v>807</v>
      </c>
      <c r="B816" s="47" t="n">
        <f aca="false">A816*$C$6</f>
        <v>1.47679377054062</v>
      </c>
      <c r="C816" s="48" t="n">
        <f aca="false">$C$7*B816</f>
        <v>11.2083333333333</v>
      </c>
      <c r="D816" s="49" t="n">
        <f aca="false">0.5*c_rho*'P3 Energie'!E8*'P3 Energie'!E7*(C816-c_Vv)^2+'P3 Energie'!E13+'P3 Energie'!E15+'P3 Energie'!E6*$C$7</f>
        <v>18230.2896860294</v>
      </c>
      <c r="E816" s="50" t="n">
        <f aca="false">D816*C816</f>
        <v>204331.163564246</v>
      </c>
      <c r="F816" s="46" t="n">
        <v>807</v>
      </c>
      <c r="G816" s="47" t="n">
        <f aca="false">F816*$H$6</f>
        <v>1.47252988781476</v>
      </c>
      <c r="H816" s="48" t="n">
        <f aca="false">$H$7*G816</f>
        <v>11.2083333333333</v>
      </c>
      <c r="I816" s="49" t="n">
        <f aca="false">0.5*c_rho*'P3 Energie'!F8*'P3 Energie'!F7*(H816-c_Vv)^2+'P3 Energie'!F13+'P3 Energie'!F15+'P3 Energie'!F6*$H$7</f>
        <v>19081.8989495484</v>
      </c>
      <c r="J816" s="50" t="n">
        <f aca="false">I816*H816</f>
        <v>213876.284059521</v>
      </c>
    </row>
    <row r="817" customFormat="false" ht="15" hidden="false" customHeight="false" outlineLevel="0" collapsed="false">
      <c r="A817" s="46" t="n">
        <v>808</v>
      </c>
      <c r="B817" s="47" t="n">
        <f aca="false">A817*$C$6</f>
        <v>1.47862375042977</v>
      </c>
      <c r="C817" s="48" t="n">
        <f aca="false">$C$7*B817</f>
        <v>11.2222222222222</v>
      </c>
      <c r="D817" s="49" t="n">
        <f aca="false">0.5*c_rho*'P3 Energie'!E8*'P3 Energie'!E7*(C817-c_Vv)^2+'P3 Energie'!E13+'P3 Energie'!E15+'P3 Energie'!E6*$C$7</f>
        <v>18230.414125372</v>
      </c>
      <c r="E817" s="50" t="n">
        <f aca="false">D817*C817</f>
        <v>204585.758518064</v>
      </c>
      <c r="F817" s="46" t="n">
        <v>808</v>
      </c>
      <c r="G817" s="47" t="n">
        <f aca="false">F817*$H$6</f>
        <v>1.47435458408219</v>
      </c>
      <c r="H817" s="48" t="n">
        <f aca="false">$H$7*G817</f>
        <v>11.2222222222222</v>
      </c>
      <c r="I817" s="49" t="n">
        <f aca="false">0.5*c_rho*'P3 Energie'!F8*'P3 Energie'!F7*(H817-c_Vv)^2+'P3 Energie'!F13+'P3 Energie'!F15+'P3 Energie'!F6*$H$7</f>
        <v>19082.0070652</v>
      </c>
      <c r="J817" s="50" t="n">
        <f aca="false">I817*H817</f>
        <v>214142.523731689</v>
      </c>
    </row>
    <row r="818" customFormat="false" ht="15" hidden="false" customHeight="false" outlineLevel="0" collapsed="false">
      <c r="A818" s="46" t="n">
        <v>809</v>
      </c>
      <c r="B818" s="47" t="n">
        <f aca="false">A818*$C$6</f>
        <v>1.48045373031891</v>
      </c>
      <c r="C818" s="48" t="n">
        <f aca="false">$C$7*B818</f>
        <v>11.2361111111111</v>
      </c>
      <c r="D818" s="49" t="n">
        <f aca="false">0.5*c_rho*'P3 Energie'!E8*'P3 Energie'!E7*(C818-c_Vv)^2+'P3 Energie'!E13+'P3 Energie'!E15+'P3 Energie'!E6*$C$7</f>
        <v>18230.5387188191</v>
      </c>
      <c r="E818" s="50" t="n">
        <f aca="false">D818*C818</f>
        <v>204840.358660064</v>
      </c>
      <c r="F818" s="46" t="n">
        <v>809</v>
      </c>
      <c r="G818" s="47" t="n">
        <f aca="false">F818*$H$6</f>
        <v>1.47617928034962</v>
      </c>
      <c r="H818" s="48" t="n">
        <f aca="false">$H$7*G818</f>
        <v>11.2361111111111</v>
      </c>
      <c r="I818" s="49" t="n">
        <f aca="false">0.5*c_rho*'P3 Energie'!F8*'P3 Energie'!F7*(H818-c_Vv)^2+'P3 Energie'!F13+'P3 Energie'!F15+'P3 Energie'!F6*$H$7</f>
        <v>19082.115314741</v>
      </c>
      <c r="J818" s="50" t="n">
        <f aca="false">I818*H818</f>
        <v>214408.767911465</v>
      </c>
    </row>
    <row r="819" customFormat="false" ht="15" hidden="false" customHeight="false" outlineLevel="0" collapsed="false">
      <c r="A819" s="46" t="n">
        <v>810</v>
      </c>
      <c r="B819" s="47" t="n">
        <f aca="false">A819*$C$6</f>
        <v>1.48228371020806</v>
      </c>
      <c r="C819" s="48" t="n">
        <f aca="false">$C$7*B819</f>
        <v>11.25</v>
      </c>
      <c r="D819" s="49" t="n">
        <f aca="false">0.5*c_rho*'P3 Energie'!E8*'P3 Energie'!E7*(C819-c_Vv)^2+'P3 Energie'!E13+'P3 Energie'!E15+'P3 Energie'!E6*$C$7</f>
        <v>18230.6634663706</v>
      </c>
      <c r="E819" s="50" t="n">
        <f aca="false">D819*C819</f>
        <v>205094.963996669</v>
      </c>
      <c r="F819" s="46" t="n">
        <v>810</v>
      </c>
      <c r="G819" s="47" t="n">
        <f aca="false">F819*$H$6</f>
        <v>1.47800397661705</v>
      </c>
      <c r="H819" s="48" t="n">
        <f aca="false">$H$7*G819</f>
        <v>11.25</v>
      </c>
      <c r="I819" s="49" t="n">
        <f aca="false">0.5*c_rho*'P3 Energie'!F8*'P3 Energie'!F7*(H819-c_Vv)^2+'P3 Energie'!F13+'P3 Energie'!F15+'P3 Energie'!F6*$H$7</f>
        <v>19082.2236981713</v>
      </c>
      <c r="J819" s="50" t="n">
        <f aca="false">I819*H819</f>
        <v>214675.016604427</v>
      </c>
    </row>
    <row r="820" customFormat="false" ht="15" hidden="false" customHeight="false" outlineLevel="0" collapsed="false">
      <c r="A820" s="46" t="n">
        <v>811</v>
      </c>
      <c r="B820" s="47" t="n">
        <f aca="false">A820*$C$6</f>
        <v>1.4841136900972</v>
      </c>
      <c r="C820" s="48" t="n">
        <f aca="false">$C$7*B820</f>
        <v>11.2638888888889</v>
      </c>
      <c r="D820" s="49" t="n">
        <f aca="false">0.5*c_rho*'P3 Energie'!E8*'P3 Energie'!E7*(C820-c_Vv)^2+'P3 Energie'!E13+'P3 Energie'!E15+'P3 Energie'!E6*$C$7</f>
        <v>18230.7883680266</v>
      </c>
      <c r="E820" s="50" t="n">
        <f aca="false">D820*C820</f>
        <v>205349.574534299</v>
      </c>
      <c r="F820" s="46" t="n">
        <v>811</v>
      </c>
      <c r="G820" s="47" t="n">
        <f aca="false">F820*$H$6</f>
        <v>1.47982867288448</v>
      </c>
      <c r="H820" s="48" t="n">
        <f aca="false">$H$7*G820</f>
        <v>11.2638888888889</v>
      </c>
      <c r="I820" s="49" t="n">
        <f aca="false">0.5*c_rho*'P3 Energie'!F8*'P3 Energie'!F7*(H820-c_Vv)^2+'P3 Energie'!F13+'P3 Energie'!F15+'P3 Energie'!F6*$H$7</f>
        <v>19082.332215491</v>
      </c>
      <c r="J820" s="50" t="n">
        <f aca="false">I820*H820</f>
        <v>214941.269816155</v>
      </c>
    </row>
    <row r="821" customFormat="false" ht="15" hidden="false" customHeight="false" outlineLevel="0" collapsed="false">
      <c r="A821" s="46" t="n">
        <v>812</v>
      </c>
      <c r="B821" s="47" t="n">
        <f aca="false">A821*$C$6</f>
        <v>1.48594366998635</v>
      </c>
      <c r="C821" s="48" t="n">
        <f aca="false">$C$7*B821</f>
        <v>11.2777777777778</v>
      </c>
      <c r="D821" s="49" t="n">
        <f aca="false">0.5*c_rho*'P3 Energie'!E8*'P3 Energie'!E7*(C821-c_Vv)^2+'P3 Energie'!E13+'P3 Energie'!E15+'P3 Energie'!E6*$C$7</f>
        <v>18230.913423787</v>
      </c>
      <c r="E821" s="50" t="n">
        <f aca="false">D821*C821</f>
        <v>205604.190279376</v>
      </c>
      <c r="F821" s="46" t="n">
        <v>812</v>
      </c>
      <c r="G821" s="47" t="n">
        <f aca="false">F821*$H$6</f>
        <v>1.4816533691519</v>
      </c>
      <c r="H821" s="48" t="n">
        <f aca="false">$H$7*G821</f>
        <v>11.2777777777778</v>
      </c>
      <c r="I821" s="49" t="n">
        <f aca="false">0.5*c_rho*'P3 Energie'!F8*'P3 Energie'!F7*(H821-c_Vv)^2+'P3 Energie'!F13+'P3 Energie'!F15+'P3 Energie'!F6*$H$7</f>
        <v>19082.4408667</v>
      </c>
      <c r="J821" s="50" t="n">
        <f aca="false">I821*H821</f>
        <v>215207.527552228</v>
      </c>
    </row>
    <row r="822" customFormat="false" ht="15" hidden="false" customHeight="false" outlineLevel="0" collapsed="false">
      <c r="A822" s="46" t="n">
        <v>813</v>
      </c>
      <c r="B822" s="47" t="n">
        <f aca="false">A822*$C$6</f>
        <v>1.48777364987549</v>
      </c>
      <c r="C822" s="48" t="n">
        <f aca="false">$C$7*B822</f>
        <v>11.2916666666667</v>
      </c>
      <c r="D822" s="49" t="n">
        <f aca="false">0.5*c_rho*'P3 Energie'!E8*'P3 Energie'!E7*(C822-c_Vv)^2+'P3 Energie'!E13+'P3 Energie'!E15+'P3 Energie'!E6*$C$7</f>
        <v>18231.0386336519</v>
      </c>
      <c r="E822" s="50" t="n">
        <f aca="false">D822*C822</f>
        <v>205858.811238319</v>
      </c>
      <c r="F822" s="46" t="n">
        <v>813</v>
      </c>
      <c r="G822" s="47" t="n">
        <f aca="false">F822*$H$6</f>
        <v>1.48347806541933</v>
      </c>
      <c r="H822" s="48" t="n">
        <f aca="false">$H$7*G822</f>
        <v>11.2916666666667</v>
      </c>
      <c r="I822" s="49" t="n">
        <f aca="false">0.5*c_rho*'P3 Energie'!F8*'P3 Energie'!F7*(H822-c_Vv)^2+'P3 Energie'!F13+'P3 Energie'!F15+'P3 Energie'!F6*$H$7</f>
        <v>19082.5496517984</v>
      </c>
      <c r="J822" s="50" t="n">
        <f aca="false">I822*H822</f>
        <v>215473.789818223</v>
      </c>
    </row>
    <row r="823" customFormat="false" ht="15" hidden="false" customHeight="false" outlineLevel="0" collapsed="false">
      <c r="A823" s="46" t="n">
        <v>814</v>
      </c>
      <c r="B823" s="47" t="n">
        <f aca="false">A823*$C$6</f>
        <v>1.48960362976464</v>
      </c>
      <c r="C823" s="48" t="n">
        <f aca="false">$C$7*B823</f>
        <v>11.3055555555556</v>
      </c>
      <c r="D823" s="49" t="n">
        <f aca="false">0.5*c_rho*'P3 Energie'!E8*'P3 Energie'!E7*(C823-c_Vv)^2+'P3 Energie'!E13+'P3 Energie'!E15+'P3 Energie'!E6*$C$7</f>
        <v>18231.1639976212</v>
      </c>
      <c r="E823" s="50" t="n">
        <f aca="false">D823*C823</f>
        <v>206113.437417551</v>
      </c>
      <c r="F823" s="46" t="n">
        <v>814</v>
      </c>
      <c r="G823" s="47" t="n">
        <f aca="false">F823*$H$6</f>
        <v>1.48530276168676</v>
      </c>
      <c r="H823" s="48" t="n">
        <f aca="false">$H$7*G823</f>
        <v>11.3055555555556</v>
      </c>
      <c r="I823" s="49" t="n">
        <f aca="false">0.5*c_rho*'P3 Energie'!F8*'P3 Energie'!F7*(H823-c_Vv)^2+'P3 Energie'!F13+'P3 Energie'!F15+'P3 Energie'!F6*$H$7</f>
        <v>19082.6585707861</v>
      </c>
      <c r="J823" s="50" t="n">
        <f aca="false">I823*H823</f>
        <v>215740.056619721</v>
      </c>
    </row>
    <row r="824" customFormat="false" ht="15" hidden="false" customHeight="false" outlineLevel="0" collapsed="false">
      <c r="A824" s="46" t="n">
        <v>815</v>
      </c>
      <c r="B824" s="47" t="n">
        <f aca="false">A824*$C$6</f>
        <v>1.49143360965379</v>
      </c>
      <c r="C824" s="48" t="n">
        <f aca="false">$C$7*B824</f>
        <v>11.3194444444444</v>
      </c>
      <c r="D824" s="49" t="n">
        <f aca="false">0.5*c_rho*'P3 Energie'!E8*'P3 Energie'!E7*(C824-c_Vv)^2+'P3 Energie'!E13+'P3 Energie'!E15+'P3 Energie'!E6*$C$7</f>
        <v>18231.289515695</v>
      </c>
      <c r="E824" s="50" t="n">
        <f aca="false">D824*C824</f>
        <v>206368.068823492</v>
      </c>
      <c r="F824" s="46" t="n">
        <v>815</v>
      </c>
      <c r="G824" s="47" t="n">
        <f aca="false">F824*$H$6</f>
        <v>1.48712745795419</v>
      </c>
      <c r="H824" s="48" t="n">
        <f aca="false">$H$7*G824</f>
        <v>11.3194444444444</v>
      </c>
      <c r="I824" s="49" t="n">
        <f aca="false">0.5*c_rho*'P3 Energie'!F8*'P3 Energie'!F7*(H824-c_Vv)^2+'P3 Energie'!F13+'P3 Energie'!F15+'P3 Energie'!F6*$H$7</f>
        <v>19082.7676236632</v>
      </c>
      <c r="J824" s="50" t="n">
        <f aca="false">I824*H824</f>
        <v>216006.327962299</v>
      </c>
    </row>
    <row r="825" customFormat="false" ht="15" hidden="false" customHeight="false" outlineLevel="0" collapsed="false">
      <c r="A825" s="46" t="n">
        <v>816</v>
      </c>
      <c r="B825" s="47" t="n">
        <f aca="false">A825*$C$6</f>
        <v>1.49326358954293</v>
      </c>
      <c r="C825" s="48" t="n">
        <f aca="false">$C$7*B825</f>
        <v>11.3333333333333</v>
      </c>
      <c r="D825" s="49" t="n">
        <f aca="false">0.5*c_rho*'P3 Energie'!E8*'P3 Energie'!E7*(C825-c_Vv)^2+'P3 Energie'!E13+'P3 Energie'!E15+'P3 Energie'!E6*$C$7</f>
        <v>18231.4151878732</v>
      </c>
      <c r="E825" s="50" t="n">
        <f aca="false">D825*C825</f>
        <v>206622.705462563</v>
      </c>
      <c r="F825" s="46" t="n">
        <v>816</v>
      </c>
      <c r="G825" s="47" t="n">
        <f aca="false">F825*$H$6</f>
        <v>1.48895215422162</v>
      </c>
      <c r="H825" s="48" t="n">
        <f aca="false">$H$7*G825</f>
        <v>11.3333333333333</v>
      </c>
      <c r="I825" s="49" t="n">
        <f aca="false">0.5*c_rho*'P3 Energie'!F8*'P3 Energie'!F7*(H825-c_Vv)^2+'P3 Energie'!F13+'P3 Energie'!F15+'P3 Energie'!F6*$H$7</f>
        <v>19082.8768104296</v>
      </c>
      <c r="J825" s="50" t="n">
        <f aca="false">I825*H825</f>
        <v>216272.603851536</v>
      </c>
    </row>
    <row r="826" customFormat="false" ht="15" hidden="false" customHeight="false" outlineLevel="0" collapsed="false">
      <c r="A826" s="46" t="n">
        <v>817</v>
      </c>
      <c r="B826" s="47" t="n">
        <f aca="false">A826*$C$6</f>
        <v>1.49509356943208</v>
      </c>
      <c r="C826" s="48" t="n">
        <f aca="false">$C$7*B826</f>
        <v>11.3472222222222</v>
      </c>
      <c r="D826" s="49" t="n">
        <f aca="false">0.5*c_rho*'P3 Energie'!E8*'P3 Energie'!E7*(C826-c_Vv)^2+'P3 Energie'!E13+'P3 Energie'!E15+'P3 Energie'!E6*$C$7</f>
        <v>18231.5410141559</v>
      </c>
      <c r="E826" s="50" t="n">
        <f aca="false">D826*C826</f>
        <v>206877.347341185</v>
      </c>
      <c r="F826" s="46" t="n">
        <v>817</v>
      </c>
      <c r="G826" s="47" t="n">
        <f aca="false">F826*$H$6</f>
        <v>1.49077685048905</v>
      </c>
      <c r="H826" s="48" t="n">
        <f aca="false">$H$7*G826</f>
        <v>11.3472222222222</v>
      </c>
      <c r="I826" s="49" t="n">
        <f aca="false">0.5*c_rho*'P3 Energie'!F8*'P3 Energie'!F7*(H826-c_Vv)^2+'P3 Energie'!F13+'P3 Energie'!F15+'P3 Energie'!F6*$H$7</f>
        <v>19082.9861310854</v>
      </c>
      <c r="J826" s="50" t="n">
        <f aca="false">I826*H826</f>
        <v>216538.884293011</v>
      </c>
    </row>
    <row r="827" customFormat="false" ht="15" hidden="false" customHeight="false" outlineLevel="0" collapsed="false">
      <c r="A827" s="46" t="n">
        <v>818</v>
      </c>
      <c r="B827" s="47" t="n">
        <f aca="false">A827*$C$6</f>
        <v>1.49692354932122</v>
      </c>
      <c r="C827" s="48" t="n">
        <f aca="false">$C$7*B827</f>
        <v>11.3611111111111</v>
      </c>
      <c r="D827" s="49" t="n">
        <f aca="false">0.5*c_rho*'P3 Energie'!E8*'P3 Energie'!E7*(C827-c_Vv)^2+'P3 Energie'!E13+'P3 Energie'!E15+'P3 Energie'!E6*$C$7</f>
        <v>18231.666994543</v>
      </c>
      <c r="E827" s="50" t="n">
        <f aca="false">D827*C827</f>
        <v>207131.99446578</v>
      </c>
      <c r="F827" s="46" t="n">
        <v>818</v>
      </c>
      <c r="G827" s="47" t="n">
        <f aca="false">F827*$H$6</f>
        <v>1.49260154675648</v>
      </c>
      <c r="H827" s="48" t="n">
        <f aca="false">$H$7*G827</f>
        <v>11.3611111111111</v>
      </c>
      <c r="I827" s="49" t="n">
        <f aca="false">0.5*c_rho*'P3 Energie'!F8*'P3 Energie'!F7*(H827-c_Vv)^2+'P3 Energie'!F13+'P3 Energie'!F15+'P3 Energie'!F6*$H$7</f>
        <v>19083.0955856306</v>
      </c>
      <c r="J827" s="50" t="n">
        <f aca="false">I827*H827</f>
        <v>216805.169292303</v>
      </c>
    </row>
    <row r="828" customFormat="false" ht="15" hidden="false" customHeight="false" outlineLevel="0" collapsed="false">
      <c r="A828" s="46" t="n">
        <v>819</v>
      </c>
      <c r="B828" s="47" t="n">
        <f aca="false">A828*$C$6</f>
        <v>1.49875352921037</v>
      </c>
      <c r="C828" s="48" t="n">
        <f aca="false">$C$7*B828</f>
        <v>11.375</v>
      </c>
      <c r="D828" s="49" t="n">
        <f aca="false">0.5*c_rho*'P3 Energie'!E8*'P3 Energie'!E7*(C828-c_Vv)^2+'P3 Energie'!E13+'P3 Energie'!E15+'P3 Energie'!E6*$C$7</f>
        <v>18231.7931290345</v>
      </c>
      <c r="E828" s="50" t="n">
        <f aca="false">D828*C828</f>
        <v>207386.646842768</v>
      </c>
      <c r="F828" s="46" t="n">
        <v>819</v>
      </c>
      <c r="G828" s="47" t="n">
        <f aca="false">F828*$H$6</f>
        <v>1.4944262430239</v>
      </c>
      <c r="H828" s="48" t="n">
        <f aca="false">$H$7*G828</f>
        <v>11.375</v>
      </c>
      <c r="I828" s="49" t="n">
        <f aca="false">0.5*c_rho*'P3 Energie'!F8*'P3 Energie'!F7*(H828-c_Vv)^2+'P3 Energie'!F13+'P3 Energie'!F15+'P3 Energie'!F6*$H$7</f>
        <v>19083.205174065</v>
      </c>
      <c r="J828" s="50" t="n">
        <f aca="false">I828*H828</f>
        <v>217071.45885499</v>
      </c>
    </row>
    <row r="829" customFormat="false" ht="15" hidden="false" customHeight="false" outlineLevel="0" collapsed="false">
      <c r="A829" s="46" t="n">
        <v>820</v>
      </c>
      <c r="B829" s="47" t="n">
        <f aca="false">A829*$C$6</f>
        <v>1.50058350909951</v>
      </c>
      <c r="C829" s="48" t="n">
        <f aca="false">$C$7*B829</f>
        <v>11.3888888888889</v>
      </c>
      <c r="D829" s="49" t="n">
        <f aca="false">0.5*c_rho*'P3 Energie'!E8*'P3 Energie'!E7*(C829-c_Vv)^2+'P3 Energie'!E13+'P3 Energie'!E15+'P3 Energie'!E6*$C$7</f>
        <v>18231.9194176306</v>
      </c>
      <c r="E829" s="50" t="n">
        <f aca="false">D829*C829</f>
        <v>207641.30447857</v>
      </c>
      <c r="F829" s="46" t="n">
        <v>820</v>
      </c>
      <c r="G829" s="47" t="n">
        <f aca="false">F829*$H$6</f>
        <v>1.49625093929133</v>
      </c>
      <c r="H829" s="48" t="n">
        <f aca="false">$H$7*G829</f>
        <v>11.3888888888889</v>
      </c>
      <c r="I829" s="49" t="n">
        <f aca="false">0.5*c_rho*'P3 Energie'!F8*'P3 Energie'!F7*(H829-c_Vv)^2+'P3 Energie'!F13+'P3 Energie'!F15+'P3 Energie'!F6*$H$7</f>
        <v>19083.3148963889</v>
      </c>
      <c r="J829" s="50" t="n">
        <f aca="false">I829*H829</f>
        <v>217337.752986651</v>
      </c>
    </row>
    <row r="830" customFormat="false" ht="15" hidden="false" customHeight="false" outlineLevel="0" collapsed="false">
      <c r="A830" s="46" t="n">
        <v>821</v>
      </c>
      <c r="B830" s="47" t="n">
        <f aca="false">A830*$C$6</f>
        <v>1.50241348898866</v>
      </c>
      <c r="C830" s="48" t="n">
        <f aca="false">$C$7*B830</f>
        <v>11.4027777777778</v>
      </c>
      <c r="D830" s="49" t="n">
        <f aca="false">0.5*c_rho*'P3 Energie'!E8*'P3 Energie'!E7*(C830-c_Vv)^2+'P3 Energie'!E13+'P3 Energie'!E15+'P3 Energie'!E6*$C$7</f>
        <v>18232.045860331</v>
      </c>
      <c r="E830" s="50" t="n">
        <f aca="false">D830*C830</f>
        <v>207895.967379608</v>
      </c>
      <c r="F830" s="46" t="n">
        <v>821</v>
      </c>
      <c r="G830" s="47" t="n">
        <f aca="false">F830*$H$6</f>
        <v>1.49807563555876</v>
      </c>
      <c r="H830" s="48" t="n">
        <f aca="false">$H$7*G830</f>
        <v>11.4027777777778</v>
      </c>
      <c r="I830" s="49" t="n">
        <f aca="false">0.5*c_rho*'P3 Energie'!F8*'P3 Energie'!F7*(H830-c_Vv)^2+'P3 Energie'!F13+'P3 Energie'!F15+'P3 Energie'!F6*$H$7</f>
        <v>19083.4247526021</v>
      </c>
      <c r="J830" s="50" t="n">
        <f aca="false">I830*H830</f>
        <v>217604.051692865</v>
      </c>
    </row>
    <row r="831" customFormat="false" ht="15" hidden="false" customHeight="false" outlineLevel="0" collapsed="false">
      <c r="A831" s="46" t="n">
        <v>822</v>
      </c>
      <c r="B831" s="47" t="n">
        <f aca="false">A831*$C$6</f>
        <v>1.50424346887781</v>
      </c>
      <c r="C831" s="48" t="n">
        <f aca="false">$C$7*B831</f>
        <v>11.4166666666667</v>
      </c>
      <c r="D831" s="49" t="n">
        <f aca="false">0.5*c_rho*'P3 Energie'!E8*'P3 Energie'!E7*(C831-c_Vv)^2+'P3 Energie'!E13+'P3 Energie'!E15+'P3 Energie'!E6*$C$7</f>
        <v>18232.1724571359</v>
      </c>
      <c r="E831" s="50" t="n">
        <f aca="false">D831*C831</f>
        <v>208150.635552302</v>
      </c>
      <c r="F831" s="46" t="n">
        <v>822</v>
      </c>
      <c r="G831" s="47" t="n">
        <f aca="false">F831*$H$6</f>
        <v>1.49990033182619</v>
      </c>
      <c r="H831" s="48" t="n">
        <f aca="false">$H$7*G831</f>
        <v>11.4166666666667</v>
      </c>
      <c r="I831" s="49" t="n">
        <f aca="false">0.5*c_rho*'P3 Energie'!F8*'P3 Energie'!F7*(H831-c_Vv)^2+'P3 Energie'!F13+'P3 Energie'!F15+'P3 Energie'!F6*$H$7</f>
        <v>19083.5347427046</v>
      </c>
      <c r="J831" s="50" t="n">
        <f aca="false">I831*H831</f>
        <v>217870.354979211</v>
      </c>
    </row>
    <row r="832" customFormat="false" ht="15" hidden="false" customHeight="false" outlineLevel="0" collapsed="false">
      <c r="A832" s="46" t="n">
        <v>823</v>
      </c>
      <c r="B832" s="47" t="n">
        <f aca="false">A832*$C$6</f>
        <v>1.50607344876695</v>
      </c>
      <c r="C832" s="48" t="n">
        <f aca="false">$C$7*B832</f>
        <v>11.4305555555556</v>
      </c>
      <c r="D832" s="49" t="n">
        <f aca="false">0.5*c_rho*'P3 Energie'!E8*'P3 Energie'!E7*(C832-c_Vv)^2+'P3 Energie'!E13+'P3 Energie'!E15+'P3 Energie'!E6*$C$7</f>
        <v>18232.2992080453</v>
      </c>
      <c r="E832" s="50" t="n">
        <f aca="false">D832*C832</f>
        <v>208405.309003073</v>
      </c>
      <c r="F832" s="46" t="n">
        <v>823</v>
      </c>
      <c r="G832" s="47" t="n">
        <f aca="false">F832*$H$6</f>
        <v>1.50172502809362</v>
      </c>
      <c r="H832" s="48" t="n">
        <f aca="false">$H$7*G832</f>
        <v>11.4305555555556</v>
      </c>
      <c r="I832" s="49" t="n">
        <f aca="false">0.5*c_rho*'P3 Energie'!F8*'P3 Energie'!F7*(H832-c_Vv)^2+'P3 Energie'!F13+'P3 Energie'!F15+'P3 Energie'!F6*$H$7</f>
        <v>19083.6448666965</v>
      </c>
      <c r="J832" s="50" t="n">
        <f aca="false">I832*H832</f>
        <v>218136.662851267</v>
      </c>
    </row>
    <row r="833" customFormat="false" ht="15" hidden="false" customHeight="false" outlineLevel="0" collapsed="false">
      <c r="A833" s="46" t="n">
        <v>824</v>
      </c>
      <c r="B833" s="47" t="n">
        <f aca="false">A833*$C$6</f>
        <v>1.5079034286561</v>
      </c>
      <c r="C833" s="48" t="n">
        <f aca="false">$C$7*B833</f>
        <v>11.4444444444444</v>
      </c>
      <c r="D833" s="49" t="n">
        <f aca="false">0.5*c_rho*'P3 Energie'!E8*'P3 Energie'!E7*(C833-c_Vv)^2+'P3 Energie'!E13+'P3 Energie'!E15+'P3 Energie'!E6*$C$7</f>
        <v>18232.4261130591</v>
      </c>
      <c r="E833" s="50" t="n">
        <f aca="false">D833*C833</f>
        <v>208659.987738343</v>
      </c>
      <c r="F833" s="46" t="n">
        <v>824</v>
      </c>
      <c r="G833" s="47" t="n">
        <f aca="false">F833*$H$6</f>
        <v>1.50354972436105</v>
      </c>
      <c r="H833" s="48" t="n">
        <f aca="false">$H$7*G833</f>
        <v>11.4444444444444</v>
      </c>
      <c r="I833" s="49" t="n">
        <f aca="false">0.5*c_rho*'P3 Energie'!F8*'P3 Energie'!F7*(H833-c_Vv)^2+'P3 Energie'!F13+'P3 Energie'!F15+'P3 Energie'!F6*$H$7</f>
        <v>19083.7551245778</v>
      </c>
      <c r="J833" s="50" t="n">
        <f aca="false">I833*H833</f>
        <v>218402.975314612</v>
      </c>
    </row>
    <row r="834" customFormat="false" ht="15" hidden="false" customHeight="false" outlineLevel="0" collapsed="false">
      <c r="A834" s="46" t="n">
        <v>825</v>
      </c>
      <c r="B834" s="47" t="n">
        <f aca="false">A834*$C$6</f>
        <v>1.50973340854524</v>
      </c>
      <c r="C834" s="48" t="n">
        <f aca="false">$C$7*B834</f>
        <v>11.4583333333333</v>
      </c>
      <c r="D834" s="49" t="n">
        <f aca="false">0.5*c_rho*'P3 Energie'!E8*'P3 Energie'!E7*(C834-c_Vv)^2+'P3 Energie'!E13+'P3 Energie'!E15+'P3 Energie'!E6*$C$7</f>
        <v>18232.5531721774</v>
      </c>
      <c r="E834" s="50" t="n">
        <f aca="false">D834*C834</f>
        <v>208914.671764532</v>
      </c>
      <c r="F834" s="46" t="n">
        <v>825</v>
      </c>
      <c r="G834" s="47" t="n">
        <f aca="false">F834*$H$6</f>
        <v>1.50537442062847</v>
      </c>
      <c r="H834" s="48" t="n">
        <f aca="false">$H$7*G834</f>
        <v>11.4583333333333</v>
      </c>
      <c r="I834" s="49" t="n">
        <f aca="false">0.5*c_rho*'P3 Energie'!F8*'P3 Energie'!F7*(H834-c_Vv)^2+'P3 Energie'!F13+'P3 Energie'!F15+'P3 Energie'!F6*$H$7</f>
        <v>19083.8655163484</v>
      </c>
      <c r="J834" s="50" t="n">
        <f aca="false">I834*H834</f>
        <v>218669.292374825</v>
      </c>
    </row>
    <row r="835" customFormat="false" ht="15" hidden="false" customHeight="false" outlineLevel="0" collapsed="false">
      <c r="A835" s="46" t="n">
        <v>826</v>
      </c>
      <c r="B835" s="47" t="n">
        <f aca="false">A835*$C$6</f>
        <v>1.51156338843439</v>
      </c>
      <c r="C835" s="48" t="n">
        <f aca="false">$C$7*B835</f>
        <v>11.4722222222222</v>
      </c>
      <c r="D835" s="49" t="n">
        <f aca="false">0.5*c_rho*'P3 Energie'!E8*'P3 Energie'!E7*(C835-c_Vv)^2+'P3 Energie'!E13+'P3 Energie'!E15+'P3 Energie'!E6*$C$7</f>
        <v>18232.6803854001</v>
      </c>
      <c r="E835" s="50" t="n">
        <f aca="false">D835*C835</f>
        <v>209169.361088062</v>
      </c>
      <c r="F835" s="46" t="n">
        <v>826</v>
      </c>
      <c r="G835" s="47" t="n">
        <f aca="false">F835*$H$6</f>
        <v>1.5071991168959</v>
      </c>
      <c r="H835" s="48" t="n">
        <f aca="false">$H$7*G835</f>
        <v>11.4722222222222</v>
      </c>
      <c r="I835" s="49" t="n">
        <f aca="false">0.5*c_rho*'P3 Energie'!F8*'P3 Energie'!F7*(H835-c_Vv)^2+'P3 Energie'!F13+'P3 Energie'!F15+'P3 Energie'!F6*$H$7</f>
        <v>19083.9760420083</v>
      </c>
      <c r="J835" s="50" t="n">
        <f aca="false">I835*H835</f>
        <v>218935.614037485</v>
      </c>
    </row>
    <row r="836" customFormat="false" ht="15" hidden="false" customHeight="false" outlineLevel="0" collapsed="false">
      <c r="A836" s="46" t="n">
        <v>827</v>
      </c>
      <c r="B836" s="47" t="n">
        <f aca="false">A836*$C$6</f>
        <v>1.51339336832353</v>
      </c>
      <c r="C836" s="48" t="n">
        <f aca="false">$C$7*B836</f>
        <v>11.4861111111111</v>
      </c>
      <c r="D836" s="49" t="n">
        <f aca="false">0.5*c_rho*'P3 Energie'!E8*'P3 Energie'!E7*(C836-c_Vv)^2+'P3 Energie'!E13+'P3 Energie'!E15+'P3 Energie'!E6*$C$7</f>
        <v>18232.8077527273</v>
      </c>
      <c r="E836" s="50" t="n">
        <f aca="false">D836*C836</f>
        <v>209424.055715353</v>
      </c>
      <c r="F836" s="46" t="n">
        <v>827</v>
      </c>
      <c r="G836" s="47" t="n">
        <f aca="false">F836*$H$6</f>
        <v>1.50902381316333</v>
      </c>
      <c r="H836" s="48" t="n">
        <f aca="false">$H$7*G836</f>
        <v>11.4861111111111</v>
      </c>
      <c r="I836" s="49" t="n">
        <f aca="false">0.5*c_rho*'P3 Energie'!F8*'P3 Energie'!F7*(H836-c_Vv)^2+'P3 Energie'!F13+'P3 Energie'!F15+'P3 Energie'!F6*$H$7</f>
        <v>19084.0867015576</v>
      </c>
      <c r="J836" s="50" t="n">
        <f aca="false">I836*H836</f>
        <v>219201.940308169</v>
      </c>
    </row>
    <row r="837" customFormat="false" ht="15" hidden="false" customHeight="false" outlineLevel="0" collapsed="false">
      <c r="A837" s="46" t="n">
        <v>828</v>
      </c>
      <c r="B837" s="47" t="n">
        <f aca="false">A837*$C$6</f>
        <v>1.51522334821268</v>
      </c>
      <c r="C837" s="48" t="n">
        <f aca="false">$C$7*B837</f>
        <v>11.5</v>
      </c>
      <c r="D837" s="49" t="n">
        <f aca="false">0.5*c_rho*'P3 Energie'!E8*'P3 Energie'!E7*(C837-c_Vv)^2+'P3 Energie'!E13+'P3 Energie'!E15+'P3 Energie'!E6*$C$7</f>
        <v>18232.9352741589</v>
      </c>
      <c r="E837" s="50" t="n">
        <f aca="false">D837*C837</f>
        <v>209678.755652827</v>
      </c>
      <c r="F837" s="46" t="n">
        <v>828</v>
      </c>
      <c r="G837" s="47" t="n">
        <f aca="false">F837*$H$6</f>
        <v>1.51084850943076</v>
      </c>
      <c r="H837" s="48" t="n">
        <f aca="false">$H$7*G837</f>
        <v>11.5</v>
      </c>
      <c r="I837" s="49" t="n">
        <f aca="false">0.5*c_rho*'P3 Energie'!F8*'P3 Energie'!F7*(H837-c_Vv)^2+'P3 Energie'!F13+'P3 Energie'!F15+'P3 Energie'!F6*$H$7</f>
        <v>19084.1974949963</v>
      </c>
      <c r="J837" s="50" t="n">
        <f aca="false">I837*H837</f>
        <v>219468.271192457</v>
      </c>
    </row>
    <row r="838" customFormat="false" ht="15" hidden="false" customHeight="false" outlineLevel="0" collapsed="false">
      <c r="A838" s="46" t="n">
        <v>829</v>
      </c>
      <c r="B838" s="47" t="n">
        <f aca="false">A838*$C$6</f>
        <v>1.51705332810183</v>
      </c>
      <c r="C838" s="48" t="n">
        <f aca="false">$C$7*B838</f>
        <v>11.5138888888889</v>
      </c>
      <c r="D838" s="49" t="n">
        <f aca="false">0.5*c_rho*'P3 Energie'!E8*'P3 Energie'!E7*(C838-c_Vv)^2+'P3 Energie'!E13+'P3 Energie'!E15+'P3 Energie'!E6*$C$7</f>
        <v>18233.0629496949</v>
      </c>
      <c r="E838" s="50" t="n">
        <f aca="false">D838*C838</f>
        <v>209933.460906904</v>
      </c>
      <c r="F838" s="46" t="n">
        <v>829</v>
      </c>
      <c r="G838" s="47" t="n">
        <f aca="false">F838*$H$6</f>
        <v>1.51267320569819</v>
      </c>
      <c r="H838" s="48" t="n">
        <f aca="false">$H$7*G838</f>
        <v>11.5138888888889</v>
      </c>
      <c r="I838" s="49" t="n">
        <f aca="false">0.5*c_rho*'P3 Energie'!F8*'P3 Energie'!F7*(H838-c_Vv)^2+'P3 Energie'!F13+'P3 Energie'!F15+'P3 Energie'!F6*$H$7</f>
        <v>19084.3084223243</v>
      </c>
      <c r="J838" s="50" t="n">
        <f aca="false">I838*H838</f>
        <v>219734.606695928</v>
      </c>
    </row>
    <row r="839" customFormat="false" ht="15" hidden="false" customHeight="false" outlineLevel="0" collapsed="false">
      <c r="A839" s="46" t="n">
        <v>830</v>
      </c>
      <c r="B839" s="47" t="n">
        <f aca="false">A839*$C$6</f>
        <v>1.51888330799097</v>
      </c>
      <c r="C839" s="48" t="n">
        <f aca="false">$C$7*B839</f>
        <v>11.5277777777778</v>
      </c>
      <c r="D839" s="49" t="n">
        <f aca="false">0.5*c_rho*'P3 Energie'!E8*'P3 Energie'!E7*(C839-c_Vv)^2+'P3 Energie'!E13+'P3 Energie'!E15+'P3 Energie'!E6*$C$7</f>
        <v>18233.1907793354</v>
      </c>
      <c r="E839" s="50" t="n">
        <f aca="false">D839*C839</f>
        <v>210188.171484006</v>
      </c>
      <c r="F839" s="46" t="n">
        <v>830</v>
      </c>
      <c r="G839" s="47" t="n">
        <f aca="false">F839*$H$6</f>
        <v>1.51449790196562</v>
      </c>
      <c r="H839" s="48" t="n">
        <f aca="false">$H$7*G839</f>
        <v>11.5277777777778</v>
      </c>
      <c r="I839" s="49" t="n">
        <f aca="false">0.5*c_rho*'P3 Energie'!F8*'P3 Energie'!F7*(H839-c_Vv)^2+'P3 Energie'!F13+'P3 Energie'!F15+'P3 Energie'!F6*$H$7</f>
        <v>19084.4194835417</v>
      </c>
      <c r="J839" s="50" t="n">
        <f aca="false">I839*H839</f>
        <v>220000.946824161</v>
      </c>
    </row>
    <row r="840" customFormat="false" ht="15" hidden="false" customHeight="false" outlineLevel="0" collapsed="false">
      <c r="A840" s="46" t="n">
        <v>831</v>
      </c>
      <c r="B840" s="47" t="n">
        <f aca="false">A840*$C$6</f>
        <v>1.52071328788012</v>
      </c>
      <c r="C840" s="48" t="n">
        <f aca="false">$C$7*B840</f>
        <v>11.5416666666667</v>
      </c>
      <c r="D840" s="49" t="n">
        <f aca="false">0.5*c_rho*'P3 Energie'!E8*'P3 Energie'!E7*(C840-c_Vv)^2+'P3 Energie'!E13+'P3 Energie'!E15+'P3 Energie'!E6*$C$7</f>
        <v>18233.3187630804</v>
      </c>
      <c r="E840" s="50" t="n">
        <f aca="false">D840*C840</f>
        <v>210442.887390553</v>
      </c>
      <c r="F840" s="46" t="n">
        <v>831</v>
      </c>
      <c r="G840" s="47" t="n">
        <f aca="false">F840*$H$6</f>
        <v>1.51632259823304</v>
      </c>
      <c r="H840" s="48" t="n">
        <f aca="false">$H$7*G840</f>
        <v>11.5416666666667</v>
      </c>
      <c r="I840" s="49" t="n">
        <f aca="false">0.5*c_rho*'P3 Energie'!F8*'P3 Energie'!F7*(H840-c_Vv)^2+'P3 Energie'!F13+'P3 Energie'!F15+'P3 Energie'!F6*$H$7</f>
        <v>19084.5306786484</v>
      </c>
      <c r="J840" s="50" t="n">
        <f aca="false">I840*H840</f>
        <v>220267.291582733</v>
      </c>
    </row>
    <row r="841" customFormat="false" ht="15" hidden="false" customHeight="false" outlineLevel="0" collapsed="false">
      <c r="A841" s="46" t="n">
        <v>832</v>
      </c>
      <c r="B841" s="47" t="n">
        <f aca="false">A841*$C$6</f>
        <v>1.52254326776926</v>
      </c>
      <c r="C841" s="48" t="n">
        <f aca="false">$C$7*B841</f>
        <v>11.5555555555556</v>
      </c>
      <c r="D841" s="49" t="n">
        <f aca="false">0.5*c_rho*'P3 Energie'!E8*'P3 Energie'!E7*(C841-c_Vv)^2+'P3 Energie'!E13+'P3 Energie'!E15+'P3 Energie'!E6*$C$7</f>
        <v>18233.4469009298</v>
      </c>
      <c r="E841" s="50" t="n">
        <f aca="false">D841*C841</f>
        <v>210697.608632966</v>
      </c>
      <c r="F841" s="46" t="n">
        <v>832</v>
      </c>
      <c r="G841" s="47" t="n">
        <f aca="false">F841*$H$6</f>
        <v>1.51814729450047</v>
      </c>
      <c r="H841" s="48" t="n">
        <f aca="false">$H$7*G841</f>
        <v>11.5555555555556</v>
      </c>
      <c r="I841" s="49" t="n">
        <f aca="false">0.5*c_rho*'P3 Energie'!F8*'P3 Energie'!F7*(H841-c_Vv)^2+'P3 Energie'!F13+'P3 Energie'!F15+'P3 Energie'!F6*$H$7</f>
        <v>19084.6420076444</v>
      </c>
      <c r="J841" s="50" t="n">
        <f aca="false">I841*H841</f>
        <v>220533.640977225</v>
      </c>
    </row>
    <row r="842" customFormat="false" ht="15" hidden="false" customHeight="false" outlineLevel="0" collapsed="false">
      <c r="A842" s="46" t="n">
        <v>833</v>
      </c>
      <c r="B842" s="47" t="n">
        <f aca="false">A842*$C$6</f>
        <v>1.52437324765841</v>
      </c>
      <c r="C842" s="48" t="n">
        <f aca="false">$C$7*B842</f>
        <v>11.5694444444444</v>
      </c>
      <c r="D842" s="49" t="n">
        <f aca="false">0.5*c_rho*'P3 Energie'!E8*'P3 Energie'!E7*(C842-c_Vv)^2+'P3 Energie'!E13+'P3 Energie'!E15+'P3 Energie'!E6*$C$7</f>
        <v>18233.5751928836</v>
      </c>
      <c r="E842" s="50" t="n">
        <f aca="false">D842*C842</f>
        <v>210952.335217668</v>
      </c>
      <c r="F842" s="46" t="n">
        <v>833</v>
      </c>
      <c r="G842" s="47" t="n">
        <f aca="false">F842*$H$6</f>
        <v>1.5199719907679</v>
      </c>
      <c r="H842" s="48" t="n">
        <f aca="false">$H$7*G842</f>
        <v>11.5694444444444</v>
      </c>
      <c r="I842" s="49" t="n">
        <f aca="false">0.5*c_rho*'P3 Energie'!F8*'P3 Energie'!F7*(H842-c_Vv)^2+'P3 Energie'!F13+'P3 Energie'!F15+'P3 Energie'!F6*$H$7</f>
        <v>19084.7534705299</v>
      </c>
      <c r="J842" s="50" t="n">
        <f aca="false">I842*H842</f>
        <v>220799.995013214</v>
      </c>
    </row>
    <row r="843" customFormat="false" ht="15" hidden="false" customHeight="false" outlineLevel="0" collapsed="false">
      <c r="A843" s="46" t="n">
        <v>834</v>
      </c>
      <c r="B843" s="47" t="n">
        <f aca="false">A843*$C$6</f>
        <v>1.52620322754756</v>
      </c>
      <c r="C843" s="48" t="n">
        <f aca="false">$C$7*B843</f>
        <v>11.5833333333333</v>
      </c>
      <c r="D843" s="49" t="n">
        <f aca="false">0.5*c_rho*'P3 Energie'!E8*'P3 Energie'!E7*(C843-c_Vv)^2+'P3 Energie'!E13+'P3 Energie'!E15+'P3 Energie'!E6*$C$7</f>
        <v>18233.7036389419</v>
      </c>
      <c r="E843" s="50" t="n">
        <f aca="false">D843*C843</f>
        <v>211207.067151078</v>
      </c>
      <c r="F843" s="46" t="n">
        <v>834</v>
      </c>
      <c r="G843" s="47" t="n">
        <f aca="false">F843*$H$6</f>
        <v>1.52179668703533</v>
      </c>
      <c r="H843" s="48" t="n">
        <f aca="false">$H$7*G843</f>
        <v>11.5833333333333</v>
      </c>
      <c r="I843" s="49" t="n">
        <f aca="false">0.5*c_rho*'P3 Energie'!F8*'P3 Energie'!F7*(H843-c_Vv)^2+'P3 Energie'!F13+'P3 Energie'!F15+'P3 Energie'!F6*$H$7</f>
        <v>19084.8650673046</v>
      </c>
      <c r="J843" s="50" t="n">
        <f aca="false">I843*H843</f>
        <v>221066.353696279</v>
      </c>
    </row>
    <row r="844" customFormat="false" ht="15" hidden="false" customHeight="false" outlineLevel="0" collapsed="false">
      <c r="A844" s="46" t="n">
        <v>835</v>
      </c>
      <c r="B844" s="47" t="n">
        <f aca="false">A844*$C$6</f>
        <v>1.5280332074367</v>
      </c>
      <c r="C844" s="48" t="n">
        <f aca="false">$C$7*B844</f>
        <v>11.5972222222222</v>
      </c>
      <c r="D844" s="49" t="n">
        <f aca="false">0.5*c_rho*'P3 Energie'!E8*'P3 Energie'!E7*(C844-c_Vv)^2+'P3 Energie'!E13+'P3 Energie'!E15+'P3 Energie'!E6*$C$7</f>
        <v>18233.8322391047</v>
      </c>
      <c r="E844" s="50" t="n">
        <f aca="false">D844*C844</f>
        <v>211461.804439617</v>
      </c>
      <c r="F844" s="46" t="n">
        <v>835</v>
      </c>
      <c r="G844" s="47" t="n">
        <f aca="false">F844*$H$6</f>
        <v>1.52362138330276</v>
      </c>
      <c r="H844" s="48" t="n">
        <f aca="false">$H$7*G844</f>
        <v>11.5972222222222</v>
      </c>
      <c r="I844" s="49" t="n">
        <f aca="false">0.5*c_rho*'P3 Energie'!F8*'P3 Energie'!F7*(H844-c_Vv)^2+'P3 Energie'!F13+'P3 Energie'!F15+'P3 Energie'!F6*$H$7</f>
        <v>19084.9767979688</v>
      </c>
      <c r="J844" s="50" t="n">
        <f aca="false">I844*H844</f>
        <v>221332.717031999</v>
      </c>
    </row>
    <row r="845" customFormat="false" ht="15" hidden="false" customHeight="false" outlineLevel="0" collapsed="false">
      <c r="A845" s="46" t="n">
        <v>836</v>
      </c>
      <c r="B845" s="47" t="n">
        <f aca="false">A845*$C$6</f>
        <v>1.52986318732585</v>
      </c>
      <c r="C845" s="48" t="n">
        <f aca="false">$C$7*B845</f>
        <v>11.6111111111111</v>
      </c>
      <c r="D845" s="49" t="n">
        <f aca="false">0.5*c_rho*'P3 Energie'!E8*'P3 Energie'!E7*(C845-c_Vv)^2+'P3 Energie'!E13+'P3 Energie'!E15+'P3 Energie'!E6*$C$7</f>
        <v>18233.9609933719</v>
      </c>
      <c r="E845" s="50" t="n">
        <f aca="false">D845*C845</f>
        <v>211716.547089707</v>
      </c>
      <c r="F845" s="46" t="n">
        <v>836</v>
      </c>
      <c r="G845" s="47" t="n">
        <f aca="false">F845*$H$6</f>
        <v>1.52544607957019</v>
      </c>
      <c r="H845" s="48" t="n">
        <f aca="false">$H$7*G845</f>
        <v>11.6111111111111</v>
      </c>
      <c r="I845" s="49" t="n">
        <f aca="false">0.5*c_rho*'P3 Energie'!F8*'P3 Energie'!F7*(H845-c_Vv)^2+'P3 Energie'!F13+'P3 Energie'!F15+'P3 Energie'!F6*$H$7</f>
        <v>19085.0886625222</v>
      </c>
      <c r="J845" s="50" t="n">
        <f aca="false">I845*H845</f>
        <v>221599.085025953</v>
      </c>
    </row>
    <row r="846" customFormat="false" ht="15" hidden="false" customHeight="false" outlineLevel="0" collapsed="false">
      <c r="A846" s="46" t="n">
        <v>837</v>
      </c>
      <c r="B846" s="47" t="n">
        <f aca="false">A846*$C$6</f>
        <v>1.53169316721499</v>
      </c>
      <c r="C846" s="48" t="n">
        <f aca="false">$C$7*B846</f>
        <v>11.625</v>
      </c>
      <c r="D846" s="49" t="n">
        <f aca="false">0.5*c_rho*'P3 Energie'!E8*'P3 Energie'!E7*(C846-c_Vv)^2+'P3 Energie'!E13+'P3 Energie'!E15+'P3 Energie'!E6*$C$7</f>
        <v>18234.0899017435</v>
      </c>
      <c r="E846" s="50" t="n">
        <f aca="false">D846*C846</f>
        <v>211971.295107769</v>
      </c>
      <c r="F846" s="46" t="n">
        <v>837</v>
      </c>
      <c r="G846" s="47" t="n">
        <f aca="false">F846*$H$6</f>
        <v>1.52727077583762</v>
      </c>
      <c r="H846" s="48" t="n">
        <f aca="false">$H$7*G846</f>
        <v>11.625</v>
      </c>
      <c r="I846" s="49" t="n">
        <f aca="false">0.5*c_rho*'P3 Energie'!F8*'P3 Energie'!F7*(H846-c_Vv)^2+'P3 Energie'!F13+'P3 Energie'!F15+'P3 Energie'!F6*$H$7</f>
        <v>19085.200660965</v>
      </c>
      <c r="J846" s="50" t="n">
        <f aca="false">I846*H846</f>
        <v>221865.457683719</v>
      </c>
    </row>
    <row r="847" customFormat="false" ht="15" hidden="false" customHeight="false" outlineLevel="0" collapsed="false">
      <c r="A847" s="46" t="n">
        <v>838</v>
      </c>
      <c r="B847" s="47" t="n">
        <f aca="false">A847*$C$6</f>
        <v>1.53352314710414</v>
      </c>
      <c r="C847" s="48" t="n">
        <f aca="false">$C$7*B847</f>
        <v>11.6388888888889</v>
      </c>
      <c r="D847" s="49" t="n">
        <f aca="false">0.5*c_rho*'P3 Energie'!E8*'P3 Energie'!E7*(C847-c_Vv)^2+'P3 Energie'!E13+'P3 Energie'!E15+'P3 Energie'!E6*$C$7</f>
        <v>18234.2189642196</v>
      </c>
      <c r="E847" s="50" t="n">
        <f aca="false">D847*C847</f>
        <v>212226.048500223</v>
      </c>
      <c r="F847" s="46" t="n">
        <v>838</v>
      </c>
      <c r="G847" s="47" t="n">
        <f aca="false">F847*$H$6</f>
        <v>1.52909547210504</v>
      </c>
      <c r="H847" s="48" t="n">
        <f aca="false">$H$7*G847</f>
        <v>11.6388888888889</v>
      </c>
      <c r="I847" s="49" t="n">
        <f aca="false">0.5*c_rho*'P3 Energie'!F8*'P3 Energie'!F7*(H847-c_Vv)^2+'P3 Energie'!F13+'P3 Energie'!F15+'P3 Energie'!F6*$H$7</f>
        <v>19085.3127932972</v>
      </c>
      <c r="J847" s="50" t="n">
        <f aca="false">I847*H847</f>
        <v>222131.835010876</v>
      </c>
    </row>
    <row r="848" customFormat="false" ht="15" hidden="false" customHeight="false" outlineLevel="0" collapsed="false">
      <c r="A848" s="46" t="n">
        <v>839</v>
      </c>
      <c r="B848" s="47" t="n">
        <f aca="false">A848*$C$6</f>
        <v>1.53535312699328</v>
      </c>
      <c r="C848" s="48" t="n">
        <f aca="false">$C$7*B848</f>
        <v>11.6527777777778</v>
      </c>
      <c r="D848" s="49" t="n">
        <f aca="false">0.5*c_rho*'P3 Energie'!E8*'P3 Energie'!E7*(C848-c_Vv)^2+'P3 Energie'!E13+'P3 Energie'!E15+'P3 Energie'!E6*$C$7</f>
        <v>18234.3481808002</v>
      </c>
      <c r="E848" s="50" t="n">
        <f aca="false">D848*C848</f>
        <v>212480.807273491</v>
      </c>
      <c r="F848" s="46" t="n">
        <v>839</v>
      </c>
      <c r="G848" s="47" t="n">
        <f aca="false">F848*$H$6</f>
        <v>1.53092016837247</v>
      </c>
      <c r="H848" s="48" t="n">
        <f aca="false">$H$7*G848</f>
        <v>11.6527777777778</v>
      </c>
      <c r="I848" s="49" t="n">
        <f aca="false">0.5*c_rho*'P3 Energie'!F8*'P3 Energie'!F7*(H848-c_Vv)^2+'P3 Energie'!F13+'P3 Energie'!F15+'P3 Energie'!F6*$H$7</f>
        <v>19085.4250595188</v>
      </c>
      <c r="J848" s="50" t="n">
        <f aca="false">I848*H848</f>
        <v>222398.217013003</v>
      </c>
    </row>
    <row r="849" customFormat="false" ht="15" hidden="false" customHeight="false" outlineLevel="0" collapsed="false">
      <c r="A849" s="46" t="n">
        <v>840</v>
      </c>
      <c r="B849" s="47" t="n">
        <f aca="false">A849*$C$6</f>
        <v>1.53718310688243</v>
      </c>
      <c r="C849" s="48" t="n">
        <f aca="false">$C$7*B849</f>
        <v>11.6666666666667</v>
      </c>
      <c r="D849" s="49" t="n">
        <f aca="false">0.5*c_rho*'P3 Energie'!E8*'P3 Energie'!E7*(C849-c_Vv)^2+'P3 Energie'!E13+'P3 Energie'!E15+'P3 Energie'!E6*$C$7</f>
        <v>18234.4775514852</v>
      </c>
      <c r="E849" s="50" t="n">
        <f aca="false">D849*C849</f>
        <v>212735.571433994</v>
      </c>
      <c r="F849" s="46" t="n">
        <v>840</v>
      </c>
      <c r="G849" s="47" t="n">
        <f aca="false">F849*$H$6</f>
        <v>1.5327448646399</v>
      </c>
      <c r="H849" s="48" t="n">
        <f aca="false">$H$7*G849</f>
        <v>11.6666666666667</v>
      </c>
      <c r="I849" s="49" t="n">
        <f aca="false">0.5*c_rho*'P3 Energie'!F8*'P3 Energie'!F7*(H849-c_Vv)^2+'P3 Energie'!F13+'P3 Energie'!F15+'P3 Energie'!F6*$H$7</f>
        <v>19085.5374596296</v>
      </c>
      <c r="J849" s="50" t="n">
        <f aca="false">I849*H849</f>
        <v>222664.603695679</v>
      </c>
    </row>
    <row r="850" customFormat="false" ht="15" hidden="false" customHeight="false" outlineLevel="0" collapsed="false">
      <c r="A850" s="46" t="n">
        <v>841</v>
      </c>
      <c r="B850" s="47" t="n">
        <f aca="false">A850*$C$6</f>
        <v>1.53901308677158</v>
      </c>
      <c r="C850" s="48" t="n">
        <f aca="false">$C$7*B850</f>
        <v>11.6805555555556</v>
      </c>
      <c r="D850" s="49" t="n">
        <f aca="false">0.5*c_rho*'P3 Energie'!E8*'P3 Energie'!E7*(C850-c_Vv)^2+'P3 Energie'!E13+'P3 Energie'!E15+'P3 Energie'!E6*$C$7</f>
        <v>18234.6070762746</v>
      </c>
      <c r="E850" s="50" t="n">
        <f aca="false">D850*C850</f>
        <v>212990.340988152</v>
      </c>
      <c r="F850" s="46" t="n">
        <v>841</v>
      </c>
      <c r="G850" s="47" t="n">
        <f aca="false">F850*$H$6</f>
        <v>1.53456956090733</v>
      </c>
      <c r="H850" s="48" t="n">
        <f aca="false">$H$7*G850</f>
        <v>11.6805555555556</v>
      </c>
      <c r="I850" s="49" t="n">
        <f aca="false">0.5*c_rho*'P3 Energie'!F8*'P3 Energie'!F7*(H850-c_Vv)^2+'P3 Energie'!F13+'P3 Energie'!F15+'P3 Energie'!F6*$H$7</f>
        <v>19085.6499936299</v>
      </c>
      <c r="J850" s="50" t="n">
        <f aca="false">I850*H850</f>
        <v>222930.995064482</v>
      </c>
    </row>
    <row r="851" customFormat="false" ht="15" hidden="false" customHeight="false" outlineLevel="0" collapsed="false">
      <c r="A851" s="46" t="n">
        <v>842</v>
      </c>
      <c r="B851" s="47" t="n">
        <f aca="false">A851*$C$6</f>
        <v>1.54084306666072</v>
      </c>
      <c r="C851" s="48" t="n">
        <f aca="false">$C$7*B851</f>
        <v>11.6944444444444</v>
      </c>
      <c r="D851" s="49" t="n">
        <f aca="false">0.5*c_rho*'P3 Energie'!E8*'P3 Energie'!E7*(C851-c_Vv)^2+'P3 Energie'!E13+'P3 Energie'!E15+'P3 Energie'!E6*$C$7</f>
        <v>18234.7367551685</v>
      </c>
      <c r="E851" s="50" t="n">
        <f aca="false">D851*C851</f>
        <v>213245.115942388</v>
      </c>
      <c r="F851" s="46" t="n">
        <v>842</v>
      </c>
      <c r="G851" s="47" t="n">
        <f aca="false">F851*$H$6</f>
        <v>1.53639425717476</v>
      </c>
      <c r="H851" s="48" t="n">
        <f aca="false">$H$7*G851</f>
        <v>11.6944444444444</v>
      </c>
      <c r="I851" s="49" t="n">
        <f aca="false">0.5*c_rho*'P3 Energie'!F8*'P3 Energie'!F7*(H851-c_Vv)^2+'P3 Energie'!F13+'P3 Energie'!F15+'P3 Energie'!F6*$H$7</f>
        <v>19085.7626615194</v>
      </c>
      <c r="J851" s="50" t="n">
        <f aca="false">I851*H851</f>
        <v>223197.391124991</v>
      </c>
    </row>
    <row r="852" customFormat="false" ht="15" hidden="false" customHeight="false" outlineLevel="0" collapsed="false">
      <c r="A852" s="46" t="n">
        <v>843</v>
      </c>
      <c r="B852" s="47" t="n">
        <f aca="false">A852*$C$6</f>
        <v>1.54267304654987</v>
      </c>
      <c r="C852" s="48" t="n">
        <f aca="false">$C$7*B852</f>
        <v>11.7083333333333</v>
      </c>
      <c r="D852" s="49" t="n">
        <f aca="false">0.5*c_rho*'P3 Energie'!E8*'P3 Energie'!E7*(C852-c_Vv)^2+'P3 Energie'!E13+'P3 Energie'!E15+'P3 Energie'!E6*$C$7</f>
        <v>18234.8665881669</v>
      </c>
      <c r="E852" s="50" t="n">
        <f aca="false">D852*C852</f>
        <v>213499.896303121</v>
      </c>
      <c r="F852" s="46" t="n">
        <v>843</v>
      </c>
      <c r="G852" s="47" t="n">
        <f aca="false">F852*$H$6</f>
        <v>1.53821895344219</v>
      </c>
      <c r="H852" s="48" t="n">
        <f aca="false">$H$7*G852</f>
        <v>11.7083333333333</v>
      </c>
      <c r="I852" s="49" t="n">
        <f aca="false">0.5*c_rho*'P3 Energie'!F8*'P3 Energie'!F7*(H852-c_Vv)^2+'P3 Energie'!F13+'P3 Energie'!F15+'P3 Energie'!F6*$H$7</f>
        <v>19085.8754632984</v>
      </c>
      <c r="J852" s="50" t="n">
        <f aca="false">I852*H852</f>
        <v>223463.791882785</v>
      </c>
    </row>
    <row r="853" customFormat="false" ht="15" hidden="false" customHeight="false" outlineLevel="0" collapsed="false">
      <c r="A853" s="46" t="n">
        <v>844</v>
      </c>
      <c r="B853" s="47" t="n">
        <f aca="false">A853*$C$6</f>
        <v>1.54450302643901</v>
      </c>
      <c r="C853" s="48" t="n">
        <f aca="false">$C$7*B853</f>
        <v>11.7222222222222</v>
      </c>
      <c r="D853" s="49" t="n">
        <f aca="false">0.5*c_rho*'P3 Energie'!E8*'P3 Energie'!E7*(C853-c_Vv)^2+'P3 Energie'!E13+'P3 Energie'!E15+'P3 Energie'!E6*$C$7</f>
        <v>18234.9965752697</v>
      </c>
      <c r="E853" s="50" t="n">
        <f aca="false">D853*C853</f>
        <v>213754.682076772</v>
      </c>
      <c r="F853" s="46" t="n">
        <v>844</v>
      </c>
      <c r="G853" s="47" t="n">
        <f aca="false">F853*$H$6</f>
        <v>1.54004364970961</v>
      </c>
      <c r="H853" s="48" t="n">
        <f aca="false">$H$7*G853</f>
        <v>11.7222222222222</v>
      </c>
      <c r="I853" s="49" t="n">
        <f aca="false">0.5*c_rho*'P3 Energie'!F8*'P3 Energie'!F7*(H853-c_Vv)^2+'P3 Energie'!F13+'P3 Energie'!F15+'P3 Energie'!F6*$H$7</f>
        <v>19085.9883989667</v>
      </c>
      <c r="J853" s="50" t="n">
        <f aca="false">I853*H853</f>
        <v>223730.197343443</v>
      </c>
    </row>
    <row r="854" customFormat="false" ht="15" hidden="false" customHeight="false" outlineLevel="0" collapsed="false">
      <c r="A854" s="46" t="n">
        <v>845</v>
      </c>
      <c r="B854" s="47" t="n">
        <f aca="false">A854*$C$6</f>
        <v>1.54633300632816</v>
      </c>
      <c r="C854" s="48" t="n">
        <f aca="false">$C$7*B854</f>
        <v>11.7361111111111</v>
      </c>
      <c r="D854" s="49" t="n">
        <f aca="false">0.5*c_rho*'P3 Energie'!E8*'P3 Energie'!E7*(C854-c_Vv)^2+'P3 Energie'!E13+'P3 Energie'!E15+'P3 Energie'!E6*$C$7</f>
        <v>18235.1267164769</v>
      </c>
      <c r="E854" s="50" t="n">
        <f aca="false">D854*C854</f>
        <v>214009.473269764</v>
      </c>
      <c r="F854" s="46" t="n">
        <v>845</v>
      </c>
      <c r="G854" s="47" t="n">
        <f aca="false">F854*$H$6</f>
        <v>1.54186834597704</v>
      </c>
      <c r="H854" s="48" t="n">
        <f aca="false">$H$7*G854</f>
        <v>11.7361111111111</v>
      </c>
      <c r="I854" s="49" t="n">
        <f aca="false">0.5*c_rho*'P3 Energie'!F8*'P3 Energie'!F7*(H854-c_Vv)^2+'P3 Energie'!F13+'P3 Energie'!F15+'P3 Energie'!F6*$H$7</f>
        <v>19086.1014685243</v>
      </c>
      <c r="J854" s="50" t="n">
        <f aca="false">I854*H854</f>
        <v>223996.607512542</v>
      </c>
    </row>
    <row r="855" customFormat="false" ht="15" hidden="false" customHeight="false" outlineLevel="0" collapsed="false">
      <c r="A855" s="46" t="n">
        <v>846</v>
      </c>
      <c r="B855" s="47" t="n">
        <f aca="false">A855*$C$6</f>
        <v>1.5481629862173</v>
      </c>
      <c r="C855" s="48" t="n">
        <f aca="false">$C$7*B855</f>
        <v>11.75</v>
      </c>
      <c r="D855" s="49" t="n">
        <f aca="false">0.5*c_rho*'P3 Energie'!E8*'P3 Energie'!E7*(C855-c_Vv)^2+'P3 Energie'!E13+'P3 Energie'!E15+'P3 Energie'!E6*$C$7</f>
        <v>18235.2570117886</v>
      </c>
      <c r="E855" s="50" t="n">
        <f aca="false">D855*C855</f>
        <v>214264.269888516</v>
      </c>
      <c r="F855" s="46" t="n">
        <v>846</v>
      </c>
      <c r="G855" s="47" t="n">
        <f aca="false">F855*$H$6</f>
        <v>1.54369304224447</v>
      </c>
      <c r="H855" s="48" t="n">
        <f aca="false">$H$7*G855</f>
        <v>11.75</v>
      </c>
      <c r="I855" s="49" t="n">
        <f aca="false">0.5*c_rho*'P3 Energie'!F8*'P3 Energie'!F7*(H855-c_Vv)^2+'P3 Energie'!F13+'P3 Energie'!F15+'P3 Energie'!F6*$H$7</f>
        <v>19086.2146719713</v>
      </c>
      <c r="J855" s="50" t="n">
        <f aca="false">I855*H855</f>
        <v>224263.022395663</v>
      </c>
    </row>
    <row r="856" customFormat="false" ht="15" hidden="false" customHeight="false" outlineLevel="0" collapsed="false">
      <c r="A856" s="46" t="n">
        <v>847</v>
      </c>
      <c r="B856" s="47" t="n">
        <f aca="false">A856*$C$6</f>
        <v>1.54999296610645</v>
      </c>
      <c r="C856" s="48" t="n">
        <f aca="false">$C$7*B856</f>
        <v>11.7638888888889</v>
      </c>
      <c r="D856" s="49" t="n">
        <f aca="false">0.5*c_rho*'P3 Energie'!E8*'P3 Energie'!E7*(C856-c_Vv)^2+'P3 Energie'!E13+'P3 Energie'!E15+'P3 Energie'!E6*$C$7</f>
        <v>18235.3874612048</v>
      </c>
      <c r="E856" s="50" t="n">
        <f aca="false">D856*C856</f>
        <v>214519.07193945</v>
      </c>
      <c r="F856" s="46" t="n">
        <v>847</v>
      </c>
      <c r="G856" s="47" t="n">
        <f aca="false">F856*$H$6</f>
        <v>1.5455177385119</v>
      </c>
      <c r="H856" s="48" t="n">
        <f aca="false">$H$7*G856</f>
        <v>11.7638888888889</v>
      </c>
      <c r="I856" s="49" t="n">
        <f aca="false">0.5*c_rho*'P3 Energie'!F8*'P3 Energie'!F7*(H856-c_Vv)^2+'P3 Energie'!F13+'P3 Energie'!F15+'P3 Energie'!F6*$H$7</f>
        <v>19086.3280093076</v>
      </c>
      <c r="J856" s="50" t="n">
        <f aca="false">I856*H856</f>
        <v>224529.441998383</v>
      </c>
    </row>
    <row r="857" customFormat="false" ht="15" hidden="false" customHeight="false" outlineLevel="0" collapsed="false">
      <c r="A857" s="46" t="n">
        <v>848</v>
      </c>
      <c r="B857" s="47" t="n">
        <f aca="false">A857*$C$6</f>
        <v>1.5518229459956</v>
      </c>
      <c r="C857" s="48" t="n">
        <f aca="false">$C$7*B857</f>
        <v>11.7777777777778</v>
      </c>
      <c r="D857" s="49" t="n">
        <f aca="false">0.5*c_rho*'P3 Energie'!E8*'P3 Energie'!E7*(C857-c_Vv)^2+'P3 Energie'!E13+'P3 Energie'!E15+'P3 Energie'!E6*$C$7</f>
        <v>18235.5180647253</v>
      </c>
      <c r="E857" s="50" t="n">
        <f aca="false">D857*C857</f>
        <v>214773.879428987</v>
      </c>
      <c r="F857" s="46" t="n">
        <v>848</v>
      </c>
      <c r="G857" s="47" t="n">
        <f aca="false">F857*$H$6</f>
        <v>1.54734243477933</v>
      </c>
      <c r="H857" s="48" t="n">
        <f aca="false">$H$7*G857</f>
        <v>11.7777777777778</v>
      </c>
      <c r="I857" s="49" t="n">
        <f aca="false">0.5*c_rho*'P3 Energie'!F8*'P3 Energie'!F7*(H857-c_Vv)^2+'P3 Energie'!F13+'P3 Energie'!F15+'P3 Energie'!F6*$H$7</f>
        <v>19086.4414805333</v>
      </c>
      <c r="J857" s="50" t="n">
        <f aca="false">I857*H857</f>
        <v>224795.866326281</v>
      </c>
    </row>
    <row r="858" customFormat="false" ht="15" hidden="false" customHeight="false" outlineLevel="0" collapsed="false">
      <c r="A858" s="46" t="n">
        <v>849</v>
      </c>
      <c r="B858" s="47" t="n">
        <f aca="false">A858*$C$6</f>
        <v>1.55365292588474</v>
      </c>
      <c r="C858" s="48" t="n">
        <f aca="false">$C$7*B858</f>
        <v>11.7916666666667</v>
      </c>
      <c r="D858" s="49" t="n">
        <f aca="false">0.5*c_rho*'P3 Energie'!E8*'P3 Energie'!E7*(C858-c_Vv)^2+'P3 Energie'!E13+'P3 Energie'!E15+'P3 Energie'!E6*$C$7</f>
        <v>18235.6488223504</v>
      </c>
      <c r="E858" s="50" t="n">
        <f aca="false">D858*C858</f>
        <v>215028.692363548</v>
      </c>
      <c r="F858" s="46" t="n">
        <v>849</v>
      </c>
      <c r="G858" s="47" t="n">
        <f aca="false">F858*$H$6</f>
        <v>1.54916713104676</v>
      </c>
      <c r="H858" s="48" t="n">
        <f aca="false">$H$7*G858</f>
        <v>11.7916666666667</v>
      </c>
      <c r="I858" s="49" t="n">
        <f aca="false">0.5*c_rho*'P3 Energie'!F8*'P3 Energie'!F7*(H858-c_Vv)^2+'P3 Energie'!F13+'P3 Energie'!F15+'P3 Energie'!F6*$H$7</f>
        <v>19086.5550856484</v>
      </c>
      <c r="J858" s="50" t="n">
        <f aca="false">I858*H858</f>
        <v>225062.295384937</v>
      </c>
    </row>
    <row r="859" customFormat="false" ht="15" hidden="false" customHeight="false" outlineLevel="0" collapsed="false">
      <c r="A859" s="46" t="n">
        <v>850</v>
      </c>
      <c r="B859" s="47" t="n">
        <f aca="false">A859*$C$6</f>
        <v>1.55548290577389</v>
      </c>
      <c r="C859" s="48" t="n">
        <f aca="false">$C$7*B859</f>
        <v>11.8055555555556</v>
      </c>
      <c r="D859" s="49" t="n">
        <f aca="false">0.5*c_rho*'P3 Energie'!E8*'P3 Energie'!E7*(C859-c_Vv)^2+'P3 Energie'!E13+'P3 Energie'!E15+'P3 Energie'!E6*$C$7</f>
        <v>18235.7797340799</v>
      </c>
      <c r="E859" s="50" t="n">
        <f aca="false">D859*C859</f>
        <v>215283.510749554</v>
      </c>
      <c r="F859" s="46" t="n">
        <v>850</v>
      </c>
      <c r="G859" s="47" t="n">
        <f aca="false">F859*$H$6</f>
        <v>1.55099182731419</v>
      </c>
      <c r="H859" s="48" t="n">
        <f aca="false">$H$7*G859</f>
        <v>11.8055555555556</v>
      </c>
      <c r="I859" s="49" t="n">
        <f aca="false">0.5*c_rho*'P3 Energie'!F8*'P3 Energie'!F7*(H859-c_Vv)^2+'P3 Energie'!F13+'P3 Energie'!F15+'P3 Energie'!F6*$H$7</f>
        <v>19086.6688246528</v>
      </c>
      <c r="J859" s="50" t="n">
        <f aca="false">I859*H859</f>
        <v>225328.729179929</v>
      </c>
    </row>
    <row r="860" customFormat="false" ht="15" hidden="false" customHeight="false" outlineLevel="0" collapsed="false">
      <c r="A860" s="46" t="n">
        <v>851</v>
      </c>
      <c r="B860" s="47" t="n">
        <f aca="false">A860*$C$6</f>
        <v>1.55731288566303</v>
      </c>
      <c r="C860" s="48" t="n">
        <f aca="false">$C$7*B860</f>
        <v>11.8194444444444</v>
      </c>
      <c r="D860" s="49" t="n">
        <f aca="false">0.5*c_rho*'P3 Energie'!E8*'P3 Energie'!E7*(C860-c_Vv)^2+'P3 Energie'!E13+'P3 Energie'!E15+'P3 Energie'!E6*$C$7</f>
        <v>18235.9107999138</v>
      </c>
      <c r="E860" s="50" t="n">
        <f aca="false">D860*C860</f>
        <v>215538.334593426</v>
      </c>
      <c r="F860" s="46" t="n">
        <v>851</v>
      </c>
      <c r="G860" s="47" t="n">
        <f aca="false">F860*$H$6</f>
        <v>1.55281652358161</v>
      </c>
      <c r="H860" s="48" t="n">
        <f aca="false">$H$7*G860</f>
        <v>11.8194444444444</v>
      </c>
      <c r="I860" s="49" t="n">
        <f aca="false">0.5*c_rho*'P3 Energie'!F8*'P3 Energie'!F7*(H860-c_Vv)^2+'P3 Energie'!F13+'P3 Energie'!F15+'P3 Energie'!F6*$H$7</f>
        <v>19086.7826975465</v>
      </c>
      <c r="J860" s="50" t="n">
        <f aca="false">I860*H860</f>
        <v>225595.167716835</v>
      </c>
    </row>
    <row r="861" customFormat="false" ht="15" hidden="false" customHeight="false" outlineLevel="0" collapsed="false">
      <c r="A861" s="46" t="n">
        <v>852</v>
      </c>
      <c r="B861" s="47" t="n">
        <f aca="false">A861*$C$6</f>
        <v>1.55914286555218</v>
      </c>
      <c r="C861" s="48" t="n">
        <f aca="false">$C$7*B861</f>
        <v>11.8333333333333</v>
      </c>
      <c r="D861" s="49" t="n">
        <f aca="false">0.5*c_rho*'P3 Energie'!E8*'P3 Energie'!E7*(C861-c_Vv)^2+'P3 Energie'!E13+'P3 Energie'!E15+'P3 Energie'!E6*$C$7</f>
        <v>18236.0420198522</v>
      </c>
      <c r="E861" s="50" t="n">
        <f aca="false">D861*C861</f>
        <v>215793.163901584</v>
      </c>
      <c r="F861" s="46" t="n">
        <v>852</v>
      </c>
      <c r="G861" s="47" t="n">
        <f aca="false">F861*$H$6</f>
        <v>1.55464121984904</v>
      </c>
      <c r="H861" s="48" t="n">
        <f aca="false">$H$7*G861</f>
        <v>11.8333333333333</v>
      </c>
      <c r="I861" s="49" t="n">
        <f aca="false">0.5*c_rho*'P3 Energie'!F8*'P3 Energie'!F7*(H861-c_Vv)^2+'P3 Energie'!F13+'P3 Energie'!F15+'P3 Energie'!F6*$H$7</f>
        <v>19086.8967043296</v>
      </c>
      <c r="J861" s="50" t="n">
        <f aca="false">I861*H861</f>
        <v>225861.611001234</v>
      </c>
    </row>
    <row r="862" customFormat="false" ht="15" hidden="false" customHeight="false" outlineLevel="0" collapsed="false">
      <c r="A862" s="46" t="n">
        <v>853</v>
      </c>
      <c r="B862" s="47" t="n">
        <f aca="false">A862*$C$6</f>
        <v>1.56097284544132</v>
      </c>
      <c r="C862" s="48" t="n">
        <f aca="false">$C$7*B862</f>
        <v>11.8472222222222</v>
      </c>
      <c r="D862" s="49" t="n">
        <f aca="false">0.5*c_rho*'P3 Energie'!E8*'P3 Energie'!E7*(C862-c_Vv)^2+'P3 Energie'!E13+'P3 Energie'!E15+'P3 Energie'!E6*$C$7</f>
        <v>18236.173393895</v>
      </c>
      <c r="E862" s="50" t="n">
        <f aca="false">D862*C862</f>
        <v>216047.998680451</v>
      </c>
      <c r="F862" s="46" t="n">
        <v>853</v>
      </c>
      <c r="G862" s="47" t="n">
        <f aca="false">F862*$H$6</f>
        <v>1.55646591611647</v>
      </c>
      <c r="H862" s="48" t="n">
        <f aca="false">$H$7*G862</f>
        <v>11.8472222222222</v>
      </c>
      <c r="I862" s="49" t="n">
        <f aca="false">0.5*c_rho*'P3 Energie'!F8*'P3 Energie'!F7*(H862-c_Vv)^2+'P3 Energie'!F13+'P3 Energie'!F15+'P3 Energie'!F6*$H$7</f>
        <v>19087.0108450021</v>
      </c>
      <c r="J862" s="50" t="n">
        <f aca="false">I862*H862</f>
        <v>226128.059038705</v>
      </c>
    </row>
    <row r="863" customFormat="false" ht="15" hidden="false" customHeight="false" outlineLevel="0" collapsed="false">
      <c r="A863" s="46" t="n">
        <v>854</v>
      </c>
      <c r="B863" s="47" t="n">
        <f aca="false">A863*$C$6</f>
        <v>1.56280282533047</v>
      </c>
      <c r="C863" s="48" t="n">
        <f aca="false">$C$7*B863</f>
        <v>11.8611111111111</v>
      </c>
      <c r="D863" s="49" t="n">
        <f aca="false">0.5*c_rho*'P3 Energie'!E8*'P3 Energie'!E7*(C863-c_Vv)^2+'P3 Energie'!E13+'P3 Energie'!E15+'P3 Energie'!E6*$C$7</f>
        <v>18236.3049220423</v>
      </c>
      <c r="E863" s="50" t="n">
        <f aca="false">D863*C863</f>
        <v>216302.838936446</v>
      </c>
      <c r="F863" s="46" t="n">
        <v>854</v>
      </c>
      <c r="G863" s="47" t="n">
        <f aca="false">F863*$H$6</f>
        <v>1.5582906123839</v>
      </c>
      <c r="H863" s="48" t="n">
        <f aca="false">$H$7*G863</f>
        <v>11.8611111111111</v>
      </c>
      <c r="I863" s="49" t="n">
        <f aca="false">0.5*c_rho*'P3 Energie'!F8*'P3 Energie'!F7*(H863-c_Vv)^2+'P3 Energie'!F13+'P3 Energie'!F15+'P3 Energie'!F6*$H$7</f>
        <v>19087.1251195639</v>
      </c>
      <c r="J863" s="50" t="n">
        <f aca="false">I863*H863</f>
        <v>226394.511834827</v>
      </c>
    </row>
    <row r="864" customFormat="false" ht="15" hidden="false" customHeight="false" outlineLevel="0" collapsed="false">
      <c r="A864" s="46" t="n">
        <v>855</v>
      </c>
      <c r="B864" s="47" t="n">
        <f aca="false">A864*$C$6</f>
        <v>1.56463280521962</v>
      </c>
      <c r="C864" s="48" t="n">
        <f aca="false">$C$7*B864</f>
        <v>11.875</v>
      </c>
      <c r="D864" s="49" t="n">
        <f aca="false">0.5*c_rho*'P3 Energie'!E8*'P3 Energie'!E7*(C864-c_Vv)^2+'P3 Energie'!E13+'P3 Energie'!E15+'P3 Energie'!E6*$C$7</f>
        <v>18236.436604294</v>
      </c>
      <c r="E864" s="50" t="n">
        <f aca="false">D864*C864</f>
        <v>216557.684675992</v>
      </c>
      <c r="F864" s="46" t="n">
        <v>855</v>
      </c>
      <c r="G864" s="47" t="n">
        <f aca="false">F864*$H$6</f>
        <v>1.56011530865133</v>
      </c>
      <c r="H864" s="48" t="n">
        <f aca="false">$H$7*G864</f>
        <v>11.875</v>
      </c>
      <c r="I864" s="49" t="n">
        <f aca="false">0.5*c_rho*'P3 Energie'!F8*'P3 Energie'!F7*(H864-c_Vv)^2+'P3 Energie'!F13+'P3 Energie'!F15+'P3 Energie'!F6*$H$7</f>
        <v>19087.2395280151</v>
      </c>
      <c r="J864" s="50" t="n">
        <f aca="false">I864*H864</f>
        <v>226660.969395179</v>
      </c>
    </row>
    <row r="865" customFormat="false" ht="15" hidden="false" customHeight="false" outlineLevel="0" collapsed="false">
      <c r="A865" s="46" t="n">
        <v>856</v>
      </c>
      <c r="B865" s="47" t="n">
        <f aca="false">A865*$C$6</f>
        <v>1.56646278510876</v>
      </c>
      <c r="C865" s="48" t="n">
        <f aca="false">$C$7*B865</f>
        <v>11.8888888888889</v>
      </c>
      <c r="D865" s="49" t="n">
        <f aca="false">0.5*c_rho*'P3 Energie'!E8*'P3 Energie'!E7*(C865-c_Vv)^2+'P3 Energie'!E13+'P3 Energie'!E15+'P3 Energie'!E6*$C$7</f>
        <v>18236.5684406502</v>
      </c>
      <c r="E865" s="50" t="n">
        <f aca="false">D865*C865</f>
        <v>216812.535905508</v>
      </c>
      <c r="F865" s="46" t="n">
        <v>856</v>
      </c>
      <c r="G865" s="47" t="n">
        <f aca="false">F865*$H$6</f>
        <v>1.56194000491876</v>
      </c>
      <c r="H865" s="48" t="n">
        <f aca="false">$H$7*G865</f>
        <v>11.8888888888889</v>
      </c>
      <c r="I865" s="49" t="n">
        <f aca="false">0.5*c_rho*'P3 Energie'!F8*'P3 Energie'!F7*(H865-c_Vv)^2+'P3 Energie'!F13+'P3 Energie'!F15+'P3 Energie'!F6*$H$7</f>
        <v>19087.3540703556</v>
      </c>
      <c r="J865" s="50" t="n">
        <f aca="false">I865*H865</f>
        <v>226927.431725338</v>
      </c>
    </row>
    <row r="866" customFormat="false" ht="15" hidden="false" customHeight="false" outlineLevel="0" collapsed="false">
      <c r="A866" s="46" t="n">
        <v>857</v>
      </c>
      <c r="B866" s="47" t="n">
        <f aca="false">A866*$C$6</f>
        <v>1.56829276499791</v>
      </c>
      <c r="C866" s="48" t="n">
        <f aca="false">$C$7*B866</f>
        <v>11.9027777777778</v>
      </c>
      <c r="D866" s="49" t="n">
        <f aca="false">0.5*c_rho*'P3 Energie'!E8*'P3 Energie'!E7*(C866-c_Vv)^2+'P3 Energie'!E13+'P3 Energie'!E15+'P3 Energie'!E6*$C$7</f>
        <v>18236.7004311109</v>
      </c>
      <c r="E866" s="50" t="n">
        <f aca="false">D866*C866</f>
        <v>217067.392631417</v>
      </c>
      <c r="F866" s="46" t="n">
        <v>857</v>
      </c>
      <c r="G866" s="47" t="n">
        <f aca="false">F866*$H$6</f>
        <v>1.56376470118618</v>
      </c>
      <c r="H866" s="48" t="n">
        <f aca="false">$H$7*G866</f>
        <v>11.9027777777778</v>
      </c>
      <c r="I866" s="49" t="n">
        <f aca="false">0.5*c_rho*'P3 Energie'!F8*'P3 Energie'!F7*(H866-c_Vv)^2+'P3 Energie'!F13+'P3 Energie'!F15+'P3 Energie'!F6*$H$7</f>
        <v>19087.4687465854</v>
      </c>
      <c r="J866" s="50" t="n">
        <f aca="false">I866*H866</f>
        <v>227193.898830885</v>
      </c>
    </row>
    <row r="867" customFormat="false" ht="15" hidden="false" customHeight="false" outlineLevel="0" collapsed="false">
      <c r="A867" s="46" t="n">
        <v>858</v>
      </c>
      <c r="B867" s="47" t="n">
        <f aca="false">A867*$C$6</f>
        <v>1.57012274488705</v>
      </c>
      <c r="C867" s="48" t="n">
        <f aca="false">$C$7*B867</f>
        <v>11.9166666666667</v>
      </c>
      <c r="D867" s="49" t="n">
        <f aca="false">0.5*c_rho*'P3 Energie'!E8*'P3 Energie'!E7*(C867-c_Vv)^2+'P3 Energie'!E13+'P3 Energie'!E15+'P3 Energie'!E6*$C$7</f>
        <v>18236.8325756759</v>
      </c>
      <c r="E867" s="50" t="n">
        <f aca="false">D867*C867</f>
        <v>217322.254860138</v>
      </c>
      <c r="F867" s="46" t="n">
        <v>858</v>
      </c>
      <c r="G867" s="47" t="n">
        <f aca="false">F867*$H$6</f>
        <v>1.56558939745361</v>
      </c>
      <c r="H867" s="48" t="n">
        <f aca="false">$H$7*G867</f>
        <v>11.9166666666667</v>
      </c>
      <c r="I867" s="49" t="n">
        <f aca="false">0.5*c_rho*'P3 Energie'!F8*'P3 Energie'!F7*(H867-c_Vv)^2+'P3 Energie'!F13+'P3 Energie'!F15+'P3 Energie'!F6*$H$7</f>
        <v>19087.5835567046</v>
      </c>
      <c r="J867" s="50" t="n">
        <f aca="false">I867*H867</f>
        <v>227460.370717397</v>
      </c>
    </row>
    <row r="868" customFormat="false" ht="15" hidden="false" customHeight="false" outlineLevel="0" collapsed="false">
      <c r="A868" s="46" t="n">
        <v>859</v>
      </c>
      <c r="B868" s="47" t="n">
        <f aca="false">A868*$C$6</f>
        <v>1.5719527247762</v>
      </c>
      <c r="C868" s="48" t="n">
        <f aca="false">$C$7*B868</f>
        <v>11.9305555555556</v>
      </c>
      <c r="D868" s="49" t="n">
        <f aca="false">0.5*c_rho*'P3 Energie'!E8*'P3 Energie'!E7*(C868-c_Vv)^2+'P3 Energie'!E13+'P3 Energie'!E15+'P3 Energie'!E6*$C$7</f>
        <v>18236.9648743455</v>
      </c>
      <c r="E868" s="50" t="n">
        <f aca="false">D868*C868</f>
        <v>217577.122598094</v>
      </c>
      <c r="F868" s="46" t="n">
        <v>859</v>
      </c>
      <c r="G868" s="47" t="n">
        <f aca="false">F868*$H$6</f>
        <v>1.56741409372104</v>
      </c>
      <c r="H868" s="48" t="n">
        <f aca="false">$H$7*G868</f>
        <v>11.9305555555556</v>
      </c>
      <c r="I868" s="49" t="n">
        <f aca="false">0.5*c_rho*'P3 Energie'!F8*'P3 Energie'!F7*(H868-c_Vv)^2+'P3 Energie'!F13+'P3 Energie'!F15+'P3 Energie'!F6*$H$7</f>
        <v>19087.6985007132</v>
      </c>
      <c r="J868" s="50" t="n">
        <f aca="false">I868*H868</f>
        <v>227726.847390453</v>
      </c>
    </row>
    <row r="869" customFormat="false" ht="15" hidden="false" customHeight="false" outlineLevel="0" collapsed="false">
      <c r="A869" s="46" t="n">
        <v>860</v>
      </c>
      <c r="B869" s="47" t="n">
        <f aca="false">A869*$C$6</f>
        <v>1.57378270466534</v>
      </c>
      <c r="C869" s="48" t="n">
        <f aca="false">$C$7*B869</f>
        <v>11.9444444444444</v>
      </c>
      <c r="D869" s="49" t="n">
        <f aca="false">0.5*c_rho*'P3 Energie'!E8*'P3 Energie'!E7*(C869-c_Vv)^2+'P3 Energie'!E13+'P3 Energie'!E15+'P3 Energie'!E6*$C$7</f>
        <v>18237.0973271195</v>
      </c>
      <c r="E869" s="50" t="n">
        <f aca="false">D869*C869</f>
        <v>217831.995851705</v>
      </c>
      <c r="F869" s="46" t="n">
        <v>860</v>
      </c>
      <c r="G869" s="47" t="n">
        <f aca="false">F869*$H$6</f>
        <v>1.56923878998847</v>
      </c>
      <c r="H869" s="48" t="n">
        <f aca="false">$H$7*G869</f>
        <v>11.9444444444444</v>
      </c>
      <c r="I869" s="49" t="n">
        <f aca="false">0.5*c_rho*'P3 Energie'!F8*'P3 Energie'!F7*(H869-c_Vv)^2+'P3 Energie'!F13+'P3 Energie'!F15+'P3 Energie'!F6*$H$7</f>
        <v>19087.8135786111</v>
      </c>
      <c r="J869" s="50" t="n">
        <f aca="false">I869*H869</f>
        <v>227993.328855633</v>
      </c>
    </row>
    <row r="870" customFormat="false" ht="15" hidden="false" customHeight="false" outlineLevel="0" collapsed="false">
      <c r="A870" s="46" t="n">
        <v>861</v>
      </c>
      <c r="B870" s="47" t="n">
        <f aca="false">A870*$C$6</f>
        <v>1.57561268455449</v>
      </c>
      <c r="C870" s="48" t="n">
        <f aca="false">$C$7*B870</f>
        <v>11.9583333333333</v>
      </c>
      <c r="D870" s="49" t="n">
        <f aca="false">0.5*c_rho*'P3 Energie'!E8*'P3 Energie'!E7*(C870-c_Vv)^2+'P3 Energie'!E13+'P3 Energie'!E15+'P3 Energie'!E6*$C$7</f>
        <v>18237.2299339979</v>
      </c>
      <c r="E870" s="50" t="n">
        <f aca="false">D870*C870</f>
        <v>218086.874627391</v>
      </c>
      <c r="F870" s="46" t="n">
        <v>861</v>
      </c>
      <c r="G870" s="47" t="n">
        <f aca="false">F870*$H$6</f>
        <v>1.5710634862559</v>
      </c>
      <c r="H870" s="48" t="n">
        <f aca="false">$H$7*G870</f>
        <v>11.9583333333333</v>
      </c>
      <c r="I870" s="49" t="n">
        <f aca="false">0.5*c_rho*'P3 Energie'!F8*'P3 Energie'!F7*(H870-c_Vv)^2+'P3 Energie'!F13+'P3 Energie'!F15+'P3 Energie'!F6*$H$7</f>
        <v>19087.9287903984</v>
      </c>
      <c r="J870" s="50" t="n">
        <f aca="false">I870*H870</f>
        <v>228259.815118514</v>
      </c>
    </row>
    <row r="871" customFormat="false" ht="15" hidden="false" customHeight="false" outlineLevel="0" collapsed="false">
      <c r="A871" s="46" t="n">
        <v>862</v>
      </c>
      <c r="B871" s="47" t="n">
        <f aca="false">A871*$C$6</f>
        <v>1.57744266444364</v>
      </c>
      <c r="C871" s="48" t="n">
        <f aca="false">$C$7*B871</f>
        <v>11.9722222222222</v>
      </c>
      <c r="D871" s="49" t="n">
        <f aca="false">0.5*c_rho*'P3 Energie'!E8*'P3 Energie'!E7*(C871-c_Vv)^2+'P3 Energie'!E13+'P3 Energie'!E15+'P3 Energie'!E6*$C$7</f>
        <v>18237.3626949808</v>
      </c>
      <c r="E871" s="50" t="n">
        <f aca="false">D871*C871</f>
        <v>218341.758931575</v>
      </c>
      <c r="F871" s="46" t="n">
        <v>862</v>
      </c>
      <c r="G871" s="47" t="n">
        <f aca="false">F871*$H$6</f>
        <v>1.57288818252333</v>
      </c>
      <c r="H871" s="48" t="n">
        <f aca="false">$H$7*G871</f>
        <v>11.9722222222222</v>
      </c>
      <c r="I871" s="49" t="n">
        <f aca="false">0.5*c_rho*'P3 Energie'!F8*'P3 Energie'!F7*(H871-c_Vv)^2+'P3 Energie'!F13+'P3 Energie'!F15+'P3 Energie'!F6*$H$7</f>
        <v>19088.044136075</v>
      </c>
      <c r="J871" s="50" t="n">
        <f aca="false">I871*H871</f>
        <v>228526.306184676</v>
      </c>
    </row>
    <row r="872" customFormat="false" ht="15" hidden="false" customHeight="false" outlineLevel="0" collapsed="false">
      <c r="A872" s="46" t="n">
        <v>863</v>
      </c>
      <c r="B872" s="47" t="n">
        <f aca="false">A872*$C$6</f>
        <v>1.57927264433278</v>
      </c>
      <c r="C872" s="48" t="n">
        <f aca="false">$C$7*B872</f>
        <v>11.9861111111111</v>
      </c>
      <c r="D872" s="49" t="n">
        <f aca="false">0.5*c_rho*'P3 Energie'!E8*'P3 Energie'!E7*(C872-c_Vv)^2+'P3 Energie'!E13+'P3 Energie'!E15+'P3 Energie'!E6*$C$7</f>
        <v>18237.4956100681</v>
      </c>
      <c r="E872" s="50" t="n">
        <f aca="false">D872*C872</f>
        <v>218596.648770677</v>
      </c>
      <c r="F872" s="46" t="n">
        <v>863</v>
      </c>
      <c r="G872" s="47" t="n">
        <f aca="false">F872*$H$6</f>
        <v>1.57471287879076</v>
      </c>
      <c r="H872" s="48" t="n">
        <f aca="false">$H$7*G872</f>
        <v>11.9861111111111</v>
      </c>
      <c r="I872" s="49" t="n">
        <f aca="false">0.5*c_rho*'P3 Energie'!F8*'P3 Energie'!F7*(H872-c_Vv)^2+'P3 Energie'!F13+'P3 Energie'!F15+'P3 Energie'!F6*$H$7</f>
        <v>19088.159615641</v>
      </c>
      <c r="J872" s="50" t="n">
        <f aca="false">I872*H872</f>
        <v>228792.802059697</v>
      </c>
    </row>
    <row r="873" customFormat="false" ht="15" hidden="false" customHeight="false" outlineLevel="0" collapsed="false">
      <c r="A873" s="46" t="n">
        <v>864</v>
      </c>
      <c r="B873" s="47" t="n">
        <f aca="false">A873*$C$6</f>
        <v>1.58110262422193</v>
      </c>
      <c r="C873" s="48" t="n">
        <f aca="false">$C$7*B873</f>
        <v>12</v>
      </c>
      <c r="D873" s="49" t="n">
        <f aca="false">0.5*c_rho*'P3 Energie'!E8*'P3 Energie'!E7*(C873-c_Vv)^2+'P3 Energie'!E13+'P3 Energie'!E15+'P3 Energie'!E6*$C$7</f>
        <v>18237.6286792599</v>
      </c>
      <c r="E873" s="50" t="n">
        <f aca="false">D873*C873</f>
        <v>218851.544151118</v>
      </c>
      <c r="F873" s="46" t="n">
        <v>864</v>
      </c>
      <c r="G873" s="47" t="n">
        <f aca="false">F873*$H$6</f>
        <v>1.57653757505818</v>
      </c>
      <c r="H873" s="48" t="n">
        <f aca="false">$H$7*G873</f>
        <v>12</v>
      </c>
      <c r="I873" s="49" t="n">
        <f aca="false">0.5*c_rho*'P3 Energie'!F8*'P3 Energie'!F7*(H873-c_Vv)^2+'P3 Energie'!F13+'P3 Energie'!F15+'P3 Energie'!F6*$H$7</f>
        <v>19088.2752290963</v>
      </c>
      <c r="J873" s="50" t="n">
        <f aca="false">I873*H873</f>
        <v>229059.302749156</v>
      </c>
    </row>
    <row r="874" customFormat="false" ht="15" hidden="false" customHeight="false" outlineLevel="0" collapsed="false">
      <c r="A874" s="46" t="n">
        <v>865</v>
      </c>
      <c r="B874" s="47" t="n">
        <f aca="false">A874*$C$6</f>
        <v>1.58293260411107</v>
      </c>
      <c r="C874" s="48" t="n">
        <f aca="false">$C$7*B874</f>
        <v>12.0138888888889</v>
      </c>
      <c r="D874" s="49" t="n">
        <f aca="false">0.5*c_rho*'P3 Energie'!E8*'P3 Energie'!E7*(C874-c_Vv)^2+'P3 Energie'!E13+'P3 Energie'!E15+'P3 Energie'!E6*$C$7</f>
        <v>18237.7619025561</v>
      </c>
      <c r="E874" s="50" t="n">
        <f aca="false">D874*C874</f>
        <v>219106.44507932</v>
      </c>
      <c r="F874" s="46" t="n">
        <v>865</v>
      </c>
      <c r="G874" s="47" t="n">
        <f aca="false">F874*$H$6</f>
        <v>1.57836227132561</v>
      </c>
      <c r="H874" s="48" t="n">
        <f aca="false">$H$7*G874</f>
        <v>12.0138888888889</v>
      </c>
      <c r="I874" s="49" t="n">
        <f aca="false">0.5*c_rho*'P3 Energie'!F8*'P3 Energie'!F7*(H874-c_Vv)^2+'P3 Energie'!F13+'P3 Energie'!F15+'P3 Energie'!F6*$H$7</f>
        <v>19088.390976441</v>
      </c>
      <c r="J874" s="50" t="n">
        <f aca="false">I874*H874</f>
        <v>229325.808258631</v>
      </c>
    </row>
    <row r="875" customFormat="false" ht="15" hidden="false" customHeight="false" outlineLevel="0" collapsed="false">
      <c r="A875" s="46" t="n">
        <v>866</v>
      </c>
      <c r="B875" s="47" t="n">
        <f aca="false">A875*$C$6</f>
        <v>1.58476258400022</v>
      </c>
      <c r="C875" s="48" t="n">
        <f aca="false">$C$7*B875</f>
        <v>12.0277777777778</v>
      </c>
      <c r="D875" s="49" t="n">
        <f aca="false">0.5*c_rho*'P3 Energie'!E8*'P3 Energie'!E7*(C875-c_Vv)^2+'P3 Energie'!E13+'P3 Energie'!E15+'P3 Energie'!E6*$C$7</f>
        <v>18237.8952799568</v>
      </c>
      <c r="E875" s="50" t="n">
        <f aca="false">D875*C875</f>
        <v>219361.351561702</v>
      </c>
      <c r="F875" s="46" t="n">
        <v>866</v>
      </c>
      <c r="G875" s="47" t="n">
        <f aca="false">F875*$H$6</f>
        <v>1.58018696759304</v>
      </c>
      <c r="H875" s="48" t="n">
        <f aca="false">$H$7*G875</f>
        <v>12.0277777777778</v>
      </c>
      <c r="I875" s="49" t="n">
        <f aca="false">0.5*c_rho*'P3 Energie'!F8*'P3 Energie'!F7*(H875-c_Vv)^2+'P3 Energie'!F13+'P3 Energie'!F15+'P3 Energie'!F6*$H$7</f>
        <v>19088.506857675</v>
      </c>
      <c r="J875" s="50" t="n">
        <f aca="false">I875*H875</f>
        <v>229592.318593702</v>
      </c>
    </row>
    <row r="876" customFormat="false" ht="15" hidden="false" customHeight="false" outlineLevel="0" collapsed="false">
      <c r="A876" s="46" t="n">
        <v>867</v>
      </c>
      <c r="B876" s="47" t="n">
        <f aca="false">A876*$C$6</f>
        <v>1.58659256388936</v>
      </c>
      <c r="C876" s="48" t="n">
        <f aca="false">$C$7*B876</f>
        <v>12.0416666666667</v>
      </c>
      <c r="D876" s="49" t="n">
        <f aca="false">0.5*c_rho*'P3 Energie'!E8*'P3 Energie'!E7*(C876-c_Vv)^2+'P3 Energie'!E13+'P3 Energie'!E15+'P3 Energie'!E6*$C$7</f>
        <v>18238.0288114619</v>
      </c>
      <c r="E876" s="50" t="n">
        <f aca="false">D876*C876</f>
        <v>219616.263604687</v>
      </c>
      <c r="F876" s="46" t="n">
        <v>867</v>
      </c>
      <c r="G876" s="47" t="n">
        <f aca="false">F876*$H$6</f>
        <v>1.58201166386047</v>
      </c>
      <c r="H876" s="48" t="n">
        <f aca="false">$H$7*G876</f>
        <v>12.0416666666667</v>
      </c>
      <c r="I876" s="49" t="n">
        <f aca="false">0.5*c_rho*'P3 Energie'!F8*'P3 Energie'!F7*(H876-c_Vv)^2+'P3 Energie'!F13+'P3 Energie'!F15+'P3 Energie'!F6*$H$7</f>
        <v>19088.6228727984</v>
      </c>
      <c r="J876" s="50" t="n">
        <f aca="false">I876*H876</f>
        <v>229858.833759947</v>
      </c>
    </row>
    <row r="877" customFormat="false" ht="15" hidden="false" customHeight="false" outlineLevel="0" collapsed="false">
      <c r="A877" s="46" t="n">
        <v>868</v>
      </c>
      <c r="B877" s="47" t="n">
        <f aca="false">A877*$C$6</f>
        <v>1.58842254377851</v>
      </c>
      <c r="C877" s="48" t="n">
        <f aca="false">$C$7*B877</f>
        <v>12.0555555555556</v>
      </c>
      <c r="D877" s="49" t="n">
        <f aca="false">0.5*c_rho*'P3 Energie'!E8*'P3 Energie'!E7*(C877-c_Vv)^2+'P3 Energie'!E13+'P3 Energie'!E15+'P3 Energie'!E6*$C$7</f>
        <v>18238.1624970715</v>
      </c>
      <c r="E877" s="50" t="n">
        <f aca="false">D877*C877</f>
        <v>219871.181214695</v>
      </c>
      <c r="F877" s="46" t="n">
        <v>868</v>
      </c>
      <c r="G877" s="47" t="n">
        <f aca="false">F877*$H$6</f>
        <v>1.5838363601279</v>
      </c>
      <c r="H877" s="48" t="n">
        <f aca="false">$H$7*G877</f>
        <v>12.0555555555556</v>
      </c>
      <c r="I877" s="49" t="n">
        <f aca="false">0.5*c_rho*'P3 Energie'!F8*'P3 Energie'!F7*(H877-c_Vv)^2+'P3 Energie'!F13+'P3 Energie'!F15+'P3 Energie'!F6*$H$7</f>
        <v>19088.7390218111</v>
      </c>
      <c r="J877" s="50" t="n">
        <f aca="false">I877*H877</f>
        <v>230125.353762945</v>
      </c>
    </row>
    <row r="878" customFormat="false" ht="15" hidden="false" customHeight="false" outlineLevel="0" collapsed="false">
      <c r="A878" s="46" t="n">
        <v>869</v>
      </c>
      <c r="B878" s="47" t="n">
        <f aca="false">A878*$C$6</f>
        <v>1.59025252366766</v>
      </c>
      <c r="C878" s="48" t="n">
        <f aca="false">$C$7*B878</f>
        <v>12.0694444444444</v>
      </c>
      <c r="D878" s="49" t="n">
        <f aca="false">0.5*c_rho*'P3 Energie'!E8*'P3 Energie'!E7*(C878-c_Vv)^2+'P3 Energie'!E13+'P3 Energie'!E15+'P3 Energie'!E6*$C$7</f>
        <v>18238.2963367855</v>
      </c>
      <c r="E878" s="50" t="n">
        <f aca="false">D878*C878</f>
        <v>220126.104398147</v>
      </c>
      <c r="F878" s="46" t="n">
        <v>869</v>
      </c>
      <c r="G878" s="47" t="n">
        <f aca="false">F878*$H$6</f>
        <v>1.58566105639533</v>
      </c>
      <c r="H878" s="48" t="n">
        <f aca="false">$H$7*G878</f>
        <v>12.0694444444444</v>
      </c>
      <c r="I878" s="49" t="n">
        <f aca="false">0.5*c_rho*'P3 Energie'!F8*'P3 Energie'!F7*(H878-c_Vv)^2+'P3 Energie'!F13+'P3 Energie'!F15+'P3 Energie'!F6*$H$7</f>
        <v>19088.8553047132</v>
      </c>
      <c r="J878" s="50" t="n">
        <f aca="false">I878*H878</f>
        <v>230391.878608275</v>
      </c>
    </row>
    <row r="879" customFormat="false" ht="15" hidden="false" customHeight="false" outlineLevel="0" collapsed="false">
      <c r="A879" s="46" t="n">
        <v>870</v>
      </c>
      <c r="B879" s="47" t="n">
        <f aca="false">A879*$C$6</f>
        <v>1.5920825035568</v>
      </c>
      <c r="C879" s="48" t="n">
        <f aca="false">$C$7*B879</f>
        <v>12.0833333333333</v>
      </c>
      <c r="D879" s="49" t="n">
        <f aca="false">0.5*c_rho*'P3 Energie'!E8*'P3 Energie'!E7*(C879-c_Vv)^2+'P3 Energie'!E13+'P3 Energie'!E15+'P3 Energie'!E6*$C$7</f>
        <v>18238.4303306039</v>
      </c>
      <c r="E879" s="50" t="n">
        <f aca="false">D879*C879</f>
        <v>220381.033161464</v>
      </c>
      <c r="F879" s="46" t="n">
        <v>870</v>
      </c>
      <c r="G879" s="47" t="n">
        <f aca="false">F879*$H$6</f>
        <v>1.58748575266275</v>
      </c>
      <c r="H879" s="48" t="n">
        <f aca="false">$H$7*G879</f>
        <v>12.0833333333333</v>
      </c>
      <c r="I879" s="49" t="n">
        <f aca="false">0.5*c_rho*'P3 Energie'!F8*'P3 Energie'!F7*(H879-c_Vv)^2+'P3 Energie'!F13+'P3 Energie'!F15+'P3 Energie'!F6*$H$7</f>
        <v>19088.9717215046</v>
      </c>
      <c r="J879" s="50" t="n">
        <f aca="false">I879*H879</f>
        <v>230658.408301514</v>
      </c>
    </row>
    <row r="880" customFormat="false" ht="15" hidden="false" customHeight="false" outlineLevel="0" collapsed="false">
      <c r="A880" s="46" t="n">
        <v>871</v>
      </c>
      <c r="B880" s="47" t="n">
        <f aca="false">A880*$C$6</f>
        <v>1.59391248344595</v>
      </c>
      <c r="C880" s="48" t="n">
        <f aca="false">$C$7*B880</f>
        <v>12.0972222222222</v>
      </c>
      <c r="D880" s="49" t="n">
        <f aca="false">0.5*c_rho*'P3 Energie'!E8*'P3 Energie'!E7*(C880-c_Vv)^2+'P3 Energie'!E13+'P3 Energie'!E15+'P3 Energie'!E6*$C$7</f>
        <v>18238.5644785269</v>
      </c>
      <c r="E880" s="50" t="n">
        <f aca="false">D880*C880</f>
        <v>220635.967511068</v>
      </c>
      <c r="F880" s="46" t="n">
        <v>871</v>
      </c>
      <c r="G880" s="47" t="n">
        <f aca="false">F880*$H$6</f>
        <v>1.58931044893018</v>
      </c>
      <c r="H880" s="48" t="n">
        <f aca="false">$H$7*G880</f>
        <v>12.0972222222222</v>
      </c>
      <c r="I880" s="49" t="n">
        <f aca="false">0.5*c_rho*'P3 Energie'!F8*'P3 Energie'!F7*(H880-c_Vv)^2+'P3 Energie'!F13+'P3 Energie'!F15+'P3 Energie'!F6*$H$7</f>
        <v>19089.0882721854</v>
      </c>
      <c r="J880" s="50" t="n">
        <f aca="false">I880*H880</f>
        <v>230924.942848243</v>
      </c>
    </row>
    <row r="881" customFormat="false" ht="15" hidden="false" customHeight="false" outlineLevel="0" collapsed="false">
      <c r="A881" s="46" t="n">
        <v>872</v>
      </c>
      <c r="B881" s="47" t="n">
        <f aca="false">A881*$C$6</f>
        <v>1.59574246333509</v>
      </c>
      <c r="C881" s="48" t="n">
        <f aca="false">$C$7*B881</f>
        <v>12.1111111111111</v>
      </c>
      <c r="D881" s="49" t="n">
        <f aca="false">0.5*c_rho*'P3 Energie'!E8*'P3 Energie'!E7*(C881-c_Vv)^2+'P3 Energie'!E13+'P3 Energie'!E15+'P3 Energie'!E6*$C$7</f>
        <v>18238.6987805542</v>
      </c>
      <c r="E881" s="50" t="n">
        <f aca="false">D881*C881</f>
        <v>220890.907453379</v>
      </c>
      <c r="F881" s="46" t="n">
        <v>872</v>
      </c>
      <c r="G881" s="47" t="n">
        <f aca="false">F881*$H$6</f>
        <v>1.59113514519761</v>
      </c>
      <c r="H881" s="48" t="n">
        <f aca="false">$H$7*G881</f>
        <v>12.1111111111111</v>
      </c>
      <c r="I881" s="49" t="n">
        <f aca="false">0.5*c_rho*'P3 Energie'!F8*'P3 Energie'!F7*(H881-c_Vv)^2+'P3 Energie'!F13+'P3 Energie'!F15+'P3 Energie'!F6*$H$7</f>
        <v>19089.2049567556</v>
      </c>
      <c r="J881" s="50" t="n">
        <f aca="false">I881*H881</f>
        <v>231191.48225404</v>
      </c>
    </row>
    <row r="882" customFormat="false" ht="15" hidden="false" customHeight="false" outlineLevel="0" collapsed="false">
      <c r="A882" s="46" t="n">
        <v>873</v>
      </c>
      <c r="B882" s="47" t="n">
        <f aca="false">A882*$C$6</f>
        <v>1.59757244322424</v>
      </c>
      <c r="C882" s="48" t="n">
        <f aca="false">$C$7*B882</f>
        <v>12.125</v>
      </c>
      <c r="D882" s="49" t="n">
        <f aca="false">0.5*c_rho*'P3 Energie'!E8*'P3 Energie'!E7*(C882-c_Vv)^2+'P3 Energie'!E13+'P3 Energie'!E15+'P3 Energie'!E6*$C$7</f>
        <v>18238.833236686</v>
      </c>
      <c r="E882" s="50" t="n">
        <f aca="false">D882*C882</f>
        <v>221145.852994818</v>
      </c>
      <c r="F882" s="46" t="n">
        <v>873</v>
      </c>
      <c r="G882" s="47" t="n">
        <f aca="false">F882*$H$6</f>
        <v>1.59295984146504</v>
      </c>
      <c r="H882" s="48" t="n">
        <f aca="false">$H$7*G882</f>
        <v>12.125</v>
      </c>
      <c r="I882" s="49" t="n">
        <f aca="false">0.5*c_rho*'P3 Energie'!F8*'P3 Energie'!F7*(H882-c_Vv)^2+'P3 Energie'!F13+'P3 Energie'!F15+'P3 Energie'!F6*$H$7</f>
        <v>19089.3217752151</v>
      </c>
      <c r="J882" s="50" t="n">
        <f aca="false">I882*H882</f>
        <v>231458.026524482</v>
      </c>
    </row>
    <row r="883" customFormat="false" ht="15" hidden="false" customHeight="false" outlineLevel="0" collapsed="false">
      <c r="A883" s="46" t="n">
        <v>874</v>
      </c>
      <c r="B883" s="47" t="n">
        <f aca="false">A883*$C$6</f>
        <v>1.59940242311339</v>
      </c>
      <c r="C883" s="48" t="n">
        <f aca="false">$C$7*B883</f>
        <v>12.1388888888889</v>
      </c>
      <c r="D883" s="49" t="n">
        <f aca="false">0.5*c_rho*'P3 Energie'!E8*'P3 Energie'!E7*(C883-c_Vv)^2+'P3 Energie'!E13+'P3 Energie'!E15+'P3 Energie'!E6*$C$7</f>
        <v>18238.9678469223</v>
      </c>
      <c r="E883" s="50" t="n">
        <f aca="false">D883*C883</f>
        <v>221400.804141807</v>
      </c>
      <c r="F883" s="46" t="n">
        <v>874</v>
      </c>
      <c r="G883" s="47" t="n">
        <f aca="false">F883*$H$6</f>
        <v>1.59478453773247</v>
      </c>
      <c r="H883" s="48" t="n">
        <f aca="false">$H$7*G883</f>
        <v>12.1388888888889</v>
      </c>
      <c r="I883" s="49" t="n">
        <f aca="false">0.5*c_rho*'P3 Energie'!F8*'P3 Energie'!F7*(H883-c_Vv)^2+'P3 Energie'!F13+'P3 Energie'!F15+'P3 Energie'!F6*$H$7</f>
        <v>19089.4387275639</v>
      </c>
      <c r="J883" s="50" t="n">
        <f aca="false">I883*H883</f>
        <v>231724.575665151</v>
      </c>
    </row>
    <row r="884" customFormat="false" ht="15" hidden="false" customHeight="false" outlineLevel="0" collapsed="false">
      <c r="A884" s="46" t="n">
        <v>875</v>
      </c>
      <c r="B884" s="47" t="n">
        <f aca="false">A884*$C$6</f>
        <v>1.60123240300253</v>
      </c>
      <c r="C884" s="48" t="n">
        <f aca="false">$C$7*B884</f>
        <v>12.1527777777778</v>
      </c>
      <c r="D884" s="49" t="n">
        <f aca="false">0.5*c_rho*'P3 Energie'!E8*'P3 Energie'!E7*(C884-c_Vv)^2+'P3 Energie'!E13+'P3 Energie'!E15+'P3 Energie'!E6*$C$7</f>
        <v>18239.102611263</v>
      </c>
      <c r="E884" s="50" t="n">
        <f aca="false">D884*C884</f>
        <v>221655.760900766</v>
      </c>
      <c r="F884" s="46" t="n">
        <v>875</v>
      </c>
      <c r="G884" s="47" t="n">
        <f aca="false">F884*$H$6</f>
        <v>1.5966092339999</v>
      </c>
      <c r="H884" s="48" t="n">
        <f aca="false">$H$7*G884</f>
        <v>12.1527777777778</v>
      </c>
      <c r="I884" s="49" t="n">
        <f aca="false">0.5*c_rho*'P3 Energie'!F8*'P3 Energie'!F7*(H884-c_Vv)^2+'P3 Energie'!F13+'P3 Energie'!F15+'P3 Energie'!F6*$H$7</f>
        <v>19089.5558138021</v>
      </c>
      <c r="J884" s="50" t="n">
        <f aca="false">I884*H884</f>
        <v>231991.129681623</v>
      </c>
    </row>
    <row r="885" customFormat="false" ht="15" hidden="false" customHeight="false" outlineLevel="0" collapsed="false">
      <c r="A885" s="46" t="n">
        <v>876</v>
      </c>
      <c r="B885" s="47" t="n">
        <f aca="false">A885*$C$6</f>
        <v>1.60306238289168</v>
      </c>
      <c r="C885" s="48" t="n">
        <f aca="false">$C$7*B885</f>
        <v>12.1666666666667</v>
      </c>
      <c r="D885" s="49" t="n">
        <f aca="false">0.5*c_rho*'P3 Energie'!E8*'P3 Energie'!E7*(C885-c_Vv)^2+'P3 Energie'!E13+'P3 Energie'!E15+'P3 Energie'!E6*$C$7</f>
        <v>18239.2375297082</v>
      </c>
      <c r="E885" s="50" t="n">
        <f aca="false">D885*C885</f>
        <v>221910.723278116</v>
      </c>
      <c r="F885" s="46" t="n">
        <v>876</v>
      </c>
      <c r="G885" s="47" t="n">
        <f aca="false">F885*$H$6</f>
        <v>1.59843393026733</v>
      </c>
      <c r="H885" s="48" t="n">
        <f aca="false">$H$7*G885</f>
        <v>12.1666666666667</v>
      </c>
      <c r="I885" s="49" t="n">
        <f aca="false">0.5*c_rho*'P3 Energie'!F8*'P3 Energie'!F7*(H885-c_Vv)^2+'P3 Energie'!F13+'P3 Energie'!F15+'P3 Energie'!F6*$H$7</f>
        <v>19089.6730339296</v>
      </c>
      <c r="J885" s="50" t="n">
        <f aca="false">I885*H885</f>
        <v>232257.688579477</v>
      </c>
    </row>
    <row r="886" customFormat="false" ht="15" hidden="false" customHeight="false" outlineLevel="0" collapsed="false">
      <c r="A886" s="46" t="n">
        <v>877</v>
      </c>
      <c r="B886" s="47" t="n">
        <f aca="false">A886*$C$6</f>
        <v>1.60489236278082</v>
      </c>
      <c r="C886" s="48" t="n">
        <f aca="false">$C$7*B886</f>
        <v>12.1805555555556</v>
      </c>
      <c r="D886" s="49" t="n">
        <f aca="false">0.5*c_rho*'P3 Energie'!E8*'P3 Energie'!E7*(C886-c_Vv)^2+'P3 Energie'!E13+'P3 Energie'!E15+'P3 Energie'!E6*$C$7</f>
        <v>18239.3726022578</v>
      </c>
      <c r="E886" s="50" t="n">
        <f aca="false">D886*C886</f>
        <v>222165.691280279</v>
      </c>
      <c r="F886" s="46" t="n">
        <v>877</v>
      </c>
      <c r="G886" s="47" t="n">
        <f aca="false">F886*$H$6</f>
        <v>1.60025862653475</v>
      </c>
      <c r="H886" s="48" t="n">
        <f aca="false">$H$7*G886</f>
        <v>12.1805555555556</v>
      </c>
      <c r="I886" s="49" t="n">
        <f aca="false">0.5*c_rho*'P3 Energie'!F8*'P3 Energie'!F7*(H886-c_Vv)^2+'P3 Energie'!F13+'P3 Energie'!F15+'P3 Energie'!F6*$H$7</f>
        <v>19089.7903879465</v>
      </c>
      <c r="J886" s="50" t="n">
        <f aca="false">I886*H886</f>
        <v>232524.252364293</v>
      </c>
    </row>
    <row r="887" customFormat="false" ht="15" hidden="false" customHeight="false" outlineLevel="0" collapsed="false">
      <c r="A887" s="46" t="n">
        <v>878</v>
      </c>
      <c r="B887" s="47" t="n">
        <f aca="false">A887*$C$6</f>
        <v>1.60672234266997</v>
      </c>
      <c r="C887" s="48" t="n">
        <f aca="false">$C$7*B887</f>
        <v>12.1944444444444</v>
      </c>
      <c r="D887" s="49" t="n">
        <f aca="false">0.5*c_rho*'P3 Energie'!E8*'P3 Energie'!E7*(C887-c_Vv)^2+'P3 Energie'!E13+'P3 Energie'!E15+'P3 Energie'!E6*$C$7</f>
        <v>18239.5078289119</v>
      </c>
      <c r="E887" s="50" t="n">
        <f aca="false">D887*C887</f>
        <v>222420.664913675</v>
      </c>
      <c r="F887" s="46" t="n">
        <v>878</v>
      </c>
      <c r="G887" s="47" t="n">
        <f aca="false">F887*$H$6</f>
        <v>1.60208332280218</v>
      </c>
      <c r="H887" s="48" t="n">
        <f aca="false">$H$7*G887</f>
        <v>12.1944444444444</v>
      </c>
      <c r="I887" s="49" t="n">
        <f aca="false">0.5*c_rho*'P3 Energie'!F8*'P3 Energie'!F7*(H887-c_Vv)^2+'P3 Energie'!F13+'P3 Energie'!F15+'P3 Energie'!F6*$H$7</f>
        <v>19089.9078758528</v>
      </c>
      <c r="J887" s="50" t="n">
        <f aca="false">I887*H887</f>
        <v>232790.821041649</v>
      </c>
    </row>
    <row r="888" customFormat="false" ht="15" hidden="false" customHeight="false" outlineLevel="0" collapsed="false">
      <c r="A888" s="46" t="n">
        <v>879</v>
      </c>
      <c r="B888" s="47" t="n">
        <f aca="false">A888*$C$6</f>
        <v>1.60855232255911</v>
      </c>
      <c r="C888" s="48" t="n">
        <f aca="false">$C$7*B888</f>
        <v>12.2083333333333</v>
      </c>
      <c r="D888" s="49" t="n">
        <f aca="false">0.5*c_rho*'P3 Energie'!E8*'P3 Energie'!E7*(C888-c_Vv)^2+'P3 Energie'!E13+'P3 Energie'!E15+'P3 Energie'!E6*$C$7</f>
        <v>18239.6432096704</v>
      </c>
      <c r="E888" s="50" t="n">
        <f aca="false">D888*C888</f>
        <v>222675.644184726</v>
      </c>
      <c r="F888" s="46" t="n">
        <v>879</v>
      </c>
      <c r="G888" s="47" t="n">
        <f aca="false">F888*$H$6</f>
        <v>1.60390801906961</v>
      </c>
      <c r="H888" s="48" t="n">
        <f aca="false">$H$7*G888</f>
        <v>12.2083333333333</v>
      </c>
      <c r="I888" s="49" t="n">
        <f aca="false">0.5*c_rho*'P3 Energie'!F8*'P3 Energie'!F7*(H888-c_Vv)^2+'P3 Energie'!F13+'P3 Energie'!F15+'P3 Energie'!F6*$H$7</f>
        <v>19090.0254976484</v>
      </c>
      <c r="J888" s="50" t="n">
        <f aca="false">I888*H888</f>
        <v>233057.394617124</v>
      </c>
    </row>
    <row r="889" customFormat="false" ht="15" hidden="false" customHeight="false" outlineLevel="0" collapsed="false">
      <c r="A889" s="46" t="n">
        <v>880</v>
      </c>
      <c r="B889" s="47" t="n">
        <f aca="false">A889*$C$6</f>
        <v>1.61038230244826</v>
      </c>
      <c r="C889" s="48" t="n">
        <f aca="false">$C$7*B889</f>
        <v>12.2222222222222</v>
      </c>
      <c r="D889" s="49" t="n">
        <f aca="false">0.5*c_rho*'P3 Energie'!E8*'P3 Energie'!E7*(C889-c_Vv)^2+'P3 Energie'!E13+'P3 Energie'!E15+'P3 Energie'!E6*$C$7</f>
        <v>18239.7787445333</v>
      </c>
      <c r="E889" s="50" t="n">
        <f aca="false">D889*C889</f>
        <v>222930.629099852</v>
      </c>
      <c r="F889" s="46" t="n">
        <v>880</v>
      </c>
      <c r="G889" s="47" t="n">
        <f aca="false">F889*$H$6</f>
        <v>1.60573271533704</v>
      </c>
      <c r="H889" s="48" t="n">
        <f aca="false">$H$7*G889</f>
        <v>12.2222222222222</v>
      </c>
      <c r="I889" s="49" t="n">
        <f aca="false">0.5*c_rho*'P3 Energie'!F8*'P3 Energie'!F7*(H889-c_Vv)^2+'P3 Energie'!F13+'P3 Energie'!F15+'P3 Energie'!F6*$H$7</f>
        <v>19090.1432533333</v>
      </c>
      <c r="J889" s="50" t="n">
        <f aca="false">I889*H889</f>
        <v>233323.973096296</v>
      </c>
    </row>
    <row r="890" customFormat="false" ht="15" hidden="false" customHeight="false" outlineLevel="0" collapsed="false">
      <c r="A890" s="46" t="n">
        <v>881</v>
      </c>
      <c r="B890" s="47" t="n">
        <f aca="false">A890*$C$6</f>
        <v>1.61221228233741</v>
      </c>
      <c r="C890" s="48" t="n">
        <f aca="false">$C$7*B890</f>
        <v>12.2361111111111</v>
      </c>
      <c r="D890" s="49" t="n">
        <f aca="false">0.5*c_rho*'P3 Energie'!E8*'P3 Energie'!E7*(C890-c_Vv)^2+'P3 Energie'!E13+'P3 Energie'!E15+'P3 Energie'!E6*$C$7</f>
        <v>18239.9144335008</v>
      </c>
      <c r="E890" s="50" t="n">
        <f aca="false">D890*C890</f>
        <v>223185.619665474</v>
      </c>
      <c r="F890" s="46" t="n">
        <v>881</v>
      </c>
      <c r="G890" s="47" t="n">
        <f aca="false">F890*$H$6</f>
        <v>1.60755741160447</v>
      </c>
      <c r="H890" s="48" t="n">
        <f aca="false">$H$7*G890</f>
        <v>12.2361111111111</v>
      </c>
      <c r="I890" s="49" t="n">
        <f aca="false">0.5*c_rho*'P3 Energie'!F8*'P3 Energie'!F7*(H890-c_Vv)^2+'P3 Energie'!F13+'P3 Energie'!F15+'P3 Energie'!F6*$H$7</f>
        <v>19090.2611429076</v>
      </c>
      <c r="J890" s="50" t="n">
        <f aca="false">I890*H890</f>
        <v>233590.556484745</v>
      </c>
    </row>
    <row r="891" customFormat="false" ht="15" hidden="false" customHeight="false" outlineLevel="0" collapsed="false">
      <c r="A891" s="46" t="n">
        <v>882</v>
      </c>
      <c r="B891" s="47" t="n">
        <f aca="false">A891*$C$6</f>
        <v>1.61404226222655</v>
      </c>
      <c r="C891" s="48" t="n">
        <f aca="false">$C$7*B891</f>
        <v>12.25</v>
      </c>
      <c r="D891" s="49" t="n">
        <f aca="false">0.5*c_rho*'P3 Energie'!E8*'P3 Energie'!E7*(C891-c_Vv)^2+'P3 Energie'!E13+'P3 Energie'!E15+'P3 Energie'!E6*$C$7</f>
        <v>18240.0502765726</v>
      </c>
      <c r="E891" s="50" t="n">
        <f aca="false">D891*C891</f>
        <v>223440.615888015</v>
      </c>
      <c r="F891" s="46" t="n">
        <v>882</v>
      </c>
      <c r="G891" s="47" t="n">
        <f aca="false">F891*$H$6</f>
        <v>1.6093821078719</v>
      </c>
      <c r="H891" s="48" t="n">
        <f aca="false">$H$7*G891</f>
        <v>12.25</v>
      </c>
      <c r="I891" s="49" t="n">
        <f aca="false">0.5*c_rho*'P3 Energie'!F8*'P3 Energie'!F7*(H891-c_Vv)^2+'P3 Energie'!F13+'P3 Energie'!F15+'P3 Energie'!F6*$H$7</f>
        <v>19090.3791663713</v>
      </c>
      <c r="J891" s="50" t="n">
        <f aca="false">I891*H891</f>
        <v>233857.144788048</v>
      </c>
    </row>
    <row r="892" customFormat="false" ht="15" hidden="false" customHeight="false" outlineLevel="0" collapsed="false">
      <c r="A892" s="46" t="n">
        <v>883</v>
      </c>
      <c r="B892" s="47" t="n">
        <f aca="false">A892*$C$6</f>
        <v>1.6158722421157</v>
      </c>
      <c r="C892" s="48" t="n">
        <f aca="false">$C$7*B892</f>
        <v>12.2638888888889</v>
      </c>
      <c r="D892" s="49" t="n">
        <f aca="false">0.5*c_rho*'P3 Energie'!E8*'P3 Energie'!E7*(C892-c_Vv)^2+'P3 Energie'!E13+'P3 Energie'!E15+'P3 Energie'!E6*$C$7</f>
        <v>18240.1862737489</v>
      </c>
      <c r="E892" s="50" t="n">
        <f aca="false">D892*C892</f>
        <v>223695.617773893</v>
      </c>
      <c r="F892" s="46" t="n">
        <v>883</v>
      </c>
      <c r="G892" s="47" t="n">
        <f aca="false">F892*$H$6</f>
        <v>1.61120680413932</v>
      </c>
      <c r="H892" s="48" t="n">
        <f aca="false">$H$7*G892</f>
        <v>12.2638888888889</v>
      </c>
      <c r="I892" s="49" t="n">
        <f aca="false">0.5*c_rho*'P3 Energie'!F8*'P3 Energie'!F7*(H892-c_Vv)^2+'P3 Energie'!F13+'P3 Energie'!F15+'P3 Energie'!F6*$H$7</f>
        <v>19090.4973237243</v>
      </c>
      <c r="J892" s="50" t="n">
        <f aca="false">I892*H892</f>
        <v>234123.738011786</v>
      </c>
    </row>
    <row r="893" customFormat="false" ht="15" hidden="false" customHeight="false" outlineLevel="0" collapsed="false">
      <c r="A893" s="46" t="n">
        <v>884</v>
      </c>
      <c r="B893" s="47" t="n">
        <f aca="false">A893*$C$6</f>
        <v>1.61770222200484</v>
      </c>
      <c r="C893" s="48" t="n">
        <f aca="false">$C$7*B893</f>
        <v>12.2777777777778</v>
      </c>
      <c r="D893" s="49" t="n">
        <f aca="false">0.5*c_rho*'P3 Energie'!E8*'P3 Energie'!E7*(C893-c_Vv)^2+'P3 Energie'!E13+'P3 Energie'!E15+'P3 Energie'!E6*$C$7</f>
        <v>18240.3224250297</v>
      </c>
      <c r="E893" s="50" t="n">
        <f aca="false">D893*C893</f>
        <v>223950.625329531</v>
      </c>
      <c r="F893" s="46" t="n">
        <v>884</v>
      </c>
      <c r="G893" s="47" t="n">
        <f aca="false">F893*$H$6</f>
        <v>1.61303150040675</v>
      </c>
      <c r="H893" s="48" t="n">
        <f aca="false">$H$7*G893</f>
        <v>12.2777777777778</v>
      </c>
      <c r="I893" s="49" t="n">
        <f aca="false">0.5*c_rho*'P3 Energie'!F8*'P3 Energie'!F7*(H893-c_Vv)^2+'P3 Energie'!F13+'P3 Energie'!F15+'P3 Energie'!F6*$H$7</f>
        <v>19090.6156149667</v>
      </c>
      <c r="J893" s="50" t="n">
        <f aca="false">I893*H893</f>
        <v>234390.336161535</v>
      </c>
    </row>
    <row r="894" customFormat="false" ht="15" hidden="false" customHeight="false" outlineLevel="0" collapsed="false">
      <c r="A894" s="46" t="n">
        <v>885</v>
      </c>
      <c r="B894" s="47" t="n">
        <f aca="false">A894*$C$6</f>
        <v>1.61953220189399</v>
      </c>
      <c r="C894" s="48" t="n">
        <f aca="false">$C$7*B894</f>
        <v>12.2916666666667</v>
      </c>
      <c r="D894" s="49" t="n">
        <f aca="false">0.5*c_rho*'P3 Energie'!E8*'P3 Energie'!E7*(C894-c_Vv)^2+'P3 Energie'!E13+'P3 Energie'!E15+'P3 Energie'!E6*$C$7</f>
        <v>18240.4587304149</v>
      </c>
      <c r="E894" s="50" t="n">
        <f aca="false">D894*C894</f>
        <v>224205.63856135</v>
      </c>
      <c r="F894" s="46" t="n">
        <v>885</v>
      </c>
      <c r="G894" s="47" t="n">
        <f aca="false">F894*$H$6</f>
        <v>1.61485619667418</v>
      </c>
      <c r="H894" s="48" t="n">
        <f aca="false">$H$7*G894</f>
        <v>12.2916666666667</v>
      </c>
      <c r="I894" s="49" t="n">
        <f aca="false">0.5*c_rho*'P3 Energie'!F8*'P3 Energie'!F7*(H894-c_Vv)^2+'P3 Energie'!F13+'P3 Energie'!F15+'P3 Energie'!F6*$H$7</f>
        <v>19090.7340400984</v>
      </c>
      <c r="J894" s="50" t="n">
        <f aca="false">I894*H894</f>
        <v>234656.939242876</v>
      </c>
    </row>
    <row r="895" customFormat="false" ht="15" hidden="false" customHeight="false" outlineLevel="0" collapsed="false">
      <c r="A895" s="46" t="n">
        <v>886</v>
      </c>
      <c r="B895" s="47" t="n">
        <f aca="false">A895*$C$6</f>
        <v>1.62136218178313</v>
      </c>
      <c r="C895" s="48" t="n">
        <f aca="false">$C$7*B895</f>
        <v>12.3055555555556</v>
      </c>
      <c r="D895" s="49" t="n">
        <f aca="false">0.5*c_rho*'P3 Energie'!E8*'P3 Energie'!E7*(C895-c_Vv)^2+'P3 Energie'!E13+'P3 Energie'!E15+'P3 Energie'!E6*$C$7</f>
        <v>18240.5951899045</v>
      </c>
      <c r="E895" s="50" t="n">
        <f aca="false">D895*C895</f>
        <v>224460.65747577</v>
      </c>
      <c r="F895" s="46" t="n">
        <v>886</v>
      </c>
      <c r="G895" s="47" t="n">
        <f aca="false">F895*$H$6</f>
        <v>1.61668089294161</v>
      </c>
      <c r="H895" s="48" t="n">
        <f aca="false">$H$7*G895</f>
        <v>12.3055555555556</v>
      </c>
      <c r="I895" s="49" t="n">
        <f aca="false">0.5*c_rho*'P3 Energie'!F8*'P3 Energie'!F7*(H895-c_Vv)^2+'P3 Energie'!F13+'P3 Energie'!F15+'P3 Energie'!F6*$H$7</f>
        <v>19090.8525991194</v>
      </c>
      <c r="J895" s="50" t="n">
        <f aca="false">I895*H895</f>
        <v>234923.547261387</v>
      </c>
    </row>
    <row r="896" customFormat="false" ht="15" hidden="false" customHeight="false" outlineLevel="0" collapsed="false">
      <c r="A896" s="46" t="n">
        <v>887</v>
      </c>
      <c r="B896" s="47" t="n">
        <f aca="false">A896*$C$6</f>
        <v>1.62319216167228</v>
      </c>
      <c r="C896" s="48" t="n">
        <f aca="false">$C$7*B896</f>
        <v>12.3194444444444</v>
      </c>
      <c r="D896" s="49" t="n">
        <f aca="false">0.5*c_rho*'P3 Energie'!E8*'P3 Energie'!E7*(C896-c_Vv)^2+'P3 Energie'!E13+'P3 Energie'!E15+'P3 Energie'!E6*$C$7</f>
        <v>18240.7318034986</v>
      </c>
      <c r="E896" s="50" t="n">
        <f aca="false">D896*C896</f>
        <v>224715.682079212</v>
      </c>
      <c r="F896" s="46" t="n">
        <v>887</v>
      </c>
      <c r="G896" s="47" t="n">
        <f aca="false">F896*$H$6</f>
        <v>1.61850558920904</v>
      </c>
      <c r="H896" s="48" t="n">
        <f aca="false">$H$7*G896</f>
        <v>12.3194444444444</v>
      </c>
      <c r="I896" s="49" t="n">
        <f aca="false">0.5*c_rho*'P3 Energie'!F8*'P3 Energie'!F7*(H896-c_Vv)^2+'P3 Energie'!F13+'P3 Energie'!F15+'P3 Energie'!F6*$H$7</f>
        <v>19090.9712920299</v>
      </c>
      <c r="J896" s="50" t="n">
        <f aca="false">I896*H896</f>
        <v>235190.160222646</v>
      </c>
    </row>
    <row r="897" customFormat="false" ht="15" hidden="false" customHeight="false" outlineLevel="0" collapsed="false">
      <c r="A897" s="46" t="n">
        <v>888</v>
      </c>
      <c r="B897" s="47" t="n">
        <f aca="false">A897*$C$6</f>
        <v>1.62502214156143</v>
      </c>
      <c r="C897" s="48" t="n">
        <f aca="false">$C$7*B897</f>
        <v>12.3333333333333</v>
      </c>
      <c r="D897" s="49" t="n">
        <f aca="false">0.5*c_rho*'P3 Energie'!E8*'P3 Energie'!E7*(C897-c_Vv)^2+'P3 Energie'!E13+'P3 Energie'!E15+'P3 Energie'!E6*$C$7</f>
        <v>18240.8685711972</v>
      </c>
      <c r="E897" s="50" t="n">
        <f aca="false">D897*C897</f>
        <v>224970.712378099</v>
      </c>
      <c r="F897" s="46" t="n">
        <v>888</v>
      </c>
      <c r="G897" s="47" t="n">
        <f aca="false">F897*$H$6</f>
        <v>1.62033028547647</v>
      </c>
      <c r="H897" s="48" t="n">
        <f aca="false">$H$7*G897</f>
        <v>12.3333333333333</v>
      </c>
      <c r="I897" s="49" t="n">
        <f aca="false">0.5*c_rho*'P3 Energie'!F8*'P3 Energie'!F7*(H897-c_Vv)^2+'P3 Energie'!F13+'P3 Energie'!F15+'P3 Energie'!F6*$H$7</f>
        <v>19091.0901188296</v>
      </c>
      <c r="J897" s="50" t="n">
        <f aca="false">I897*H897</f>
        <v>235456.778132232</v>
      </c>
    </row>
    <row r="898" customFormat="false" ht="15" hidden="false" customHeight="false" outlineLevel="0" collapsed="false">
      <c r="A898" s="46" t="n">
        <v>889</v>
      </c>
      <c r="B898" s="47" t="n">
        <f aca="false">A898*$C$6</f>
        <v>1.62685212145057</v>
      </c>
      <c r="C898" s="48" t="n">
        <f aca="false">$C$7*B898</f>
        <v>12.3472222222222</v>
      </c>
      <c r="D898" s="49" t="n">
        <f aca="false">0.5*c_rho*'P3 Energie'!E8*'P3 Energie'!E7*(C898-c_Vv)^2+'P3 Energie'!E13+'P3 Energie'!E15+'P3 Energie'!E6*$C$7</f>
        <v>18241.0054930002</v>
      </c>
      <c r="E898" s="50" t="n">
        <f aca="false">D898*C898</f>
        <v>225225.74837885</v>
      </c>
      <c r="F898" s="46" t="n">
        <v>889</v>
      </c>
      <c r="G898" s="47" t="n">
        <f aca="false">F898*$H$6</f>
        <v>1.6221549817439</v>
      </c>
      <c r="H898" s="48" t="n">
        <f aca="false">$H$7*G898</f>
        <v>12.3472222222222</v>
      </c>
      <c r="I898" s="49" t="n">
        <f aca="false">0.5*c_rho*'P3 Energie'!F8*'P3 Energie'!F7*(H898-c_Vv)^2+'P3 Energie'!F13+'P3 Energie'!F15+'P3 Energie'!F6*$H$7</f>
        <v>19091.2090795188</v>
      </c>
      <c r="J898" s="50" t="n">
        <f aca="false">I898*H898</f>
        <v>235723.400995725</v>
      </c>
    </row>
    <row r="899" customFormat="false" ht="15" hidden="false" customHeight="false" outlineLevel="0" collapsed="false">
      <c r="A899" s="46" t="n">
        <v>890</v>
      </c>
      <c r="B899" s="47" t="n">
        <f aca="false">A899*$C$6</f>
        <v>1.62868210133972</v>
      </c>
      <c r="C899" s="48" t="n">
        <f aca="false">$C$7*B899</f>
        <v>12.3611111111111</v>
      </c>
      <c r="D899" s="49" t="n">
        <f aca="false">0.5*c_rho*'P3 Energie'!E8*'P3 Energie'!E7*(C899-c_Vv)^2+'P3 Energie'!E13+'P3 Energie'!E15+'P3 Energie'!E6*$C$7</f>
        <v>18241.1425689076</v>
      </c>
      <c r="E899" s="50" t="n">
        <f aca="false">D899*C899</f>
        <v>225480.790087886</v>
      </c>
      <c r="F899" s="46" t="n">
        <v>890</v>
      </c>
      <c r="G899" s="47" t="n">
        <f aca="false">F899*$H$6</f>
        <v>1.62397967801132</v>
      </c>
      <c r="H899" s="48" t="n">
        <f aca="false">$H$7*G899</f>
        <v>12.3611111111111</v>
      </c>
      <c r="I899" s="49" t="n">
        <f aca="false">0.5*c_rho*'P3 Energie'!F8*'P3 Energie'!F7*(H899-c_Vv)^2+'P3 Energie'!F13+'P3 Energie'!F15+'P3 Energie'!F6*$H$7</f>
        <v>19091.3281740972</v>
      </c>
      <c r="J899" s="50" t="n">
        <f aca="false">I899*H899</f>
        <v>235990.028818702</v>
      </c>
    </row>
    <row r="900" customFormat="false" ht="15" hidden="false" customHeight="false" outlineLevel="0" collapsed="false">
      <c r="A900" s="46" t="n">
        <v>891</v>
      </c>
      <c r="B900" s="47" t="n">
        <f aca="false">A900*$C$6</f>
        <v>1.63051208122886</v>
      </c>
      <c r="C900" s="48" t="n">
        <f aca="false">$C$7*B900</f>
        <v>12.375</v>
      </c>
      <c r="D900" s="49" t="n">
        <f aca="false">0.5*c_rho*'P3 Energie'!E8*'P3 Energie'!E7*(C900-c_Vv)^2+'P3 Energie'!E13+'P3 Energie'!E15+'P3 Energie'!E6*$C$7</f>
        <v>18241.2797989195</v>
      </c>
      <c r="E900" s="50" t="n">
        <f aca="false">D900*C900</f>
        <v>225735.837511629</v>
      </c>
      <c r="F900" s="46" t="n">
        <v>891</v>
      </c>
      <c r="G900" s="47" t="n">
        <f aca="false">F900*$H$6</f>
        <v>1.62580437427875</v>
      </c>
      <c r="H900" s="48" t="n">
        <f aca="false">$H$7*G900</f>
        <v>12.375</v>
      </c>
      <c r="I900" s="49" t="n">
        <f aca="false">0.5*c_rho*'P3 Energie'!F8*'P3 Energie'!F7*(H900-c_Vv)^2+'P3 Energie'!F13+'P3 Energie'!F15+'P3 Energie'!F6*$H$7</f>
        <v>19091.447402565</v>
      </c>
      <c r="J900" s="50" t="n">
        <f aca="false">I900*H900</f>
        <v>236256.661606742</v>
      </c>
    </row>
    <row r="901" customFormat="false" ht="15" hidden="false" customHeight="false" outlineLevel="0" collapsed="false">
      <c r="A901" s="46" t="n">
        <v>892</v>
      </c>
      <c r="B901" s="47" t="n">
        <f aca="false">A901*$C$6</f>
        <v>1.63234206111801</v>
      </c>
      <c r="C901" s="48" t="n">
        <f aca="false">$C$7*B901</f>
        <v>12.3888888888889</v>
      </c>
      <c r="D901" s="49" t="n">
        <f aca="false">0.5*c_rho*'P3 Energie'!E8*'P3 Energie'!E7*(C901-c_Vv)^2+'P3 Energie'!E13+'P3 Energie'!E15+'P3 Energie'!E6*$C$7</f>
        <v>18241.4171830359</v>
      </c>
      <c r="E901" s="50" t="n">
        <f aca="false">D901*C901</f>
        <v>225990.8906565</v>
      </c>
      <c r="F901" s="46" t="n">
        <v>892</v>
      </c>
      <c r="G901" s="47" t="n">
        <f aca="false">F901*$H$6</f>
        <v>1.62762907054618</v>
      </c>
      <c r="H901" s="48" t="n">
        <f aca="false">$H$7*G901</f>
        <v>12.3888888888889</v>
      </c>
      <c r="I901" s="49" t="n">
        <f aca="false">0.5*c_rho*'P3 Energie'!F8*'P3 Energie'!F7*(H901-c_Vv)^2+'P3 Energie'!F13+'P3 Energie'!F15+'P3 Energie'!F6*$H$7</f>
        <v>19091.5667649222</v>
      </c>
      <c r="J901" s="50" t="n">
        <f aca="false">I901*H901</f>
        <v>236523.299365425</v>
      </c>
    </row>
    <row r="902" customFormat="false" ht="15" hidden="false" customHeight="false" outlineLevel="0" collapsed="false">
      <c r="A902" s="46" t="n">
        <v>893</v>
      </c>
      <c r="B902" s="47" t="n">
        <f aca="false">A902*$C$6</f>
        <v>1.63417204100715</v>
      </c>
      <c r="C902" s="48" t="n">
        <f aca="false">$C$7*B902</f>
        <v>12.4027777777778</v>
      </c>
      <c r="D902" s="49" t="n">
        <f aca="false">0.5*c_rho*'P3 Energie'!E8*'P3 Energie'!E7*(C902-c_Vv)^2+'P3 Energie'!E13+'P3 Energie'!E15+'P3 Energie'!E6*$C$7</f>
        <v>18241.5547212567</v>
      </c>
      <c r="E902" s="50" t="n">
        <f aca="false">D902*C902</f>
        <v>226245.94952892</v>
      </c>
      <c r="F902" s="46" t="n">
        <v>893</v>
      </c>
      <c r="G902" s="47" t="n">
        <f aca="false">F902*$H$6</f>
        <v>1.62945376681361</v>
      </c>
      <c r="H902" s="48" t="n">
        <f aca="false">$H$7*G902</f>
        <v>12.4027777777778</v>
      </c>
      <c r="I902" s="49" t="n">
        <f aca="false">0.5*c_rho*'P3 Energie'!F8*'P3 Energie'!F7*(H902-c_Vv)^2+'P3 Energie'!F13+'P3 Energie'!F15+'P3 Energie'!F6*$H$7</f>
        <v>19091.6862611688</v>
      </c>
      <c r="J902" s="50" t="n">
        <f aca="false">I902*H902</f>
        <v>236789.942100329</v>
      </c>
    </row>
    <row r="903" customFormat="false" ht="15" hidden="false" customHeight="false" outlineLevel="0" collapsed="false">
      <c r="A903" s="46" t="n">
        <v>894</v>
      </c>
      <c r="B903" s="47" t="n">
        <f aca="false">A903*$C$6</f>
        <v>1.6360020208963</v>
      </c>
      <c r="C903" s="48" t="n">
        <f aca="false">$C$7*B903</f>
        <v>12.4166666666667</v>
      </c>
      <c r="D903" s="49" t="n">
        <f aca="false">0.5*c_rho*'P3 Energie'!E8*'P3 Energie'!E7*(C903-c_Vv)^2+'P3 Energie'!E13+'P3 Energie'!E15+'P3 Energie'!E6*$C$7</f>
        <v>18241.6924135819</v>
      </c>
      <c r="E903" s="50" t="n">
        <f aca="false">D903*C903</f>
        <v>226501.014135309</v>
      </c>
      <c r="F903" s="46" t="n">
        <v>894</v>
      </c>
      <c r="G903" s="47" t="n">
        <f aca="false">F903*$H$6</f>
        <v>1.63127846308104</v>
      </c>
      <c r="H903" s="48" t="n">
        <f aca="false">$H$7*G903</f>
        <v>12.4166666666667</v>
      </c>
      <c r="I903" s="49" t="n">
        <f aca="false">0.5*c_rho*'P3 Energie'!F8*'P3 Energie'!F7*(H903-c_Vv)^2+'P3 Energie'!F13+'P3 Energie'!F15+'P3 Energie'!F6*$H$7</f>
        <v>19091.8058913046</v>
      </c>
      <c r="J903" s="50" t="n">
        <f aca="false">I903*H903</f>
        <v>237056.589817033</v>
      </c>
    </row>
    <row r="904" customFormat="false" ht="15" hidden="false" customHeight="false" outlineLevel="0" collapsed="false">
      <c r="A904" s="46" t="n">
        <v>895</v>
      </c>
      <c r="B904" s="47" t="n">
        <f aca="false">A904*$C$6</f>
        <v>1.63783200078545</v>
      </c>
      <c r="C904" s="48" t="n">
        <f aca="false">$C$7*B904</f>
        <v>12.4305555555556</v>
      </c>
      <c r="D904" s="49" t="n">
        <f aca="false">0.5*c_rho*'P3 Energie'!E8*'P3 Energie'!E7*(C904-c_Vv)^2+'P3 Energie'!E13+'P3 Energie'!E15+'P3 Energie'!E6*$C$7</f>
        <v>18241.8302600116</v>
      </c>
      <c r="E904" s="50" t="n">
        <f aca="false">D904*C904</f>
        <v>226756.084482089</v>
      </c>
      <c r="F904" s="46" t="n">
        <v>895</v>
      </c>
      <c r="G904" s="47" t="n">
        <f aca="false">F904*$H$6</f>
        <v>1.63310315934847</v>
      </c>
      <c r="H904" s="48" t="n">
        <f aca="false">$H$7*G904</f>
        <v>12.4305555555556</v>
      </c>
      <c r="I904" s="49" t="n">
        <f aca="false">0.5*c_rho*'P3 Energie'!F8*'P3 Energie'!F7*(H904-c_Vv)^2+'P3 Energie'!F13+'P3 Energie'!F15+'P3 Energie'!F6*$H$7</f>
        <v>19091.9256553299</v>
      </c>
      <c r="J904" s="50" t="n">
        <f aca="false">I904*H904</f>
        <v>237323.242521114</v>
      </c>
    </row>
    <row r="905" customFormat="false" ht="15" hidden="false" customHeight="false" outlineLevel="0" collapsed="false">
      <c r="A905" s="46" t="n">
        <v>896</v>
      </c>
      <c r="B905" s="47" t="n">
        <f aca="false">A905*$C$6</f>
        <v>1.63966198067459</v>
      </c>
      <c r="C905" s="48" t="n">
        <f aca="false">$C$7*B905</f>
        <v>12.4444444444444</v>
      </c>
      <c r="D905" s="49" t="n">
        <f aca="false">0.5*c_rho*'P3 Energie'!E8*'P3 Energie'!E7*(C905-c_Vv)^2+'P3 Energie'!E13+'P3 Energie'!E15+'P3 Energie'!E6*$C$7</f>
        <v>18241.9682605458</v>
      </c>
      <c r="E905" s="50" t="n">
        <f aca="false">D905*C905</f>
        <v>227011.160575681</v>
      </c>
      <c r="F905" s="46" t="n">
        <v>896</v>
      </c>
      <c r="G905" s="47" t="n">
        <f aca="false">F905*$H$6</f>
        <v>1.63492785561589</v>
      </c>
      <c r="H905" s="48" t="n">
        <f aca="false">$H$7*G905</f>
        <v>12.4444444444444</v>
      </c>
      <c r="I905" s="49" t="n">
        <f aca="false">0.5*c_rho*'P3 Energie'!F8*'P3 Energie'!F7*(H905-c_Vv)^2+'P3 Energie'!F13+'P3 Energie'!F15+'P3 Energie'!F6*$H$7</f>
        <v>19092.0455532444</v>
      </c>
      <c r="J905" s="50" t="n">
        <f aca="false">I905*H905</f>
        <v>237589.900218153</v>
      </c>
    </row>
    <row r="906" customFormat="false" ht="15" hidden="false" customHeight="false" outlineLevel="0" collapsed="false">
      <c r="A906" s="46" t="n">
        <v>897</v>
      </c>
      <c r="B906" s="47" t="n">
        <f aca="false">A906*$C$6</f>
        <v>1.64149196056374</v>
      </c>
      <c r="C906" s="48" t="n">
        <f aca="false">$C$7*B906</f>
        <v>12.4583333333333</v>
      </c>
      <c r="D906" s="49" t="n">
        <f aca="false">0.5*c_rho*'P3 Energie'!E8*'P3 Energie'!E7*(C906-c_Vv)^2+'P3 Energie'!E13+'P3 Energie'!E15+'P3 Energie'!E6*$C$7</f>
        <v>18242.1064151844</v>
      </c>
      <c r="E906" s="50" t="n">
        <f aca="false">D906*C906</f>
        <v>227266.242422505</v>
      </c>
      <c r="F906" s="46" t="n">
        <v>897</v>
      </c>
      <c r="G906" s="47" t="n">
        <f aca="false">F906*$H$6</f>
        <v>1.63675255188332</v>
      </c>
      <c r="H906" s="48" t="n">
        <f aca="false">$H$7*G906</f>
        <v>12.4583333333333</v>
      </c>
      <c r="I906" s="49" t="n">
        <f aca="false">0.5*c_rho*'P3 Energie'!F8*'P3 Energie'!F7*(H906-c_Vv)^2+'P3 Energie'!F13+'P3 Energie'!F15+'P3 Energie'!F6*$H$7</f>
        <v>19092.1655850484</v>
      </c>
      <c r="J906" s="50" t="n">
        <f aca="false">I906*H906</f>
        <v>237856.562913728</v>
      </c>
    </row>
    <row r="907" customFormat="false" ht="15" hidden="false" customHeight="false" outlineLevel="0" collapsed="false">
      <c r="A907" s="46" t="n">
        <v>898</v>
      </c>
      <c r="B907" s="47" t="n">
        <f aca="false">A907*$C$6</f>
        <v>1.64332194045288</v>
      </c>
      <c r="C907" s="48" t="n">
        <f aca="false">$C$7*B907</f>
        <v>12.4722222222222</v>
      </c>
      <c r="D907" s="49" t="n">
        <f aca="false">0.5*c_rho*'P3 Energie'!E8*'P3 Energie'!E7*(C907-c_Vv)^2+'P3 Energie'!E13+'P3 Energie'!E15+'P3 Energie'!E6*$C$7</f>
        <v>18242.2447239274</v>
      </c>
      <c r="E907" s="50" t="n">
        <f aca="false">D907*C907</f>
        <v>227521.330028984</v>
      </c>
      <c r="F907" s="46" t="n">
        <v>898</v>
      </c>
      <c r="G907" s="47" t="n">
        <f aca="false">F907*$H$6</f>
        <v>1.63857724815075</v>
      </c>
      <c r="H907" s="48" t="n">
        <f aca="false">$H$7*G907</f>
        <v>12.4722222222222</v>
      </c>
      <c r="I907" s="49" t="n">
        <f aca="false">0.5*c_rho*'P3 Energie'!F8*'P3 Energie'!F7*(H907-c_Vv)^2+'P3 Energie'!F13+'P3 Energie'!F15+'P3 Energie'!F6*$H$7</f>
        <v>19092.2857507417</v>
      </c>
      <c r="J907" s="50" t="n">
        <f aca="false">I907*H907</f>
        <v>238123.230613417</v>
      </c>
    </row>
    <row r="908" customFormat="false" ht="15" hidden="false" customHeight="false" outlineLevel="0" collapsed="false">
      <c r="A908" s="46" t="n">
        <v>899</v>
      </c>
      <c r="B908" s="47" t="n">
        <f aca="false">A908*$C$6</f>
        <v>1.64515192034203</v>
      </c>
      <c r="C908" s="48" t="n">
        <f aca="false">$C$7*B908</f>
        <v>12.4861111111111</v>
      </c>
      <c r="D908" s="49" t="n">
        <f aca="false">0.5*c_rho*'P3 Energie'!E8*'P3 Energie'!E7*(C908-c_Vv)^2+'P3 Energie'!E13+'P3 Energie'!E15+'P3 Energie'!E6*$C$7</f>
        <v>18242.3831867749</v>
      </c>
      <c r="E908" s="50" t="n">
        <f aca="false">D908*C908</f>
        <v>227776.423401537</v>
      </c>
      <c r="F908" s="46" t="n">
        <v>899</v>
      </c>
      <c r="G908" s="47" t="n">
        <f aca="false">F908*$H$6</f>
        <v>1.64040194441818</v>
      </c>
      <c r="H908" s="48" t="n">
        <f aca="false">$H$7*G908</f>
        <v>12.4861111111111</v>
      </c>
      <c r="I908" s="49" t="n">
        <f aca="false">0.5*c_rho*'P3 Energie'!F8*'P3 Energie'!F7*(H908-c_Vv)^2+'P3 Energie'!F13+'P3 Energie'!F15+'P3 Energie'!F6*$H$7</f>
        <v>19092.4060503243</v>
      </c>
      <c r="J908" s="50" t="n">
        <f aca="false">I908*H908</f>
        <v>238389.903322799</v>
      </c>
    </row>
    <row r="909" customFormat="false" ht="15" hidden="false" customHeight="false" outlineLevel="0" collapsed="false">
      <c r="A909" s="46" t="n">
        <v>900</v>
      </c>
      <c r="B909" s="47" t="n">
        <f aca="false">A909*$C$6</f>
        <v>1.64698190023117</v>
      </c>
      <c r="C909" s="48" t="n">
        <f aca="false">$C$7*B909</f>
        <v>12.5</v>
      </c>
      <c r="D909" s="49" t="n">
        <f aca="false">0.5*c_rho*'P3 Energie'!E8*'P3 Energie'!E7*(C909-c_Vv)^2+'P3 Energie'!E13+'P3 Energie'!E15+'P3 Energie'!E6*$C$7</f>
        <v>18242.5218037269</v>
      </c>
      <c r="E909" s="50" t="n">
        <f aca="false">D909*C909</f>
        <v>228031.522546586</v>
      </c>
      <c r="F909" s="46" t="n">
        <v>900</v>
      </c>
      <c r="G909" s="47" t="n">
        <f aca="false">F909*$H$6</f>
        <v>1.64222664068561</v>
      </c>
      <c r="H909" s="48" t="n">
        <f aca="false">$H$7*G909</f>
        <v>12.5</v>
      </c>
      <c r="I909" s="49" t="n">
        <f aca="false">0.5*c_rho*'P3 Energie'!F8*'P3 Energie'!F7*(H909-c_Vv)^2+'P3 Energie'!F13+'P3 Energie'!F15+'P3 Energie'!F6*$H$7</f>
        <v>19092.5264837963</v>
      </c>
      <c r="J909" s="50" t="n">
        <f aca="false">I909*H909</f>
        <v>238656.581047454</v>
      </c>
    </row>
    <row r="910" customFormat="false" ht="15" hidden="false" customHeight="false" outlineLevel="0" collapsed="false">
      <c r="A910" s="46" t="n">
        <v>901</v>
      </c>
      <c r="B910" s="47" t="n">
        <f aca="false">A910*$C$6</f>
        <v>1.64881188012032</v>
      </c>
      <c r="C910" s="48" t="n">
        <f aca="false">$C$7*B910</f>
        <v>12.5138888888889</v>
      </c>
      <c r="D910" s="49" t="n">
        <f aca="false">0.5*c_rho*'P3 Energie'!E8*'P3 Energie'!E7*(C910-c_Vv)^2+'P3 Energie'!E13+'P3 Energie'!E15+'P3 Energie'!E6*$C$7</f>
        <v>18242.6605747833</v>
      </c>
      <c r="E910" s="50" t="n">
        <f aca="false">D910*C910</f>
        <v>228286.627470552</v>
      </c>
      <c r="F910" s="46" t="n">
        <v>901</v>
      </c>
      <c r="G910" s="47" t="n">
        <f aca="false">F910*$H$6</f>
        <v>1.64405133695304</v>
      </c>
      <c r="H910" s="48" t="n">
        <f aca="false">$H$7*G910</f>
        <v>12.5138888888889</v>
      </c>
      <c r="I910" s="49" t="n">
        <f aca="false">0.5*c_rho*'P3 Energie'!F8*'P3 Energie'!F7*(H910-c_Vv)^2+'P3 Energie'!F13+'P3 Energie'!F15+'P3 Energie'!F6*$H$7</f>
        <v>19092.6470511576</v>
      </c>
      <c r="J910" s="50" t="n">
        <f aca="false">I910*H910</f>
        <v>238923.263792959</v>
      </c>
    </row>
    <row r="911" customFormat="false" ht="15" hidden="false" customHeight="false" outlineLevel="0" collapsed="false">
      <c r="A911" s="46" t="n">
        <v>902</v>
      </c>
      <c r="B911" s="47" t="n">
        <f aca="false">A911*$C$6</f>
        <v>1.65064186000947</v>
      </c>
      <c r="C911" s="48" t="n">
        <f aca="false">$C$7*B911</f>
        <v>12.5277777777778</v>
      </c>
      <c r="D911" s="49" t="n">
        <f aca="false">0.5*c_rho*'P3 Energie'!E8*'P3 Energie'!E7*(C911-c_Vv)^2+'P3 Energie'!E13+'P3 Energie'!E15+'P3 Energie'!E6*$C$7</f>
        <v>18242.7994999441</v>
      </c>
      <c r="E911" s="50" t="n">
        <f aca="false">D911*C911</f>
        <v>228541.738179855</v>
      </c>
      <c r="F911" s="46" t="n">
        <v>902</v>
      </c>
      <c r="G911" s="47" t="n">
        <f aca="false">F911*$H$6</f>
        <v>1.64587603322047</v>
      </c>
      <c r="H911" s="48" t="n">
        <f aca="false">$H$7*G911</f>
        <v>12.5277777777778</v>
      </c>
      <c r="I911" s="49" t="n">
        <f aca="false">0.5*c_rho*'P3 Energie'!F8*'P3 Energie'!F7*(H911-c_Vv)^2+'P3 Energie'!F13+'P3 Energie'!F15+'P3 Energie'!F6*$H$7</f>
        <v>19092.7677524083</v>
      </c>
      <c r="J911" s="50" t="n">
        <f aca="false">I911*H911</f>
        <v>239189.951564893</v>
      </c>
    </row>
    <row r="912" customFormat="false" ht="15" hidden="false" customHeight="false" outlineLevel="0" collapsed="false">
      <c r="A912" s="46" t="n">
        <v>903</v>
      </c>
      <c r="B912" s="47" t="n">
        <f aca="false">A912*$C$6</f>
        <v>1.65247183989861</v>
      </c>
      <c r="C912" s="48" t="n">
        <f aca="false">$C$7*B912</f>
        <v>12.5416666666667</v>
      </c>
      <c r="D912" s="49" t="n">
        <f aca="false">0.5*c_rho*'P3 Energie'!E8*'P3 Energie'!E7*(C912-c_Vv)^2+'P3 Energie'!E13+'P3 Energie'!E15+'P3 Energie'!E6*$C$7</f>
        <v>18242.9385792094</v>
      </c>
      <c r="E912" s="50" t="n">
        <f aca="false">D912*C912</f>
        <v>228796.854680918</v>
      </c>
      <c r="F912" s="46" t="n">
        <v>903</v>
      </c>
      <c r="G912" s="47" t="n">
        <f aca="false">F912*$H$6</f>
        <v>1.64770072948789</v>
      </c>
      <c r="H912" s="48" t="n">
        <f aca="false">$H$7*G912</f>
        <v>12.5416666666667</v>
      </c>
      <c r="I912" s="49" t="n">
        <f aca="false">0.5*c_rho*'P3 Energie'!F8*'P3 Energie'!F7*(H912-c_Vv)^2+'P3 Energie'!F13+'P3 Energie'!F15+'P3 Energie'!F6*$H$7</f>
        <v>19092.8885875484</v>
      </c>
      <c r="J912" s="50" t="n">
        <f aca="false">I912*H912</f>
        <v>239456.644368836</v>
      </c>
    </row>
    <row r="913" customFormat="false" ht="15" hidden="false" customHeight="false" outlineLevel="0" collapsed="false">
      <c r="A913" s="46" t="n">
        <v>904</v>
      </c>
      <c r="B913" s="47" t="n">
        <f aca="false">A913*$C$6</f>
        <v>1.65430181978776</v>
      </c>
      <c r="C913" s="48" t="n">
        <f aca="false">$C$7*B913</f>
        <v>12.5555555555556</v>
      </c>
      <c r="D913" s="49" t="n">
        <f aca="false">0.5*c_rho*'P3 Energie'!E8*'P3 Energie'!E7*(C913-c_Vv)^2+'P3 Energie'!E13+'P3 Energie'!E15+'P3 Energie'!E6*$C$7</f>
        <v>18243.0778125791</v>
      </c>
      <c r="E913" s="50" t="n">
        <f aca="false">D913*C913</f>
        <v>229051.97698016</v>
      </c>
      <c r="F913" s="46" t="n">
        <v>904</v>
      </c>
      <c r="G913" s="47" t="n">
        <f aca="false">F913*$H$6</f>
        <v>1.64952542575532</v>
      </c>
      <c r="H913" s="48" t="n">
        <f aca="false">$H$7*G913</f>
        <v>12.5555555555556</v>
      </c>
      <c r="I913" s="49" t="n">
        <f aca="false">0.5*c_rho*'P3 Energie'!F8*'P3 Energie'!F7*(H913-c_Vv)^2+'P3 Energie'!F13+'P3 Energie'!F15+'P3 Energie'!F6*$H$7</f>
        <v>19093.0095565778</v>
      </c>
      <c r="J913" s="50" t="n">
        <f aca="false">I913*H913</f>
        <v>239723.342210365</v>
      </c>
    </row>
    <row r="914" customFormat="false" ht="15" hidden="false" customHeight="false" outlineLevel="0" collapsed="false">
      <c r="A914" s="46" t="n">
        <v>905</v>
      </c>
      <c r="B914" s="47" t="n">
        <f aca="false">A914*$C$6</f>
        <v>1.6561317996769</v>
      </c>
      <c r="C914" s="48" t="n">
        <f aca="false">$C$7*B914</f>
        <v>12.5694444444444</v>
      </c>
      <c r="D914" s="49" t="n">
        <f aca="false">0.5*c_rho*'P3 Energie'!E8*'P3 Energie'!E7*(C914-c_Vv)^2+'P3 Energie'!E13+'P3 Energie'!E15+'P3 Energie'!E6*$C$7</f>
        <v>18243.2172000533</v>
      </c>
      <c r="E914" s="50" t="n">
        <f aca="false">D914*C914</f>
        <v>229307.105084003</v>
      </c>
      <c r="F914" s="46" t="n">
        <v>905</v>
      </c>
      <c r="G914" s="47" t="n">
        <f aca="false">F914*$H$6</f>
        <v>1.65135012202275</v>
      </c>
      <c r="H914" s="48" t="n">
        <f aca="false">$H$7*G914</f>
        <v>12.5694444444444</v>
      </c>
      <c r="I914" s="49" t="n">
        <f aca="false">0.5*c_rho*'P3 Energie'!F8*'P3 Energie'!F7*(H914-c_Vv)^2+'P3 Energie'!F13+'P3 Energie'!F15+'P3 Energie'!F6*$H$7</f>
        <v>19093.1306594965</v>
      </c>
      <c r="J914" s="50" t="n">
        <f aca="false">I914*H914</f>
        <v>239990.045095061</v>
      </c>
    </row>
    <row r="915" customFormat="false" ht="15" hidden="false" customHeight="false" outlineLevel="0" collapsed="false">
      <c r="A915" s="46" t="n">
        <v>906</v>
      </c>
      <c r="B915" s="47" t="n">
        <f aca="false">A915*$C$6</f>
        <v>1.65796177956605</v>
      </c>
      <c r="C915" s="48" t="n">
        <f aca="false">$C$7*B915</f>
        <v>12.5833333333333</v>
      </c>
      <c r="D915" s="49" t="n">
        <f aca="false">0.5*c_rho*'P3 Energie'!E8*'P3 Energie'!E7*(C915-c_Vv)^2+'P3 Energie'!E13+'P3 Energie'!E15+'P3 Energie'!E6*$C$7</f>
        <v>18243.3567416319</v>
      </c>
      <c r="E915" s="50" t="n">
        <f aca="false">D915*C915</f>
        <v>229562.238998869</v>
      </c>
      <c r="F915" s="46" t="n">
        <v>906</v>
      </c>
      <c r="G915" s="47" t="n">
        <f aca="false">F915*$H$6</f>
        <v>1.65317481829018</v>
      </c>
      <c r="H915" s="48" t="n">
        <f aca="false">$H$7*G915</f>
        <v>12.5833333333333</v>
      </c>
      <c r="I915" s="49" t="n">
        <f aca="false">0.5*c_rho*'P3 Energie'!F8*'P3 Energie'!F7*(H915-c_Vv)^2+'P3 Energie'!F13+'P3 Energie'!F15+'P3 Energie'!F6*$H$7</f>
        <v>19093.2518963046</v>
      </c>
      <c r="J915" s="50" t="n">
        <f aca="false">I915*H915</f>
        <v>240256.7530285</v>
      </c>
    </row>
    <row r="916" customFormat="false" ht="15" hidden="false" customHeight="false" outlineLevel="0" collapsed="false">
      <c r="A916" s="46" t="n">
        <v>907</v>
      </c>
      <c r="B916" s="47" t="n">
        <f aca="false">A916*$C$6</f>
        <v>1.65979175945519</v>
      </c>
      <c r="C916" s="48" t="n">
        <f aca="false">$C$7*B916</f>
        <v>12.5972222222222</v>
      </c>
      <c r="D916" s="49" t="n">
        <f aca="false">0.5*c_rho*'P3 Energie'!E8*'P3 Energie'!E7*(C916-c_Vv)^2+'P3 Energie'!E13+'P3 Energie'!E15+'P3 Energie'!E6*$C$7</f>
        <v>18243.496437315</v>
      </c>
      <c r="E916" s="50" t="n">
        <f aca="false">D916*C916</f>
        <v>229817.378731177</v>
      </c>
      <c r="F916" s="46" t="n">
        <v>907</v>
      </c>
      <c r="G916" s="47" t="n">
        <f aca="false">F916*$H$6</f>
        <v>1.65499951455761</v>
      </c>
      <c r="H916" s="48" t="n">
        <f aca="false">$H$7*G916</f>
        <v>12.5972222222222</v>
      </c>
      <c r="I916" s="49" t="n">
        <f aca="false">0.5*c_rho*'P3 Energie'!F8*'P3 Energie'!F7*(H916-c_Vv)^2+'P3 Energie'!F13+'P3 Energie'!F15+'P3 Energie'!F6*$H$7</f>
        <v>19093.3732670021</v>
      </c>
      <c r="J916" s="50" t="n">
        <f aca="false">I916*H916</f>
        <v>240523.466016262</v>
      </c>
    </row>
    <row r="917" customFormat="false" ht="15" hidden="false" customHeight="false" outlineLevel="0" collapsed="false">
      <c r="A917" s="46" t="n">
        <v>908</v>
      </c>
      <c r="B917" s="47" t="n">
        <f aca="false">A917*$C$6</f>
        <v>1.66162173934434</v>
      </c>
      <c r="C917" s="48" t="n">
        <f aca="false">$C$7*B917</f>
        <v>12.6111111111111</v>
      </c>
      <c r="D917" s="49" t="n">
        <f aca="false">0.5*c_rho*'P3 Energie'!E8*'P3 Energie'!E7*(C917-c_Vv)^2+'P3 Energie'!E13+'P3 Energie'!E15+'P3 Energie'!E6*$C$7</f>
        <v>18243.6362871026</v>
      </c>
      <c r="E917" s="50" t="n">
        <f aca="false">D917*C917</f>
        <v>230072.524287349</v>
      </c>
      <c r="F917" s="46" t="n">
        <v>908</v>
      </c>
      <c r="G917" s="47" t="n">
        <f aca="false">F917*$H$6</f>
        <v>1.65682421082504</v>
      </c>
      <c r="H917" s="48" t="n">
        <f aca="false">$H$7*G917</f>
        <v>12.6111111111111</v>
      </c>
      <c r="I917" s="49" t="n">
        <f aca="false">0.5*c_rho*'P3 Energie'!F8*'P3 Energie'!F7*(H917-c_Vv)^2+'P3 Energie'!F13+'P3 Energie'!F15+'P3 Energie'!F6*$H$7</f>
        <v>19093.4947715889</v>
      </c>
      <c r="J917" s="50" t="n">
        <f aca="false">I917*H917</f>
        <v>240790.184063927</v>
      </c>
    </row>
    <row r="918" customFormat="false" ht="15" hidden="false" customHeight="false" outlineLevel="0" collapsed="false">
      <c r="A918" s="46" t="n">
        <v>909</v>
      </c>
      <c r="B918" s="47" t="n">
        <f aca="false">A918*$C$6</f>
        <v>1.66345171923349</v>
      </c>
      <c r="C918" s="48" t="n">
        <f aca="false">$C$7*B918</f>
        <v>12.625</v>
      </c>
      <c r="D918" s="49" t="n">
        <f aca="false">0.5*c_rho*'P3 Energie'!E8*'P3 Energie'!E7*(C918-c_Vv)^2+'P3 Energie'!E13+'P3 Energie'!E15+'P3 Energie'!E6*$C$7</f>
        <v>18243.7762909945</v>
      </c>
      <c r="E918" s="50" t="n">
        <f aca="false">D918*C918</f>
        <v>230327.675673806</v>
      </c>
      <c r="F918" s="46" t="n">
        <v>909</v>
      </c>
      <c r="G918" s="47" t="n">
        <f aca="false">F918*$H$6</f>
        <v>1.65864890709246</v>
      </c>
      <c r="H918" s="48" t="n">
        <f aca="false">$H$7*G918</f>
        <v>12.625</v>
      </c>
      <c r="I918" s="49" t="n">
        <f aca="false">0.5*c_rho*'P3 Energie'!F8*'P3 Energie'!F7*(H918-c_Vv)^2+'P3 Energie'!F13+'P3 Energie'!F15+'P3 Energie'!F6*$H$7</f>
        <v>19093.616410065</v>
      </c>
      <c r="J918" s="50" t="n">
        <f aca="false">I918*H918</f>
        <v>241056.907177071</v>
      </c>
    </row>
    <row r="919" customFormat="false" ht="15" hidden="false" customHeight="false" outlineLevel="0" collapsed="false">
      <c r="A919" s="46" t="n">
        <v>910</v>
      </c>
      <c r="B919" s="47" t="n">
        <f aca="false">A919*$C$6</f>
        <v>1.66528169912263</v>
      </c>
      <c r="C919" s="48" t="n">
        <f aca="false">$C$7*B919</f>
        <v>12.6388888888889</v>
      </c>
      <c r="D919" s="49" t="n">
        <f aca="false">0.5*c_rho*'P3 Energie'!E8*'P3 Energie'!E7*(C919-c_Vv)^2+'P3 Energie'!E13+'P3 Energie'!E15+'P3 Energie'!E6*$C$7</f>
        <v>18243.916448991</v>
      </c>
      <c r="E919" s="50" t="n">
        <f aca="false">D919*C919</f>
        <v>230582.832896969</v>
      </c>
      <c r="F919" s="46" t="n">
        <v>910</v>
      </c>
      <c r="G919" s="47" t="n">
        <f aca="false">F919*$H$6</f>
        <v>1.66047360335989</v>
      </c>
      <c r="H919" s="48" t="n">
        <f aca="false">$H$7*G919</f>
        <v>12.6388888888889</v>
      </c>
      <c r="I919" s="49" t="n">
        <f aca="false">0.5*c_rho*'P3 Energie'!F8*'P3 Energie'!F7*(H919-c_Vv)^2+'P3 Energie'!F13+'P3 Energie'!F15+'P3 Energie'!F6*$H$7</f>
        <v>19093.7381824306</v>
      </c>
      <c r="J919" s="50" t="n">
        <f aca="false">I919*H919</f>
        <v>241323.635361275</v>
      </c>
    </row>
    <row r="920" customFormat="false" ht="15" hidden="false" customHeight="false" outlineLevel="0" collapsed="false">
      <c r="A920" s="46" t="n">
        <v>911</v>
      </c>
      <c r="B920" s="47" t="n">
        <f aca="false">A920*$C$6</f>
        <v>1.66711167901178</v>
      </c>
      <c r="C920" s="48" t="n">
        <f aca="false">$C$7*B920</f>
        <v>12.6527777777778</v>
      </c>
      <c r="D920" s="49" t="n">
        <f aca="false">0.5*c_rho*'P3 Energie'!E8*'P3 Energie'!E7*(C920-c_Vv)^2+'P3 Energie'!E13+'P3 Energie'!E15+'P3 Energie'!E6*$C$7</f>
        <v>18244.0567610919</v>
      </c>
      <c r="E920" s="50" t="n">
        <f aca="false">D920*C920</f>
        <v>230837.99596326</v>
      </c>
      <c r="F920" s="46" t="n">
        <v>911</v>
      </c>
      <c r="G920" s="47" t="n">
        <f aca="false">F920*$H$6</f>
        <v>1.66229829962732</v>
      </c>
      <c r="H920" s="48" t="n">
        <f aca="false">$H$7*G920</f>
        <v>12.6527777777778</v>
      </c>
      <c r="I920" s="49" t="n">
        <f aca="false">0.5*c_rho*'P3 Energie'!F8*'P3 Energie'!F7*(H920-c_Vv)^2+'P3 Energie'!F13+'P3 Energie'!F15+'P3 Energie'!F6*$H$7</f>
        <v>19093.8600886854</v>
      </c>
      <c r="J920" s="50" t="n">
        <f aca="false">I920*H920</f>
        <v>241590.368622117</v>
      </c>
    </row>
    <row r="921" customFormat="false" ht="15" hidden="false" customHeight="false" outlineLevel="0" collapsed="false">
      <c r="A921" s="46" t="n">
        <v>912</v>
      </c>
      <c r="B921" s="47" t="n">
        <f aca="false">A921*$C$6</f>
        <v>1.66894165890092</v>
      </c>
      <c r="C921" s="48" t="n">
        <f aca="false">$C$7*B921</f>
        <v>12.6666666666667</v>
      </c>
      <c r="D921" s="49" t="n">
        <f aca="false">0.5*c_rho*'P3 Energie'!E8*'P3 Energie'!E7*(C921-c_Vv)^2+'P3 Energie'!E13+'P3 Energie'!E15+'P3 Energie'!E6*$C$7</f>
        <v>18244.1972272972</v>
      </c>
      <c r="E921" s="50" t="n">
        <f aca="false">D921*C921</f>
        <v>231093.164879098</v>
      </c>
      <c r="F921" s="46" t="n">
        <v>912</v>
      </c>
      <c r="G921" s="47" t="n">
        <f aca="false">F921*$H$6</f>
        <v>1.66412299589475</v>
      </c>
      <c r="H921" s="48" t="n">
        <f aca="false">$H$7*G921</f>
        <v>12.6666666666667</v>
      </c>
      <c r="I921" s="49" t="n">
        <f aca="false">0.5*c_rho*'P3 Energie'!F8*'P3 Energie'!F7*(H921-c_Vv)^2+'P3 Energie'!F13+'P3 Energie'!F15+'P3 Energie'!F6*$H$7</f>
        <v>19093.9821288296</v>
      </c>
      <c r="J921" s="50" t="n">
        <f aca="false">I921*H921</f>
        <v>241857.106965175</v>
      </c>
    </row>
    <row r="922" customFormat="false" ht="15" hidden="false" customHeight="false" outlineLevel="0" collapsed="false">
      <c r="A922" s="46" t="n">
        <v>913</v>
      </c>
      <c r="B922" s="47" t="n">
        <f aca="false">A922*$C$6</f>
        <v>1.67077163879007</v>
      </c>
      <c r="C922" s="48" t="n">
        <f aca="false">$C$7*B922</f>
        <v>12.6805555555556</v>
      </c>
      <c r="D922" s="49" t="n">
        <f aca="false">0.5*c_rho*'P3 Energie'!E8*'P3 Energie'!E7*(C922-c_Vv)^2+'P3 Energie'!E13+'P3 Energie'!E15+'P3 Energie'!E6*$C$7</f>
        <v>18244.337847607</v>
      </c>
      <c r="E922" s="50" t="n">
        <f aca="false">D922*C922</f>
        <v>231348.339650905</v>
      </c>
      <c r="F922" s="46" t="n">
        <v>913</v>
      </c>
      <c r="G922" s="47" t="n">
        <f aca="false">F922*$H$6</f>
        <v>1.66594769216218</v>
      </c>
      <c r="H922" s="48" t="n">
        <f aca="false">$H$7*G922</f>
        <v>12.6805555555556</v>
      </c>
      <c r="I922" s="49" t="n">
        <f aca="false">0.5*c_rho*'P3 Energie'!F8*'P3 Energie'!F7*(H922-c_Vv)^2+'P3 Energie'!F13+'P3 Energie'!F15+'P3 Energie'!F6*$H$7</f>
        <v>19094.1043028632</v>
      </c>
      <c r="J922" s="50" t="n">
        <f aca="false">I922*H922</f>
        <v>242123.850396029</v>
      </c>
    </row>
    <row r="923" customFormat="false" ht="15" hidden="false" customHeight="false" outlineLevel="0" collapsed="false">
      <c r="A923" s="46" t="n">
        <v>914</v>
      </c>
      <c r="B923" s="47" t="n">
        <f aca="false">A923*$C$6</f>
        <v>1.67260161867922</v>
      </c>
      <c r="C923" s="48" t="n">
        <f aca="false">$C$7*B923</f>
        <v>12.6944444444444</v>
      </c>
      <c r="D923" s="49" t="n">
        <f aca="false">0.5*c_rho*'P3 Energie'!E8*'P3 Energie'!E7*(C923-c_Vv)^2+'P3 Energie'!E13+'P3 Energie'!E15+'P3 Energie'!E6*$C$7</f>
        <v>18244.4786220212</v>
      </c>
      <c r="E923" s="50" t="n">
        <f aca="false">D923*C923</f>
        <v>231603.520285102</v>
      </c>
      <c r="F923" s="46" t="n">
        <v>914</v>
      </c>
      <c r="G923" s="47" t="n">
        <f aca="false">F923*$H$6</f>
        <v>1.66777238842961</v>
      </c>
      <c r="H923" s="48" t="n">
        <f aca="false">$H$7*G923</f>
        <v>12.6944444444444</v>
      </c>
      <c r="I923" s="49" t="n">
        <f aca="false">0.5*c_rho*'P3 Energie'!F8*'P3 Energie'!F7*(H923-c_Vv)^2+'P3 Energie'!F13+'P3 Energie'!F15+'P3 Energie'!F6*$H$7</f>
        <v>19094.2266107861</v>
      </c>
      <c r="J923" s="50" t="n">
        <f aca="false">I923*H923</f>
        <v>242390.598920257</v>
      </c>
    </row>
    <row r="924" customFormat="false" ht="15" hidden="false" customHeight="false" outlineLevel="0" collapsed="false">
      <c r="A924" s="46" t="n">
        <v>915</v>
      </c>
      <c r="B924" s="47" t="n">
        <f aca="false">A924*$C$6</f>
        <v>1.67443159856836</v>
      </c>
      <c r="C924" s="48" t="n">
        <f aca="false">$C$7*B924</f>
        <v>12.7083333333333</v>
      </c>
      <c r="D924" s="49" t="n">
        <f aca="false">0.5*c_rho*'P3 Energie'!E8*'P3 Energie'!E7*(C924-c_Vv)^2+'P3 Energie'!E13+'P3 Energie'!E15+'P3 Energie'!E6*$C$7</f>
        <v>18244.6195505399</v>
      </c>
      <c r="E924" s="50" t="n">
        <f aca="false">D924*C924</f>
        <v>231858.706788111</v>
      </c>
      <c r="F924" s="46" t="n">
        <v>915</v>
      </c>
      <c r="G924" s="47" t="n">
        <f aca="false">F924*$H$6</f>
        <v>1.66959708469704</v>
      </c>
      <c r="H924" s="48" t="n">
        <f aca="false">$H$7*G924</f>
        <v>12.7083333333333</v>
      </c>
      <c r="I924" s="49" t="n">
        <f aca="false">0.5*c_rho*'P3 Energie'!F8*'P3 Energie'!F7*(H924-c_Vv)^2+'P3 Energie'!F13+'P3 Energie'!F15+'P3 Energie'!F6*$H$7</f>
        <v>19094.3490525984</v>
      </c>
      <c r="J924" s="50" t="n">
        <f aca="false">I924*H924</f>
        <v>242657.352543438</v>
      </c>
    </row>
    <row r="925" customFormat="false" ht="15" hidden="false" customHeight="false" outlineLevel="0" collapsed="false">
      <c r="A925" s="46" t="n">
        <v>916</v>
      </c>
      <c r="B925" s="47" t="n">
        <f aca="false">A925*$C$6</f>
        <v>1.67626157845751</v>
      </c>
      <c r="C925" s="48" t="n">
        <f aca="false">$C$7*B925</f>
        <v>12.7222222222222</v>
      </c>
      <c r="D925" s="49" t="n">
        <f aca="false">0.5*c_rho*'P3 Energie'!E8*'P3 Energie'!E7*(C925-c_Vv)^2+'P3 Energie'!E13+'P3 Energie'!E15+'P3 Energie'!E6*$C$7</f>
        <v>18244.760633163</v>
      </c>
      <c r="E925" s="50" t="n">
        <f aca="false">D925*C925</f>
        <v>232113.899166352</v>
      </c>
      <c r="F925" s="46" t="n">
        <v>916</v>
      </c>
      <c r="G925" s="47" t="n">
        <f aca="false">F925*$H$6</f>
        <v>1.67142178096446</v>
      </c>
      <c r="H925" s="48" t="n">
        <f aca="false">$H$7*G925</f>
        <v>12.7222222222222</v>
      </c>
      <c r="I925" s="49" t="n">
        <f aca="false">0.5*c_rho*'P3 Energie'!F8*'P3 Energie'!F7*(H925-c_Vv)^2+'P3 Energie'!F13+'P3 Energie'!F15+'P3 Energie'!F6*$H$7</f>
        <v>19094.4716283</v>
      </c>
      <c r="J925" s="50" t="n">
        <f aca="false">I925*H925</f>
        <v>242924.11127115</v>
      </c>
    </row>
    <row r="926" customFormat="false" ht="15" hidden="false" customHeight="false" outlineLevel="0" collapsed="false">
      <c r="A926" s="46" t="n">
        <v>917</v>
      </c>
      <c r="B926" s="47" t="n">
        <f aca="false">A926*$C$6</f>
        <v>1.67809155834665</v>
      </c>
      <c r="C926" s="48" t="n">
        <f aca="false">$C$7*B926</f>
        <v>12.7361111111111</v>
      </c>
      <c r="D926" s="49" t="n">
        <f aca="false">0.5*c_rho*'P3 Energie'!E8*'P3 Energie'!E7*(C926-c_Vv)^2+'P3 Energie'!E13+'P3 Energie'!E15+'P3 Energie'!E6*$C$7</f>
        <v>18244.9018698906</v>
      </c>
      <c r="E926" s="50" t="n">
        <f aca="false">D926*C926</f>
        <v>232369.097426245</v>
      </c>
      <c r="F926" s="46" t="n">
        <v>917</v>
      </c>
      <c r="G926" s="47" t="n">
        <f aca="false">F926*$H$6</f>
        <v>1.67324647723189</v>
      </c>
      <c r="H926" s="48" t="n">
        <f aca="false">$H$7*G926</f>
        <v>12.7361111111111</v>
      </c>
      <c r="I926" s="49" t="n">
        <f aca="false">0.5*c_rho*'P3 Energie'!F8*'P3 Energie'!F7*(H926-c_Vv)^2+'P3 Energie'!F13+'P3 Energie'!F15+'P3 Energie'!F6*$H$7</f>
        <v>19094.594337891</v>
      </c>
      <c r="J926" s="50" t="n">
        <f aca="false">I926*H926</f>
        <v>243190.875108973</v>
      </c>
    </row>
    <row r="927" customFormat="false" ht="15" hidden="false" customHeight="false" outlineLevel="0" collapsed="false">
      <c r="A927" s="46" t="n">
        <v>918</v>
      </c>
      <c r="B927" s="47" t="n">
        <f aca="false">A927*$C$6</f>
        <v>1.6799215382358</v>
      </c>
      <c r="C927" s="48" t="n">
        <f aca="false">$C$7*B927</f>
        <v>12.75</v>
      </c>
      <c r="D927" s="49" t="n">
        <f aca="false">0.5*c_rho*'P3 Energie'!E8*'P3 Energie'!E7*(C927-c_Vv)^2+'P3 Energie'!E13+'P3 Energie'!E15+'P3 Energie'!E6*$C$7</f>
        <v>18245.0432607226</v>
      </c>
      <c r="E927" s="50" t="n">
        <f aca="false">D927*C927</f>
        <v>232624.301574213</v>
      </c>
      <c r="F927" s="46" t="n">
        <v>918</v>
      </c>
      <c r="G927" s="47" t="n">
        <f aca="false">F927*$H$6</f>
        <v>1.67507117349932</v>
      </c>
      <c r="H927" s="48" t="n">
        <f aca="false">$H$7*G927</f>
        <v>12.75</v>
      </c>
      <c r="I927" s="49" t="n">
        <f aca="false">0.5*c_rho*'P3 Energie'!F8*'P3 Energie'!F7*(H927-c_Vv)^2+'P3 Energie'!F13+'P3 Energie'!F15+'P3 Energie'!F6*$H$7</f>
        <v>19094.7171813713</v>
      </c>
      <c r="J927" s="50" t="n">
        <f aca="false">I927*H927</f>
        <v>243457.644062484</v>
      </c>
    </row>
    <row r="928" customFormat="false" ht="15" hidden="false" customHeight="false" outlineLevel="0" collapsed="false">
      <c r="A928" s="46" t="n">
        <v>919</v>
      </c>
      <c r="B928" s="47" t="n">
        <f aca="false">A928*$C$6</f>
        <v>1.68175151812494</v>
      </c>
      <c r="C928" s="48" t="n">
        <f aca="false">$C$7*B928</f>
        <v>12.7638888888889</v>
      </c>
      <c r="D928" s="49" t="n">
        <f aca="false">0.5*c_rho*'P3 Energie'!E8*'P3 Energie'!E7*(C928-c_Vv)^2+'P3 Energie'!E13+'P3 Energie'!E15+'P3 Energie'!E6*$C$7</f>
        <v>18245.1848056591</v>
      </c>
      <c r="E928" s="50" t="n">
        <f aca="false">D928*C928</f>
        <v>232879.511616676</v>
      </c>
      <c r="F928" s="46" t="n">
        <v>919</v>
      </c>
      <c r="G928" s="47" t="n">
        <f aca="false">F928*$H$6</f>
        <v>1.67689586976675</v>
      </c>
      <c r="H928" s="48" t="n">
        <f aca="false">$H$7*G928</f>
        <v>12.7638888888889</v>
      </c>
      <c r="I928" s="49" t="n">
        <f aca="false">0.5*c_rho*'P3 Energie'!F8*'P3 Energie'!F7*(H928-c_Vv)^2+'P3 Energie'!F13+'P3 Energie'!F15+'P3 Energie'!F6*$H$7</f>
        <v>19094.840158741</v>
      </c>
      <c r="J928" s="50" t="n">
        <f aca="false">I928*H928</f>
        <v>243724.418137263</v>
      </c>
    </row>
    <row r="929" customFormat="false" ht="15" hidden="false" customHeight="false" outlineLevel="0" collapsed="false">
      <c r="A929" s="46" t="n">
        <v>920</v>
      </c>
      <c r="B929" s="47" t="n">
        <f aca="false">A929*$C$6</f>
        <v>1.68358149801409</v>
      </c>
      <c r="C929" s="48" t="n">
        <f aca="false">$C$7*B929</f>
        <v>12.7777777777778</v>
      </c>
      <c r="D929" s="49" t="n">
        <f aca="false">0.5*c_rho*'P3 Energie'!E8*'P3 Energie'!E7*(C929-c_Vv)^2+'P3 Energie'!E13+'P3 Energie'!E15+'P3 Energie'!E6*$C$7</f>
        <v>18245.3265047</v>
      </c>
      <c r="E929" s="50" t="n">
        <f aca="false">D929*C929</f>
        <v>233134.727560056</v>
      </c>
      <c r="F929" s="46" t="n">
        <v>920</v>
      </c>
      <c r="G929" s="47" t="n">
        <f aca="false">F929*$H$6</f>
        <v>1.67872056603418</v>
      </c>
      <c r="H929" s="48" t="n">
        <f aca="false">$H$7*G929</f>
        <v>12.7777777777778</v>
      </c>
      <c r="I929" s="49" t="n">
        <f aca="false">0.5*c_rho*'P3 Energie'!F8*'P3 Energie'!F7*(H929-c_Vv)^2+'P3 Energie'!F13+'P3 Energie'!F15+'P3 Energie'!F6*$H$7</f>
        <v>19094.96327</v>
      </c>
      <c r="J929" s="50" t="n">
        <f aca="false">I929*H929</f>
        <v>243991.197338889</v>
      </c>
    </row>
    <row r="930" customFormat="false" ht="15" hidden="false" customHeight="false" outlineLevel="0" collapsed="false">
      <c r="A930" s="46" t="n">
        <v>921</v>
      </c>
      <c r="B930" s="47" t="n">
        <f aca="false">A930*$C$6</f>
        <v>1.68541147790324</v>
      </c>
      <c r="C930" s="48" t="n">
        <f aca="false">$C$7*B930</f>
        <v>12.7916666666667</v>
      </c>
      <c r="D930" s="49" t="n">
        <f aca="false">0.5*c_rho*'P3 Energie'!E8*'P3 Energie'!E7*(C930-c_Vv)^2+'P3 Energie'!E13+'P3 Energie'!E15+'P3 Energie'!E6*$C$7</f>
        <v>18245.4683578454</v>
      </c>
      <c r="E930" s="50" t="n">
        <f aca="false">D930*C930</f>
        <v>233389.949410772</v>
      </c>
      <c r="F930" s="46" t="n">
        <v>921</v>
      </c>
      <c r="G930" s="47" t="n">
        <f aca="false">F930*$H$6</f>
        <v>1.68054526230161</v>
      </c>
      <c r="H930" s="48" t="n">
        <f aca="false">$H$7*G930</f>
        <v>12.7916666666667</v>
      </c>
      <c r="I930" s="49" t="n">
        <f aca="false">0.5*c_rho*'P3 Energie'!F8*'P3 Energie'!F7*(H930-c_Vv)^2+'P3 Energie'!F13+'P3 Energie'!F15+'P3 Energie'!F6*$H$7</f>
        <v>19095.0865151484</v>
      </c>
      <c r="J930" s="50" t="n">
        <f aca="false">I930*H930</f>
        <v>244257.98167294</v>
      </c>
    </row>
    <row r="931" customFormat="false" ht="15" hidden="false" customHeight="false" outlineLevel="0" collapsed="false">
      <c r="A931" s="46" t="n">
        <v>922</v>
      </c>
      <c r="B931" s="47" t="n">
        <f aca="false">A931*$C$6</f>
        <v>1.68724145779238</v>
      </c>
      <c r="C931" s="48" t="n">
        <f aca="false">$C$7*B931</f>
        <v>12.8055555555556</v>
      </c>
      <c r="D931" s="49" t="n">
        <f aca="false">0.5*c_rho*'P3 Energie'!E8*'P3 Energie'!E7*(C931-c_Vv)^2+'P3 Energie'!E13+'P3 Energie'!E15+'P3 Energie'!E6*$C$7</f>
        <v>18245.6103650952</v>
      </c>
      <c r="E931" s="50" t="n">
        <f aca="false">D931*C931</f>
        <v>233645.177175247</v>
      </c>
      <c r="F931" s="46" t="n">
        <v>922</v>
      </c>
      <c r="G931" s="47" t="n">
        <f aca="false">F931*$H$6</f>
        <v>1.68236995856903</v>
      </c>
      <c r="H931" s="48" t="n">
        <f aca="false">$H$7*G931</f>
        <v>12.8055555555556</v>
      </c>
      <c r="I931" s="49" t="n">
        <f aca="false">0.5*c_rho*'P3 Energie'!F8*'P3 Energie'!F7*(H931-c_Vv)^2+'P3 Energie'!F13+'P3 Energie'!F15+'P3 Energie'!F6*$H$7</f>
        <v>19095.2098941861</v>
      </c>
      <c r="J931" s="50" t="n">
        <f aca="false">I931*H931</f>
        <v>244524.771144994</v>
      </c>
    </row>
    <row r="932" customFormat="false" ht="15" hidden="false" customHeight="false" outlineLevel="0" collapsed="false">
      <c r="A932" s="46" t="n">
        <v>923</v>
      </c>
      <c r="B932" s="47" t="n">
        <f aca="false">A932*$C$6</f>
        <v>1.68907143768153</v>
      </c>
      <c r="C932" s="48" t="n">
        <f aca="false">$C$7*B932</f>
        <v>12.8194444444444</v>
      </c>
      <c r="D932" s="49" t="n">
        <f aca="false">0.5*c_rho*'P3 Energie'!E8*'P3 Energie'!E7*(C932-c_Vv)^2+'P3 Energie'!E13+'P3 Energie'!E15+'P3 Energie'!E6*$C$7</f>
        <v>18245.7525264495</v>
      </c>
      <c r="E932" s="50" t="n">
        <f aca="false">D932*C932</f>
        <v>233900.410859901</v>
      </c>
      <c r="F932" s="46" t="n">
        <v>923</v>
      </c>
      <c r="G932" s="47" t="n">
        <f aca="false">F932*$H$6</f>
        <v>1.68419465483646</v>
      </c>
      <c r="H932" s="48" t="n">
        <f aca="false">$H$7*G932</f>
        <v>12.8194444444444</v>
      </c>
      <c r="I932" s="49" t="n">
        <f aca="false">0.5*c_rho*'P3 Energie'!F8*'P3 Energie'!F7*(H932-c_Vv)^2+'P3 Energie'!F13+'P3 Energie'!F15+'P3 Energie'!F6*$H$7</f>
        <v>19095.3334071132</v>
      </c>
      <c r="J932" s="50" t="n">
        <f aca="false">I932*H932</f>
        <v>244791.565760632</v>
      </c>
    </row>
    <row r="933" customFormat="false" ht="15" hidden="false" customHeight="false" outlineLevel="0" collapsed="false">
      <c r="A933" s="46" t="n">
        <v>924</v>
      </c>
      <c r="B933" s="47" t="n">
        <f aca="false">A933*$C$6</f>
        <v>1.69090141757067</v>
      </c>
      <c r="C933" s="48" t="n">
        <f aca="false">$C$7*B933</f>
        <v>12.8333333333333</v>
      </c>
      <c r="D933" s="49" t="n">
        <f aca="false">0.5*c_rho*'P3 Energie'!E8*'P3 Energie'!E7*(C933-c_Vv)^2+'P3 Energie'!E13+'P3 Energie'!E15+'P3 Energie'!E6*$C$7</f>
        <v>18245.8948419082</v>
      </c>
      <c r="E933" s="50" t="n">
        <f aca="false">D933*C933</f>
        <v>234155.650471155</v>
      </c>
      <c r="F933" s="46" t="n">
        <v>924</v>
      </c>
      <c r="G933" s="47" t="n">
        <f aca="false">F933*$H$6</f>
        <v>1.68601935110389</v>
      </c>
      <c r="H933" s="48" t="n">
        <f aca="false">$H$7*G933</f>
        <v>12.8333333333333</v>
      </c>
      <c r="I933" s="49" t="n">
        <f aca="false">0.5*c_rho*'P3 Energie'!F8*'P3 Energie'!F7*(H933-c_Vv)^2+'P3 Energie'!F13+'P3 Energie'!F15+'P3 Energie'!F6*$H$7</f>
        <v>19095.4570539296</v>
      </c>
      <c r="J933" s="50" t="n">
        <f aca="false">I933*H933</f>
        <v>245058.36552543</v>
      </c>
    </row>
    <row r="934" customFormat="false" ht="15" hidden="false" customHeight="false" outlineLevel="0" collapsed="false">
      <c r="A934" s="46" t="n">
        <v>925</v>
      </c>
      <c r="B934" s="47" t="n">
        <f aca="false">A934*$C$6</f>
        <v>1.69273139745982</v>
      </c>
      <c r="C934" s="48" t="n">
        <f aca="false">$C$7*B934</f>
        <v>12.8472222222222</v>
      </c>
      <c r="D934" s="49" t="n">
        <f aca="false">0.5*c_rho*'P3 Energie'!E8*'P3 Energie'!E7*(C934-c_Vv)^2+'P3 Energie'!E13+'P3 Energie'!E15+'P3 Energie'!E6*$C$7</f>
        <v>18246.0373114714</v>
      </c>
      <c r="E934" s="50" t="n">
        <f aca="false">D934*C934</f>
        <v>234410.896015431</v>
      </c>
      <c r="F934" s="46" t="n">
        <v>925</v>
      </c>
      <c r="G934" s="47" t="n">
        <f aca="false">F934*$H$6</f>
        <v>1.68784404737132</v>
      </c>
      <c r="H934" s="48" t="n">
        <f aca="false">$H$7*G934</f>
        <v>12.8472222222222</v>
      </c>
      <c r="I934" s="49" t="n">
        <f aca="false">0.5*c_rho*'P3 Energie'!F8*'P3 Energie'!F7*(H934-c_Vv)^2+'P3 Energie'!F13+'P3 Energie'!F15+'P3 Energie'!F6*$H$7</f>
        <v>19095.5808346354</v>
      </c>
      <c r="J934" s="50" t="n">
        <f aca="false">I934*H934</f>
        <v>245325.170444969</v>
      </c>
    </row>
    <row r="935" customFormat="false" ht="15" hidden="false" customHeight="false" outlineLevel="0" collapsed="false">
      <c r="A935" s="46" t="n">
        <v>926</v>
      </c>
      <c r="B935" s="47" t="n">
        <f aca="false">A935*$C$6</f>
        <v>1.69456137734896</v>
      </c>
      <c r="C935" s="48" t="n">
        <f aca="false">$C$7*B935</f>
        <v>12.8611111111111</v>
      </c>
      <c r="D935" s="49" t="n">
        <f aca="false">0.5*c_rho*'P3 Energie'!E8*'P3 Energie'!E7*(C935-c_Vv)^2+'P3 Energie'!E13+'P3 Energie'!E15+'P3 Energie'!E6*$C$7</f>
        <v>18246.179935139</v>
      </c>
      <c r="E935" s="50" t="n">
        <f aca="false">D935*C935</f>
        <v>234666.147499149</v>
      </c>
      <c r="F935" s="46" t="n">
        <v>926</v>
      </c>
      <c r="G935" s="47" t="n">
        <f aca="false">F935*$H$6</f>
        <v>1.68966874363875</v>
      </c>
      <c r="H935" s="48" t="n">
        <f aca="false">$H$7*G935</f>
        <v>12.8611111111111</v>
      </c>
      <c r="I935" s="49" t="n">
        <f aca="false">0.5*c_rho*'P3 Energie'!F8*'P3 Energie'!F7*(H935-c_Vv)^2+'P3 Energie'!F13+'P3 Energie'!F15+'P3 Energie'!F6*$H$7</f>
        <v>19095.7047492306</v>
      </c>
      <c r="J935" s="50" t="n">
        <f aca="false">I935*H935</f>
        <v>245591.980524826</v>
      </c>
    </row>
    <row r="936" customFormat="false" ht="15" hidden="false" customHeight="false" outlineLevel="0" collapsed="false">
      <c r="A936" s="46" t="n">
        <v>927</v>
      </c>
      <c r="B936" s="47" t="n">
        <f aca="false">A936*$C$6</f>
        <v>1.69639135723811</v>
      </c>
      <c r="C936" s="48" t="n">
        <f aca="false">$C$7*B936</f>
        <v>12.875</v>
      </c>
      <c r="D936" s="49" t="n">
        <f aca="false">0.5*c_rho*'P3 Energie'!E8*'P3 Energie'!E7*(C936-c_Vv)^2+'P3 Energie'!E13+'P3 Energie'!E15+'P3 Energie'!E6*$C$7</f>
        <v>18246.322712911</v>
      </c>
      <c r="E936" s="50" t="n">
        <f aca="false">D936*C936</f>
        <v>234921.40492873</v>
      </c>
      <c r="F936" s="46" t="n">
        <v>927</v>
      </c>
      <c r="G936" s="47" t="n">
        <f aca="false">F936*$H$6</f>
        <v>1.69149343990618</v>
      </c>
      <c r="H936" s="48" t="n">
        <f aca="false">$H$7*G936</f>
        <v>12.875</v>
      </c>
      <c r="I936" s="49" t="n">
        <f aca="false">0.5*c_rho*'P3 Energie'!F8*'P3 Energie'!F7*(H936-c_Vv)^2+'P3 Energie'!F13+'P3 Energie'!F15+'P3 Energie'!F6*$H$7</f>
        <v>19095.828797715</v>
      </c>
      <c r="J936" s="50" t="n">
        <f aca="false">I936*H936</f>
        <v>245858.795770581</v>
      </c>
    </row>
    <row r="937" customFormat="false" ht="15" hidden="false" customHeight="false" outlineLevel="0" collapsed="false">
      <c r="A937" s="46" t="n">
        <v>928</v>
      </c>
      <c r="B937" s="47" t="n">
        <f aca="false">A937*$C$6</f>
        <v>1.69822133712726</v>
      </c>
      <c r="C937" s="48" t="n">
        <f aca="false">$C$7*B937</f>
        <v>12.8888888888889</v>
      </c>
      <c r="D937" s="49" t="n">
        <f aca="false">0.5*c_rho*'P3 Energie'!E8*'P3 Energie'!E7*(C937-c_Vv)^2+'P3 Energie'!E13+'P3 Energie'!E15+'P3 Energie'!E6*$C$7</f>
        <v>18246.4656447876</v>
      </c>
      <c r="E937" s="50" t="n">
        <f aca="false">D937*C937</f>
        <v>235176.668310595</v>
      </c>
      <c r="F937" s="46" t="n">
        <v>928</v>
      </c>
      <c r="G937" s="47" t="n">
        <f aca="false">F937*$H$6</f>
        <v>1.69331813617361</v>
      </c>
      <c r="H937" s="48" t="n">
        <f aca="false">$H$7*G937</f>
        <v>12.8888888888889</v>
      </c>
      <c r="I937" s="49" t="n">
        <f aca="false">0.5*c_rho*'P3 Energie'!F8*'P3 Energie'!F7*(H937-c_Vv)^2+'P3 Energie'!F13+'P3 Energie'!F15+'P3 Energie'!F6*$H$7</f>
        <v>19095.9529800889</v>
      </c>
      <c r="J937" s="50" t="n">
        <f aca="false">I937*H937</f>
        <v>246125.616187812</v>
      </c>
    </row>
    <row r="938" customFormat="false" ht="15" hidden="false" customHeight="false" outlineLevel="0" collapsed="false">
      <c r="A938" s="46" t="n">
        <v>929</v>
      </c>
      <c r="B938" s="47" t="n">
        <f aca="false">A938*$C$6</f>
        <v>1.7000513170164</v>
      </c>
      <c r="C938" s="48" t="n">
        <f aca="false">$C$7*B938</f>
        <v>12.9027777777778</v>
      </c>
      <c r="D938" s="49" t="n">
        <f aca="false">0.5*c_rho*'P3 Energie'!E8*'P3 Energie'!E7*(C938-c_Vv)^2+'P3 Energie'!E13+'P3 Energie'!E15+'P3 Energie'!E6*$C$7</f>
        <v>18246.6087307685</v>
      </c>
      <c r="E938" s="50" t="n">
        <f aca="false">D938*C938</f>
        <v>235431.937651166</v>
      </c>
      <c r="F938" s="46" t="n">
        <v>929</v>
      </c>
      <c r="G938" s="47" t="n">
        <f aca="false">F938*$H$6</f>
        <v>1.69514283244103</v>
      </c>
      <c r="H938" s="48" t="n">
        <f aca="false">$H$7*G938</f>
        <v>12.9027777777778</v>
      </c>
      <c r="I938" s="49" t="n">
        <f aca="false">0.5*c_rho*'P3 Energie'!F8*'P3 Energie'!F7*(H938-c_Vv)^2+'P3 Energie'!F13+'P3 Energie'!F15+'P3 Energie'!F6*$H$7</f>
        <v>19096.0772963521</v>
      </c>
      <c r="J938" s="50" t="n">
        <f aca="false">I938*H938</f>
        <v>246392.441782098</v>
      </c>
    </row>
    <row r="939" customFormat="false" ht="15" hidden="false" customHeight="false" outlineLevel="0" collapsed="false">
      <c r="A939" s="46" t="n">
        <v>930</v>
      </c>
      <c r="B939" s="47" t="n">
        <f aca="false">A939*$C$6</f>
        <v>1.70188129690555</v>
      </c>
      <c r="C939" s="48" t="n">
        <f aca="false">$C$7*B939</f>
        <v>12.9166666666667</v>
      </c>
      <c r="D939" s="49" t="n">
        <f aca="false">0.5*c_rho*'P3 Energie'!E8*'P3 Energie'!E7*(C939-c_Vv)^2+'P3 Energie'!E13+'P3 Energie'!E15+'P3 Energie'!E6*$C$7</f>
        <v>18246.7519708539</v>
      </c>
      <c r="E939" s="50" t="n">
        <f aca="false">D939*C939</f>
        <v>235687.212956863</v>
      </c>
      <c r="F939" s="46" t="n">
        <v>930</v>
      </c>
      <c r="G939" s="47" t="n">
        <f aca="false">F939*$H$6</f>
        <v>1.69696752870846</v>
      </c>
      <c r="H939" s="48" t="n">
        <f aca="false">$H$7*G939</f>
        <v>12.9166666666667</v>
      </c>
      <c r="I939" s="49" t="n">
        <f aca="false">0.5*c_rho*'P3 Energie'!F8*'P3 Energie'!F7*(H939-c_Vv)^2+'P3 Energie'!F13+'P3 Energie'!F15+'P3 Energie'!F6*$H$7</f>
        <v>19096.2017465046</v>
      </c>
      <c r="J939" s="50" t="n">
        <f aca="false">I939*H939</f>
        <v>246659.272559018</v>
      </c>
    </row>
    <row r="940" customFormat="false" ht="15" hidden="false" customHeight="false" outlineLevel="0" collapsed="false">
      <c r="A940" s="46" t="n">
        <v>931</v>
      </c>
      <c r="B940" s="47" t="n">
        <f aca="false">A940*$C$6</f>
        <v>1.70371127679469</v>
      </c>
      <c r="C940" s="48" t="n">
        <f aca="false">$C$7*B940</f>
        <v>12.9305555555556</v>
      </c>
      <c r="D940" s="49" t="n">
        <f aca="false">0.5*c_rho*'P3 Energie'!E8*'P3 Energie'!E7*(C940-c_Vv)^2+'P3 Energie'!E13+'P3 Energie'!E15+'P3 Energie'!E6*$C$7</f>
        <v>18246.8953650438</v>
      </c>
      <c r="E940" s="50" t="n">
        <f aca="false">D940*C940</f>
        <v>235942.494234108</v>
      </c>
      <c r="F940" s="46" t="n">
        <v>931</v>
      </c>
      <c r="G940" s="47" t="n">
        <f aca="false">F940*$H$6</f>
        <v>1.69879222497589</v>
      </c>
      <c r="H940" s="48" t="n">
        <f aca="false">$H$7*G940</f>
        <v>12.9305555555556</v>
      </c>
      <c r="I940" s="49" t="n">
        <f aca="false">0.5*c_rho*'P3 Energie'!F8*'P3 Energie'!F7*(H940-c_Vv)^2+'P3 Energie'!F13+'P3 Energie'!F15+'P3 Energie'!F6*$H$7</f>
        <v>19096.3263305465</v>
      </c>
      <c r="J940" s="50" t="n">
        <f aca="false">I940*H940</f>
        <v>246926.10852415</v>
      </c>
    </row>
    <row r="941" customFormat="false" ht="15" hidden="false" customHeight="false" outlineLevel="0" collapsed="false">
      <c r="A941" s="46" t="n">
        <v>932</v>
      </c>
      <c r="B941" s="47" t="n">
        <f aca="false">A941*$C$6</f>
        <v>1.70554125668384</v>
      </c>
      <c r="C941" s="48" t="n">
        <f aca="false">$C$7*B941</f>
        <v>12.9444444444444</v>
      </c>
      <c r="D941" s="49" t="n">
        <f aca="false">0.5*c_rho*'P3 Energie'!E8*'P3 Energie'!E7*(C941-c_Vv)^2+'P3 Energie'!E13+'P3 Energie'!E15+'P3 Energie'!E6*$C$7</f>
        <v>18247.0389133381</v>
      </c>
      <c r="E941" s="50" t="n">
        <f aca="false">D941*C941</f>
        <v>236197.781489321</v>
      </c>
      <c r="F941" s="46" t="n">
        <v>932</v>
      </c>
      <c r="G941" s="47" t="n">
        <f aca="false">F941*$H$6</f>
        <v>1.70061692124332</v>
      </c>
      <c r="H941" s="48" t="n">
        <f aca="false">$H$7*G941</f>
        <v>12.9444444444444</v>
      </c>
      <c r="I941" s="49" t="n">
        <f aca="false">0.5*c_rho*'P3 Energie'!F8*'P3 Energie'!F7*(H941-c_Vv)^2+'P3 Energie'!F13+'P3 Energie'!F15+'P3 Energie'!F6*$H$7</f>
        <v>19096.4510484778</v>
      </c>
      <c r="J941" s="50" t="n">
        <f aca="false">I941*H941</f>
        <v>247192.949683073</v>
      </c>
    </row>
    <row r="942" customFormat="false" ht="15" hidden="false" customHeight="false" outlineLevel="0" collapsed="false">
      <c r="A942" s="46" t="n">
        <v>933</v>
      </c>
      <c r="B942" s="47" t="n">
        <f aca="false">A942*$C$6</f>
        <v>1.70737123657298</v>
      </c>
      <c r="C942" s="48" t="n">
        <f aca="false">$C$7*B942</f>
        <v>12.9583333333333</v>
      </c>
      <c r="D942" s="49" t="n">
        <f aca="false">0.5*c_rho*'P3 Energie'!E8*'P3 Energie'!E7*(C942-c_Vv)^2+'P3 Energie'!E13+'P3 Energie'!E15+'P3 Energie'!E6*$C$7</f>
        <v>18247.1826157369</v>
      </c>
      <c r="E942" s="50" t="n">
        <f aca="false">D942*C942</f>
        <v>236453.074728924</v>
      </c>
      <c r="F942" s="46" t="n">
        <v>933</v>
      </c>
      <c r="G942" s="47" t="n">
        <f aca="false">F942*$H$6</f>
        <v>1.70244161751075</v>
      </c>
      <c r="H942" s="48" t="n">
        <f aca="false">$H$7*G942</f>
        <v>12.9583333333333</v>
      </c>
      <c r="I942" s="49" t="n">
        <f aca="false">0.5*c_rho*'P3 Energie'!F8*'P3 Energie'!F7*(H942-c_Vv)^2+'P3 Energie'!F13+'P3 Energie'!F15+'P3 Energie'!F6*$H$7</f>
        <v>19096.5759002984</v>
      </c>
      <c r="J942" s="50" t="n">
        <f aca="false">I942*H942</f>
        <v>247459.796041367</v>
      </c>
    </row>
    <row r="943" customFormat="false" ht="15" hidden="false" customHeight="false" outlineLevel="0" collapsed="false">
      <c r="A943" s="46" t="n">
        <v>934</v>
      </c>
      <c r="B943" s="47" t="n">
        <f aca="false">A943*$C$6</f>
        <v>1.70920121646213</v>
      </c>
      <c r="C943" s="48" t="n">
        <f aca="false">$C$7*B943</f>
        <v>12.9722222222222</v>
      </c>
      <c r="D943" s="49" t="n">
        <f aca="false">0.5*c_rho*'P3 Energie'!E8*'P3 Energie'!E7*(C943-c_Vv)^2+'P3 Energie'!E13+'P3 Energie'!E15+'P3 Energie'!E6*$C$7</f>
        <v>18247.3264722401</v>
      </c>
      <c r="E943" s="50" t="n">
        <f aca="false">D943*C943</f>
        <v>236708.373959337</v>
      </c>
      <c r="F943" s="46" t="n">
        <v>934</v>
      </c>
      <c r="G943" s="47" t="n">
        <f aca="false">F943*$H$6</f>
        <v>1.70426631377818</v>
      </c>
      <c r="H943" s="48" t="n">
        <f aca="false">$H$7*G943</f>
        <v>12.9722222222222</v>
      </c>
      <c r="I943" s="49" t="n">
        <f aca="false">0.5*c_rho*'P3 Energie'!F8*'P3 Energie'!F7*(H943-c_Vv)^2+'P3 Energie'!F13+'P3 Energie'!F15+'P3 Energie'!F6*$H$7</f>
        <v>19096.7008860083</v>
      </c>
      <c r="J943" s="50" t="n">
        <f aca="false">I943*H943</f>
        <v>247726.647604608</v>
      </c>
    </row>
    <row r="944" customFormat="false" ht="15" hidden="false" customHeight="false" outlineLevel="0" collapsed="false">
      <c r="A944" s="46" t="n">
        <v>935</v>
      </c>
      <c r="B944" s="47" t="n">
        <f aca="false">A944*$C$6</f>
        <v>1.71103119635128</v>
      </c>
      <c r="C944" s="48" t="n">
        <f aca="false">$C$7*B944</f>
        <v>12.9861111111111</v>
      </c>
      <c r="D944" s="49" t="n">
        <f aca="false">0.5*c_rho*'P3 Energie'!E8*'P3 Energie'!E7*(C944-c_Vv)^2+'P3 Energie'!E13+'P3 Energie'!E15+'P3 Energie'!E6*$C$7</f>
        <v>18247.4704828478</v>
      </c>
      <c r="E944" s="50" t="n">
        <f aca="false">D944*C944</f>
        <v>236963.679186981</v>
      </c>
      <c r="F944" s="46" t="n">
        <v>935</v>
      </c>
      <c r="G944" s="47" t="n">
        <f aca="false">F944*$H$6</f>
        <v>1.7060910100456</v>
      </c>
      <c r="H944" s="48" t="n">
        <f aca="false">$H$7*G944</f>
        <v>12.9861111111111</v>
      </c>
      <c r="I944" s="49" t="n">
        <f aca="false">0.5*c_rho*'P3 Energie'!F8*'P3 Energie'!F7*(H944-c_Vv)^2+'P3 Energie'!F13+'P3 Energie'!F15+'P3 Energie'!F6*$H$7</f>
        <v>19096.8260056076</v>
      </c>
      <c r="J944" s="50" t="n">
        <f aca="false">I944*H944</f>
        <v>247993.504378377</v>
      </c>
    </row>
    <row r="945" customFormat="false" ht="15" hidden="false" customHeight="false" outlineLevel="0" collapsed="false">
      <c r="A945" s="46" t="n">
        <v>936</v>
      </c>
      <c r="B945" s="47" t="n">
        <f aca="false">A945*$C$6</f>
        <v>1.71286117624042</v>
      </c>
      <c r="C945" s="48" t="n">
        <f aca="false">$C$7*B945</f>
        <v>13</v>
      </c>
      <c r="D945" s="49" t="n">
        <f aca="false">0.5*c_rho*'P3 Energie'!E8*'P3 Energie'!E7*(C945-c_Vv)^2+'P3 Energie'!E13+'P3 Energie'!E15+'P3 Energie'!E6*$C$7</f>
        <v>18247.6146475599</v>
      </c>
      <c r="E945" s="50" t="n">
        <f aca="false">D945*C945</f>
        <v>237218.990418278</v>
      </c>
      <c r="F945" s="46" t="n">
        <v>936</v>
      </c>
      <c r="G945" s="47" t="n">
        <f aca="false">F945*$H$6</f>
        <v>1.70791570631303</v>
      </c>
      <c r="H945" s="48" t="n">
        <f aca="false">$H$7*G945</f>
        <v>13</v>
      </c>
      <c r="I945" s="49" t="n">
        <f aca="false">0.5*c_rho*'P3 Energie'!F8*'P3 Energie'!F7*(H945-c_Vv)^2+'P3 Energie'!F13+'P3 Energie'!F15+'P3 Energie'!F6*$H$7</f>
        <v>19096.9512590963</v>
      </c>
      <c r="J945" s="50" t="n">
        <f aca="false">I945*H945</f>
        <v>248260.366368252</v>
      </c>
    </row>
    <row r="946" customFormat="false" ht="15" hidden="false" customHeight="false" outlineLevel="0" collapsed="false">
      <c r="A946" s="46" t="n">
        <v>937</v>
      </c>
      <c r="B946" s="47" t="n">
        <f aca="false">A946*$C$6</f>
        <v>1.71469115612957</v>
      </c>
      <c r="C946" s="48" t="n">
        <f aca="false">$C$7*B946</f>
        <v>13.0138888888889</v>
      </c>
      <c r="D946" s="49" t="n">
        <f aca="false">0.5*c_rho*'P3 Energie'!E8*'P3 Energie'!E7*(C946-c_Vv)^2+'P3 Energie'!E13+'P3 Energie'!E15+'P3 Energie'!E6*$C$7</f>
        <v>18247.7589663764</v>
      </c>
      <c r="E946" s="50" t="n">
        <f aca="false">D946*C946</f>
        <v>237474.307659649</v>
      </c>
      <c r="F946" s="46" t="n">
        <v>937</v>
      </c>
      <c r="G946" s="47" t="n">
        <f aca="false">F946*$H$6</f>
        <v>1.70974040258046</v>
      </c>
      <c r="H946" s="48" t="n">
        <f aca="false">$H$7*G946</f>
        <v>13.0138888888889</v>
      </c>
      <c r="I946" s="49" t="n">
        <f aca="false">0.5*c_rho*'P3 Energie'!F8*'P3 Energie'!F7*(H946-c_Vv)^2+'P3 Energie'!F13+'P3 Energie'!F15+'P3 Energie'!F6*$H$7</f>
        <v>19097.0766464743</v>
      </c>
      <c r="J946" s="50" t="n">
        <f aca="false">I946*H946</f>
        <v>248527.233579812</v>
      </c>
    </row>
    <row r="947" customFormat="false" ht="15" hidden="false" customHeight="false" outlineLevel="0" collapsed="false">
      <c r="A947" s="46" t="n">
        <v>938</v>
      </c>
      <c r="B947" s="47" t="n">
        <f aca="false">A947*$C$6</f>
        <v>1.71652113601871</v>
      </c>
      <c r="C947" s="48" t="n">
        <f aca="false">$C$7*B947</f>
        <v>13.0277777777778</v>
      </c>
      <c r="D947" s="49" t="n">
        <f aca="false">0.5*c_rho*'P3 Energie'!E8*'P3 Energie'!E7*(C947-c_Vv)^2+'P3 Energie'!E13+'P3 Energie'!E15+'P3 Energie'!E6*$C$7</f>
        <v>18247.9034392974</v>
      </c>
      <c r="E947" s="50" t="n">
        <f aca="false">D947*C947</f>
        <v>237729.630917514</v>
      </c>
      <c r="F947" s="46" t="n">
        <v>938</v>
      </c>
      <c r="G947" s="47" t="n">
        <f aca="false">F947*$H$6</f>
        <v>1.71156509884789</v>
      </c>
      <c r="H947" s="48" t="n">
        <f aca="false">$H$7*G947</f>
        <v>13.0277777777778</v>
      </c>
      <c r="I947" s="49" t="n">
        <f aca="false">0.5*c_rho*'P3 Energie'!F8*'P3 Energie'!F7*(H947-c_Vv)^2+'P3 Energie'!F13+'P3 Energie'!F15+'P3 Energie'!F6*$H$7</f>
        <v>19097.2021677417</v>
      </c>
      <c r="J947" s="50" t="n">
        <f aca="false">I947*H947</f>
        <v>248794.106018635</v>
      </c>
    </row>
    <row r="948" customFormat="false" ht="15" hidden="false" customHeight="false" outlineLevel="0" collapsed="false">
      <c r="A948" s="46" t="n">
        <v>939</v>
      </c>
      <c r="B948" s="47" t="n">
        <f aca="false">A948*$C$6</f>
        <v>1.71835111590786</v>
      </c>
      <c r="C948" s="48" t="n">
        <f aca="false">$C$7*B948</f>
        <v>13.0416666666667</v>
      </c>
      <c r="D948" s="49" t="n">
        <f aca="false">0.5*c_rho*'P3 Energie'!E8*'P3 Energie'!E7*(C948-c_Vv)^2+'P3 Energie'!E13+'P3 Energie'!E15+'P3 Energie'!E6*$C$7</f>
        <v>18248.0480663229</v>
      </c>
      <c r="E948" s="50" t="n">
        <f aca="false">D948*C948</f>
        <v>237984.960198294</v>
      </c>
      <c r="F948" s="46" t="n">
        <v>939</v>
      </c>
      <c r="G948" s="47" t="n">
        <f aca="false">F948*$H$6</f>
        <v>1.71338979511532</v>
      </c>
      <c r="H948" s="48" t="n">
        <f aca="false">$H$7*G948</f>
        <v>13.0416666666667</v>
      </c>
      <c r="I948" s="49" t="n">
        <f aca="false">0.5*c_rho*'P3 Energie'!F8*'P3 Energie'!F7*(H948-c_Vv)^2+'P3 Energie'!F13+'P3 Energie'!F15+'P3 Energie'!F6*$H$7</f>
        <v>19097.3278228984</v>
      </c>
      <c r="J948" s="50" t="n">
        <f aca="false">I948*H948</f>
        <v>249060.9836903</v>
      </c>
    </row>
    <row r="949" customFormat="false" ht="15" hidden="false" customHeight="false" outlineLevel="0" collapsed="false">
      <c r="A949" s="46" t="n">
        <v>940</v>
      </c>
      <c r="B949" s="47" t="n">
        <f aca="false">A949*$C$6</f>
        <v>1.720181095797</v>
      </c>
      <c r="C949" s="48" t="n">
        <f aca="false">$C$7*B949</f>
        <v>13.0555555555556</v>
      </c>
      <c r="D949" s="49" t="n">
        <f aca="false">0.5*c_rho*'P3 Energie'!E8*'P3 Energie'!E7*(C949-c_Vv)^2+'P3 Energie'!E13+'P3 Energie'!E15+'P3 Energie'!E6*$C$7</f>
        <v>18248.1928474528</v>
      </c>
      <c r="E949" s="50" t="n">
        <f aca="false">D949*C949</f>
        <v>238240.295508411</v>
      </c>
      <c r="F949" s="46" t="n">
        <v>940</v>
      </c>
      <c r="G949" s="47" t="n">
        <f aca="false">F949*$H$6</f>
        <v>1.71521449138275</v>
      </c>
      <c r="H949" s="48" t="n">
        <f aca="false">$H$7*G949</f>
        <v>13.0555555555556</v>
      </c>
      <c r="I949" s="49" t="n">
        <f aca="false">0.5*c_rho*'P3 Energie'!F8*'P3 Energie'!F7*(H949-c_Vv)^2+'P3 Energie'!F13+'P3 Energie'!F15+'P3 Energie'!F6*$H$7</f>
        <v>19097.4536119444</v>
      </c>
      <c r="J949" s="50" t="n">
        <f aca="false">I949*H949</f>
        <v>249327.866600386</v>
      </c>
    </row>
    <row r="950" customFormat="false" ht="15" hidden="false" customHeight="false" outlineLevel="0" collapsed="false">
      <c r="A950" s="46" t="n">
        <v>941</v>
      </c>
      <c r="B950" s="47" t="n">
        <f aca="false">A950*$C$6</f>
        <v>1.72201107568615</v>
      </c>
      <c r="C950" s="48" t="n">
        <f aca="false">$C$7*B950</f>
        <v>13.0694444444444</v>
      </c>
      <c r="D950" s="49" t="n">
        <f aca="false">0.5*c_rho*'P3 Energie'!E8*'P3 Energie'!E7*(C950-c_Vv)^2+'P3 Energie'!E13+'P3 Energie'!E15+'P3 Energie'!E6*$C$7</f>
        <v>18248.3377826871</v>
      </c>
      <c r="E950" s="50" t="n">
        <f aca="false">D950*C950</f>
        <v>238495.636854286</v>
      </c>
      <c r="F950" s="46" t="n">
        <v>941</v>
      </c>
      <c r="G950" s="47" t="n">
        <f aca="false">F950*$H$6</f>
        <v>1.71703918765017</v>
      </c>
      <c r="H950" s="48" t="n">
        <f aca="false">$H$7*G950</f>
        <v>13.0694444444444</v>
      </c>
      <c r="I950" s="49" t="n">
        <f aca="false">0.5*c_rho*'P3 Energie'!F8*'P3 Energie'!F7*(H950-c_Vv)^2+'P3 Energie'!F13+'P3 Energie'!F15+'P3 Energie'!F6*$H$7</f>
        <v>19097.5795348799</v>
      </c>
      <c r="J950" s="50" t="n">
        <f aca="false">I950*H950</f>
        <v>249594.754754472</v>
      </c>
    </row>
    <row r="951" customFormat="false" ht="15" hidden="false" customHeight="false" outlineLevel="0" collapsed="false">
      <c r="A951" s="46" t="n">
        <v>942</v>
      </c>
      <c r="B951" s="47" t="n">
        <f aca="false">A951*$C$6</f>
        <v>1.7238410555753</v>
      </c>
      <c r="C951" s="48" t="n">
        <f aca="false">$C$7*B951</f>
        <v>13.0833333333333</v>
      </c>
      <c r="D951" s="49" t="n">
        <f aca="false">0.5*c_rho*'P3 Energie'!E8*'P3 Energie'!E7*(C951-c_Vv)^2+'P3 Energie'!E13+'P3 Energie'!E15+'P3 Energie'!E6*$C$7</f>
        <v>18248.4828720259</v>
      </c>
      <c r="E951" s="50" t="n">
        <f aca="false">D951*C951</f>
        <v>238750.984242339</v>
      </c>
      <c r="F951" s="46" t="n">
        <v>942</v>
      </c>
      <c r="G951" s="47" t="n">
        <f aca="false">F951*$H$6</f>
        <v>1.7188638839176</v>
      </c>
      <c r="H951" s="48" t="n">
        <f aca="false">$H$7*G951</f>
        <v>13.0833333333333</v>
      </c>
      <c r="I951" s="49" t="n">
        <f aca="false">0.5*c_rho*'P3 Energie'!F8*'P3 Energie'!F7*(H951-c_Vv)^2+'P3 Energie'!F13+'P3 Energie'!F15+'P3 Energie'!F6*$H$7</f>
        <v>19097.7055917046</v>
      </c>
      <c r="J951" s="50" t="n">
        <f aca="false">I951*H951</f>
        <v>249861.648158136</v>
      </c>
    </row>
    <row r="952" customFormat="false" ht="15" hidden="false" customHeight="false" outlineLevel="0" collapsed="false">
      <c r="A952" s="46" t="n">
        <v>943</v>
      </c>
      <c r="B952" s="47" t="n">
        <f aca="false">A952*$C$6</f>
        <v>1.72567103546444</v>
      </c>
      <c r="C952" s="48" t="n">
        <f aca="false">$C$7*B952</f>
        <v>13.0972222222222</v>
      </c>
      <c r="D952" s="49" t="n">
        <f aca="false">0.5*c_rho*'P3 Energie'!E8*'P3 Energie'!E7*(C952-c_Vv)^2+'P3 Energie'!E13+'P3 Energie'!E15+'P3 Energie'!E6*$C$7</f>
        <v>18248.6281154692</v>
      </c>
      <c r="E952" s="50" t="n">
        <f aca="false">D952*C952</f>
        <v>239006.337678992</v>
      </c>
      <c r="F952" s="46" t="n">
        <v>943</v>
      </c>
      <c r="G952" s="47" t="n">
        <f aca="false">F952*$H$6</f>
        <v>1.72068858018503</v>
      </c>
      <c r="H952" s="48" t="n">
        <f aca="false">$H$7*G952</f>
        <v>13.0972222222222</v>
      </c>
      <c r="I952" s="49" t="n">
        <f aca="false">0.5*c_rho*'P3 Energie'!F8*'P3 Energie'!F7*(H952-c_Vv)^2+'P3 Energie'!F13+'P3 Energie'!F15+'P3 Energie'!F6*$H$7</f>
        <v>19097.8317824188</v>
      </c>
      <c r="J952" s="50" t="n">
        <f aca="false">I952*H952</f>
        <v>250128.546816957</v>
      </c>
    </row>
    <row r="953" customFormat="false" ht="15" hidden="false" customHeight="false" outlineLevel="0" collapsed="false">
      <c r="A953" s="46" t="n">
        <v>944</v>
      </c>
      <c r="B953" s="47" t="n">
        <f aca="false">A953*$C$6</f>
        <v>1.72750101535359</v>
      </c>
      <c r="C953" s="48" t="n">
        <f aca="false">$C$7*B953</f>
        <v>13.1111111111111</v>
      </c>
      <c r="D953" s="49" t="n">
        <f aca="false">0.5*c_rho*'P3 Energie'!E8*'P3 Energie'!E7*(C953-c_Vv)^2+'P3 Energie'!E13+'P3 Energie'!E15+'P3 Energie'!E6*$C$7</f>
        <v>18248.7735130169</v>
      </c>
      <c r="E953" s="50" t="n">
        <f aca="false">D953*C953</f>
        <v>239261.697170666</v>
      </c>
      <c r="F953" s="46" t="n">
        <v>944</v>
      </c>
      <c r="G953" s="47" t="n">
        <f aca="false">F953*$H$6</f>
        <v>1.72251327645246</v>
      </c>
      <c r="H953" s="48" t="n">
        <f aca="false">$H$7*G953</f>
        <v>13.1111111111111</v>
      </c>
      <c r="I953" s="49" t="n">
        <f aca="false">0.5*c_rho*'P3 Energie'!F8*'P3 Energie'!F7*(H953-c_Vv)^2+'P3 Energie'!F13+'P3 Energie'!F15+'P3 Energie'!F6*$H$7</f>
        <v>19097.9581070222</v>
      </c>
      <c r="J953" s="50" t="n">
        <f aca="false">I953*H953</f>
        <v>250395.450736514</v>
      </c>
    </row>
    <row r="954" customFormat="false" ht="15" hidden="false" customHeight="false" outlineLevel="0" collapsed="false">
      <c r="A954" s="46" t="n">
        <v>945</v>
      </c>
      <c r="B954" s="47" t="n">
        <f aca="false">A954*$C$6</f>
        <v>1.72933099524273</v>
      </c>
      <c r="C954" s="48" t="n">
        <f aca="false">$C$7*B954</f>
        <v>13.125</v>
      </c>
      <c r="D954" s="49" t="n">
        <f aca="false">0.5*c_rho*'P3 Energie'!E8*'P3 Energie'!E7*(C954-c_Vv)^2+'P3 Energie'!E13+'P3 Energie'!E15+'P3 Energie'!E6*$C$7</f>
        <v>18248.919064669</v>
      </c>
      <c r="E954" s="50" t="n">
        <f aca="false">D954*C954</f>
        <v>239517.062723781</v>
      </c>
      <c r="F954" s="46" t="n">
        <v>945</v>
      </c>
      <c r="G954" s="47" t="n">
        <f aca="false">F954*$H$6</f>
        <v>1.72433797271989</v>
      </c>
      <c r="H954" s="48" t="n">
        <f aca="false">$H$7*G954</f>
        <v>13.125</v>
      </c>
      <c r="I954" s="49" t="n">
        <f aca="false">0.5*c_rho*'P3 Energie'!F8*'P3 Energie'!F7*(H954-c_Vv)^2+'P3 Energie'!F13+'P3 Energie'!F15+'P3 Energie'!F6*$H$7</f>
        <v>19098.084565515</v>
      </c>
      <c r="J954" s="50" t="n">
        <f aca="false">I954*H954</f>
        <v>250662.359922385</v>
      </c>
    </row>
    <row r="955" customFormat="false" ht="15" hidden="false" customHeight="false" outlineLevel="0" collapsed="false">
      <c r="A955" s="46" t="n">
        <v>946</v>
      </c>
      <c r="B955" s="47" t="n">
        <f aca="false">A955*$C$6</f>
        <v>1.73116097513188</v>
      </c>
      <c r="C955" s="48" t="n">
        <f aca="false">$C$7*B955</f>
        <v>13.1388888888889</v>
      </c>
      <c r="D955" s="49" t="n">
        <f aca="false">0.5*c_rho*'P3 Energie'!E8*'P3 Energie'!E7*(C955-c_Vv)^2+'P3 Energie'!E13+'P3 Energie'!E15+'P3 Energie'!E6*$C$7</f>
        <v>18249.0647704256</v>
      </c>
      <c r="E955" s="50" t="n">
        <f aca="false">D955*C955</f>
        <v>239772.434344759</v>
      </c>
      <c r="F955" s="46" t="n">
        <v>946</v>
      </c>
      <c r="G955" s="47" t="n">
        <f aca="false">F955*$H$6</f>
        <v>1.72616266898732</v>
      </c>
      <c r="H955" s="48" t="n">
        <f aca="false">$H$7*G955</f>
        <v>13.1388888888889</v>
      </c>
      <c r="I955" s="49" t="n">
        <f aca="false">0.5*c_rho*'P3 Energie'!F8*'P3 Energie'!F7*(H955-c_Vv)^2+'P3 Energie'!F13+'P3 Energie'!F15+'P3 Energie'!F6*$H$7</f>
        <v>19098.2111578972</v>
      </c>
      <c r="J955" s="50" t="n">
        <f aca="false">I955*H955</f>
        <v>250929.27438015</v>
      </c>
    </row>
    <row r="956" customFormat="false" ht="15" hidden="false" customHeight="false" outlineLevel="0" collapsed="false">
      <c r="A956" s="46" t="n">
        <v>947</v>
      </c>
      <c r="B956" s="47" t="n">
        <f aca="false">A956*$C$6</f>
        <v>1.73299095502102</v>
      </c>
      <c r="C956" s="48" t="n">
        <f aca="false">$C$7*B956</f>
        <v>13.1527777777778</v>
      </c>
      <c r="D956" s="49" t="n">
        <f aca="false">0.5*c_rho*'P3 Energie'!E8*'P3 Energie'!E7*(C956-c_Vv)^2+'P3 Energie'!E13+'P3 Energie'!E15+'P3 Energie'!E6*$C$7</f>
        <v>18249.2106302867</v>
      </c>
      <c r="E956" s="50" t="n">
        <f aca="false">D956*C956</f>
        <v>240027.812040021</v>
      </c>
      <c r="F956" s="46" t="n">
        <v>947</v>
      </c>
      <c r="G956" s="47" t="n">
        <f aca="false">F956*$H$6</f>
        <v>1.72798736525475</v>
      </c>
      <c r="H956" s="48" t="n">
        <f aca="false">$H$7*G956</f>
        <v>13.1527777777778</v>
      </c>
      <c r="I956" s="49" t="n">
        <f aca="false">0.5*c_rho*'P3 Energie'!F8*'P3 Energie'!F7*(H956-c_Vv)^2+'P3 Energie'!F13+'P3 Energie'!F15+'P3 Energie'!F6*$H$7</f>
        <v>19098.3378841688</v>
      </c>
      <c r="J956" s="50" t="n">
        <f aca="false">I956*H956</f>
        <v>251196.194115386</v>
      </c>
    </row>
    <row r="957" customFormat="false" ht="15" hidden="false" customHeight="false" outlineLevel="0" collapsed="false">
      <c r="A957" s="46" t="n">
        <v>948</v>
      </c>
      <c r="B957" s="47" t="n">
        <f aca="false">A957*$C$6</f>
        <v>1.73482093491017</v>
      </c>
      <c r="C957" s="48" t="n">
        <f aca="false">$C$7*B957</f>
        <v>13.1666666666667</v>
      </c>
      <c r="D957" s="49" t="n">
        <f aca="false">0.5*c_rho*'P3 Energie'!E8*'P3 Energie'!E7*(C957-c_Vv)^2+'P3 Energie'!E13+'P3 Energie'!E15+'P3 Energie'!E6*$C$7</f>
        <v>18249.3566442522</v>
      </c>
      <c r="E957" s="50" t="n">
        <f aca="false">D957*C957</f>
        <v>240283.195815987</v>
      </c>
      <c r="F957" s="46" t="n">
        <v>948</v>
      </c>
      <c r="G957" s="47" t="n">
        <f aca="false">F957*$H$6</f>
        <v>1.72981206152217</v>
      </c>
      <c r="H957" s="48" t="n">
        <f aca="false">$H$7*G957</f>
        <v>13.1666666666667</v>
      </c>
      <c r="I957" s="49" t="n">
        <f aca="false">0.5*c_rho*'P3 Energie'!F8*'P3 Energie'!F7*(H957-c_Vv)^2+'P3 Energie'!F13+'P3 Energie'!F15+'P3 Energie'!F6*$H$7</f>
        <v>19098.4647443296</v>
      </c>
      <c r="J957" s="50" t="n">
        <f aca="false">I957*H957</f>
        <v>251463.119133674</v>
      </c>
    </row>
    <row r="958" customFormat="false" ht="15" hidden="false" customHeight="false" outlineLevel="0" collapsed="false">
      <c r="A958" s="46" t="n">
        <v>949</v>
      </c>
      <c r="B958" s="47" t="n">
        <f aca="false">A958*$C$6</f>
        <v>1.73665091479932</v>
      </c>
      <c r="C958" s="48" t="n">
        <f aca="false">$C$7*B958</f>
        <v>13.1805555555556</v>
      </c>
      <c r="D958" s="49" t="n">
        <f aca="false">0.5*c_rho*'P3 Energie'!E8*'P3 Energie'!E7*(C958-c_Vv)^2+'P3 Energie'!E13+'P3 Energie'!E15+'P3 Energie'!E6*$C$7</f>
        <v>18249.5028123221</v>
      </c>
      <c r="E958" s="50" t="n">
        <f aca="false">D958*C958</f>
        <v>240538.585679079</v>
      </c>
      <c r="F958" s="46" t="n">
        <v>949</v>
      </c>
      <c r="G958" s="47" t="n">
        <f aca="false">F958*$H$6</f>
        <v>1.7316367577896</v>
      </c>
      <c r="H958" s="48" t="n">
        <f aca="false">$H$7*G958</f>
        <v>13.1805555555556</v>
      </c>
      <c r="I958" s="49" t="n">
        <f aca="false">0.5*c_rho*'P3 Energie'!F8*'P3 Energie'!F7*(H958-c_Vv)^2+'P3 Energie'!F13+'P3 Energie'!F15+'P3 Energie'!F6*$H$7</f>
        <v>19098.5917383799</v>
      </c>
      <c r="J958" s="50" t="n">
        <f aca="false">I958*H958</f>
        <v>251730.04944059</v>
      </c>
    </row>
    <row r="959" customFormat="false" ht="15" hidden="false" customHeight="false" outlineLevel="0" collapsed="false">
      <c r="A959" s="46" t="n">
        <v>950</v>
      </c>
      <c r="B959" s="47" t="n">
        <f aca="false">A959*$C$6</f>
        <v>1.73848089468846</v>
      </c>
      <c r="C959" s="48" t="n">
        <f aca="false">$C$7*B959</f>
        <v>13.1944444444444</v>
      </c>
      <c r="D959" s="49" t="n">
        <f aca="false">0.5*c_rho*'P3 Energie'!E8*'P3 Energie'!E7*(C959-c_Vv)^2+'P3 Energie'!E13+'P3 Energie'!E15+'P3 Energie'!E6*$C$7</f>
        <v>18249.6491344965</v>
      </c>
      <c r="E959" s="50" t="n">
        <f aca="false">D959*C959</f>
        <v>240793.981635718</v>
      </c>
      <c r="F959" s="46" t="n">
        <v>950</v>
      </c>
      <c r="G959" s="47" t="n">
        <f aca="false">F959*$H$6</f>
        <v>1.73346145405703</v>
      </c>
      <c r="H959" s="48" t="n">
        <f aca="false">$H$7*G959</f>
        <v>13.1944444444444</v>
      </c>
      <c r="I959" s="49" t="n">
        <f aca="false">0.5*c_rho*'P3 Energie'!F8*'P3 Energie'!F7*(H959-c_Vv)^2+'P3 Energie'!F13+'P3 Energie'!F15+'P3 Energie'!F6*$H$7</f>
        <v>19098.7188663194</v>
      </c>
      <c r="J959" s="50" t="n">
        <f aca="false">I959*H959</f>
        <v>251996.985041715</v>
      </c>
    </row>
    <row r="960" customFormat="false" ht="15" hidden="false" customHeight="false" outlineLevel="0" collapsed="false">
      <c r="A960" s="46" t="n">
        <v>951</v>
      </c>
      <c r="B960" s="47" t="n">
        <f aca="false">A960*$C$6</f>
        <v>1.74031087457761</v>
      </c>
      <c r="C960" s="48" t="n">
        <f aca="false">$C$7*B960</f>
        <v>13.2083333333333</v>
      </c>
      <c r="D960" s="49" t="n">
        <f aca="false">0.5*c_rho*'P3 Energie'!E8*'P3 Energie'!E7*(C960-c_Vv)^2+'P3 Energie'!E13+'P3 Energie'!E15+'P3 Energie'!E6*$C$7</f>
        <v>18249.7956107754</v>
      </c>
      <c r="E960" s="50" t="n">
        <f aca="false">D960*C960</f>
        <v>241049.383692325</v>
      </c>
      <c r="F960" s="46" t="n">
        <v>951</v>
      </c>
      <c r="G960" s="47" t="n">
        <f aca="false">F960*$H$6</f>
        <v>1.73528615032446</v>
      </c>
      <c r="H960" s="48" t="n">
        <f aca="false">$H$7*G960</f>
        <v>13.2083333333333</v>
      </c>
      <c r="I960" s="49" t="n">
        <f aca="false">0.5*c_rho*'P3 Energie'!F8*'P3 Energie'!F7*(H960-c_Vv)^2+'P3 Energie'!F13+'P3 Energie'!F15+'P3 Energie'!F6*$H$7</f>
        <v>19098.8461281484</v>
      </c>
      <c r="J960" s="50" t="n">
        <f aca="false">I960*H960</f>
        <v>252263.925942627</v>
      </c>
    </row>
    <row r="961" customFormat="false" ht="15" hidden="false" customHeight="false" outlineLevel="0" collapsed="false">
      <c r="A961" s="46" t="n">
        <v>952</v>
      </c>
      <c r="B961" s="47" t="n">
        <f aca="false">A961*$C$6</f>
        <v>1.74214085446675</v>
      </c>
      <c r="C961" s="48" t="n">
        <f aca="false">$C$7*B961</f>
        <v>13.2222222222222</v>
      </c>
      <c r="D961" s="49" t="n">
        <f aca="false">0.5*c_rho*'P3 Energie'!E8*'P3 Energie'!E7*(C961-c_Vv)^2+'P3 Energie'!E13+'P3 Energie'!E15+'P3 Energie'!E6*$C$7</f>
        <v>18249.9422411587</v>
      </c>
      <c r="E961" s="50" t="n">
        <f aca="false">D961*C961</f>
        <v>241304.79185532</v>
      </c>
      <c r="F961" s="46" t="n">
        <v>952</v>
      </c>
      <c r="G961" s="47" t="n">
        <f aca="false">F961*$H$6</f>
        <v>1.73711084659189</v>
      </c>
      <c r="H961" s="48" t="n">
        <f aca="false">$H$7*G961</f>
        <v>13.2222222222222</v>
      </c>
      <c r="I961" s="49" t="n">
        <f aca="false">0.5*c_rho*'P3 Energie'!F8*'P3 Energie'!F7*(H961-c_Vv)^2+'P3 Energie'!F13+'P3 Energie'!F15+'P3 Energie'!F6*$H$7</f>
        <v>19098.9735238667</v>
      </c>
      <c r="J961" s="50" t="n">
        <f aca="false">I961*H961</f>
        <v>252530.872148904</v>
      </c>
    </row>
    <row r="962" customFormat="false" ht="15" hidden="false" customHeight="false" outlineLevel="0" collapsed="false">
      <c r="A962" s="46" t="n">
        <v>953</v>
      </c>
      <c r="B962" s="47" t="n">
        <f aca="false">A962*$C$6</f>
        <v>1.7439708343559</v>
      </c>
      <c r="C962" s="48" t="n">
        <f aca="false">$C$7*B962</f>
        <v>13.2361111111111</v>
      </c>
      <c r="D962" s="49" t="n">
        <f aca="false">0.5*c_rho*'P3 Energie'!E8*'P3 Energie'!E7*(C962-c_Vv)^2+'P3 Energie'!E13+'P3 Energie'!E15+'P3 Energie'!E6*$C$7</f>
        <v>18250.0890256464</v>
      </c>
      <c r="E962" s="50" t="n">
        <f aca="false">D962*C962</f>
        <v>241560.206131126</v>
      </c>
      <c r="F962" s="46" t="n">
        <v>953</v>
      </c>
      <c r="G962" s="47" t="n">
        <f aca="false">F962*$H$6</f>
        <v>1.73893554285932</v>
      </c>
      <c r="H962" s="48" t="n">
        <f aca="false">$H$7*G962</f>
        <v>13.2361111111111</v>
      </c>
      <c r="I962" s="49" t="n">
        <f aca="false">0.5*c_rho*'P3 Energie'!F8*'P3 Energie'!F7*(H962-c_Vv)^2+'P3 Energie'!F13+'P3 Energie'!F15+'P3 Energie'!F6*$H$7</f>
        <v>19099.1010534743</v>
      </c>
      <c r="J962" s="50" t="n">
        <f aca="false">I962*H962</f>
        <v>252797.823666125</v>
      </c>
    </row>
    <row r="963" customFormat="false" ht="15" hidden="false" customHeight="false" outlineLevel="0" collapsed="false">
      <c r="A963" s="46" t="n">
        <v>954</v>
      </c>
      <c r="B963" s="47" t="n">
        <f aca="false">A963*$C$6</f>
        <v>1.74580081424505</v>
      </c>
      <c r="C963" s="48" t="n">
        <f aca="false">$C$7*B963</f>
        <v>13.25</v>
      </c>
      <c r="D963" s="49" t="n">
        <f aca="false">0.5*c_rho*'P3 Energie'!E8*'P3 Energie'!E7*(C963-c_Vv)^2+'P3 Energie'!E13+'P3 Energie'!E15+'P3 Energie'!E6*$C$7</f>
        <v>18250.2359642386</v>
      </c>
      <c r="E963" s="50" t="n">
        <f aca="false">D963*C963</f>
        <v>241815.626526162</v>
      </c>
      <c r="F963" s="46" t="n">
        <v>954</v>
      </c>
      <c r="G963" s="47" t="n">
        <f aca="false">F963*$H$6</f>
        <v>1.74076023912674</v>
      </c>
      <c r="H963" s="48" t="n">
        <f aca="false">$H$7*G963</f>
        <v>13.25</v>
      </c>
      <c r="I963" s="49" t="n">
        <f aca="false">0.5*c_rho*'P3 Energie'!F8*'P3 Energie'!F7*(H963-c_Vv)^2+'P3 Energie'!F13+'P3 Energie'!F15+'P3 Energie'!F6*$H$7</f>
        <v>19099.2287169713</v>
      </c>
      <c r="J963" s="50" t="n">
        <f aca="false">I963*H963</f>
        <v>253064.78049987</v>
      </c>
    </row>
    <row r="964" customFormat="false" ht="15" hidden="false" customHeight="false" outlineLevel="0" collapsed="false">
      <c r="A964" s="46" t="n">
        <v>955</v>
      </c>
      <c r="B964" s="47" t="n">
        <f aca="false">A964*$C$6</f>
        <v>1.74763079413419</v>
      </c>
      <c r="C964" s="48" t="n">
        <f aca="false">$C$7*B964</f>
        <v>13.2638888888889</v>
      </c>
      <c r="D964" s="49" t="n">
        <f aca="false">0.5*c_rho*'P3 Energie'!E8*'P3 Energie'!E7*(C964-c_Vv)^2+'P3 Energie'!E13+'P3 Energie'!E15+'P3 Energie'!E6*$C$7</f>
        <v>18250.3830569353</v>
      </c>
      <c r="E964" s="50" t="n">
        <f aca="false">D964*C964</f>
        <v>242071.05304685</v>
      </c>
      <c r="F964" s="46" t="n">
        <v>955</v>
      </c>
      <c r="G964" s="47" t="n">
        <f aca="false">F964*$H$6</f>
        <v>1.74258493539417</v>
      </c>
      <c r="H964" s="48" t="n">
        <f aca="false">$H$7*G964</f>
        <v>13.2638888888889</v>
      </c>
      <c r="I964" s="49" t="n">
        <f aca="false">0.5*c_rho*'P3 Energie'!F8*'P3 Energie'!F7*(H964-c_Vv)^2+'P3 Energie'!F13+'P3 Energie'!F15+'P3 Energie'!F6*$H$7</f>
        <v>19099.3565143576</v>
      </c>
      <c r="J964" s="50" t="n">
        <f aca="false">I964*H964</f>
        <v>253331.742655716</v>
      </c>
    </row>
    <row r="965" customFormat="false" ht="15" hidden="false" customHeight="false" outlineLevel="0" collapsed="false">
      <c r="A965" s="46" t="n">
        <v>956</v>
      </c>
      <c r="B965" s="47" t="n">
        <f aca="false">A965*$C$6</f>
        <v>1.74946077402334</v>
      </c>
      <c r="C965" s="48" t="n">
        <f aca="false">$C$7*B965</f>
        <v>13.2777777777778</v>
      </c>
      <c r="D965" s="49" t="n">
        <f aca="false">0.5*c_rho*'P3 Energie'!E8*'P3 Energie'!E7*(C965-c_Vv)^2+'P3 Energie'!E13+'P3 Energie'!E15+'P3 Energie'!E6*$C$7</f>
        <v>18250.5303037363</v>
      </c>
      <c r="E965" s="50" t="n">
        <f aca="false">D965*C965</f>
        <v>242326.48569961</v>
      </c>
      <c r="F965" s="46" t="n">
        <v>956</v>
      </c>
      <c r="G965" s="47" t="n">
        <f aca="false">F965*$H$6</f>
        <v>1.7444096316616</v>
      </c>
      <c r="H965" s="48" t="n">
        <f aca="false">$H$7*G965</f>
        <v>13.2777777777778</v>
      </c>
      <c r="I965" s="49" t="n">
        <f aca="false">0.5*c_rho*'P3 Energie'!F8*'P3 Energie'!F7*(H965-c_Vv)^2+'P3 Energie'!F13+'P3 Energie'!F15+'P3 Energie'!F6*$H$7</f>
        <v>19099.4844456333</v>
      </c>
      <c r="J965" s="50" t="n">
        <f aca="false">I965*H965</f>
        <v>253598.710139243</v>
      </c>
    </row>
    <row r="966" customFormat="false" ht="15" hidden="false" customHeight="false" outlineLevel="0" collapsed="false">
      <c r="A966" s="46" t="n">
        <v>957</v>
      </c>
      <c r="B966" s="47" t="n">
        <f aca="false">A966*$C$6</f>
        <v>1.75129075391248</v>
      </c>
      <c r="C966" s="48" t="n">
        <f aca="false">$C$7*B966</f>
        <v>13.2916666666667</v>
      </c>
      <c r="D966" s="49" t="n">
        <f aca="false">0.5*c_rho*'P3 Energie'!E8*'P3 Energie'!E7*(C966-c_Vv)^2+'P3 Energie'!E13+'P3 Energie'!E15+'P3 Energie'!E6*$C$7</f>
        <v>18250.6777046419</v>
      </c>
      <c r="E966" s="50" t="n">
        <f aca="false">D966*C966</f>
        <v>242581.924490865</v>
      </c>
      <c r="F966" s="46" t="n">
        <v>957</v>
      </c>
      <c r="G966" s="47" t="n">
        <f aca="false">F966*$H$6</f>
        <v>1.74623432792903</v>
      </c>
      <c r="H966" s="48" t="n">
        <f aca="false">$H$7*G966</f>
        <v>13.2916666666667</v>
      </c>
      <c r="I966" s="49" t="n">
        <f aca="false">0.5*c_rho*'P3 Energie'!F8*'P3 Energie'!F7*(H966-c_Vv)^2+'P3 Energie'!F13+'P3 Energie'!F15+'P3 Energie'!F6*$H$7</f>
        <v>19099.6125107984</v>
      </c>
      <c r="J966" s="50" t="n">
        <f aca="false">I966*H966</f>
        <v>253865.682956028</v>
      </c>
    </row>
    <row r="967" customFormat="false" ht="15" hidden="false" customHeight="false" outlineLevel="0" collapsed="false">
      <c r="A967" s="46" t="n">
        <v>958</v>
      </c>
      <c r="B967" s="47" t="n">
        <f aca="false">A967*$C$6</f>
        <v>1.75312073380163</v>
      </c>
      <c r="C967" s="48" t="n">
        <f aca="false">$C$7*B967</f>
        <v>13.3055555555556</v>
      </c>
      <c r="D967" s="49" t="n">
        <f aca="false">0.5*c_rho*'P3 Energie'!E8*'P3 Energie'!E7*(C967-c_Vv)^2+'P3 Energie'!E13+'P3 Energie'!E15+'P3 Energie'!E6*$C$7</f>
        <v>18250.8252596519</v>
      </c>
      <c r="E967" s="50" t="n">
        <f aca="false">D967*C967</f>
        <v>242837.369427035</v>
      </c>
      <c r="F967" s="46" t="n">
        <v>958</v>
      </c>
      <c r="G967" s="47" t="n">
        <f aca="false">F967*$H$6</f>
        <v>1.74805902419646</v>
      </c>
      <c r="H967" s="48" t="n">
        <f aca="false">$H$7*G967</f>
        <v>13.3055555555556</v>
      </c>
      <c r="I967" s="49" t="n">
        <f aca="false">0.5*c_rho*'P3 Energie'!F8*'P3 Energie'!F7*(H967-c_Vv)^2+'P3 Energie'!F13+'P3 Energie'!F15+'P3 Energie'!F6*$H$7</f>
        <v>19099.7407098528</v>
      </c>
      <c r="J967" s="50" t="n">
        <f aca="false">I967*H967</f>
        <v>254132.661111652</v>
      </c>
    </row>
    <row r="968" customFormat="false" ht="15" hidden="false" customHeight="false" outlineLevel="0" collapsed="false">
      <c r="A968" s="46" t="n">
        <v>959</v>
      </c>
      <c r="B968" s="47" t="n">
        <f aca="false">A968*$C$6</f>
        <v>1.75495071369077</v>
      </c>
      <c r="C968" s="48" t="n">
        <f aca="false">$C$7*B968</f>
        <v>13.3194444444444</v>
      </c>
      <c r="D968" s="49" t="n">
        <f aca="false">0.5*c_rho*'P3 Energie'!E8*'P3 Energie'!E7*(C968-c_Vv)^2+'P3 Energie'!E13+'P3 Energie'!E15+'P3 Energie'!E6*$C$7</f>
        <v>18250.9729687663</v>
      </c>
      <c r="E968" s="50" t="n">
        <f aca="false">D968*C968</f>
        <v>243092.82051454</v>
      </c>
      <c r="F968" s="46" t="n">
        <v>959</v>
      </c>
      <c r="G968" s="47" t="n">
        <f aca="false">F968*$H$6</f>
        <v>1.74988372046389</v>
      </c>
      <c r="H968" s="48" t="n">
        <f aca="false">$H$7*G968</f>
        <v>13.3194444444444</v>
      </c>
      <c r="I968" s="49" t="n">
        <f aca="false">0.5*c_rho*'P3 Energie'!F8*'P3 Energie'!F7*(H968-c_Vv)^2+'P3 Energie'!F13+'P3 Energie'!F15+'P3 Energie'!F6*$H$7</f>
        <v>19099.8690427965</v>
      </c>
      <c r="J968" s="50" t="n">
        <f aca="false">I968*H968</f>
        <v>254399.644611693</v>
      </c>
    </row>
    <row r="969" customFormat="false" ht="15" hidden="false" customHeight="false" outlineLevel="0" collapsed="false">
      <c r="A969" s="46" t="n">
        <v>960</v>
      </c>
      <c r="B969" s="47" t="n">
        <f aca="false">A969*$C$6</f>
        <v>1.75678069357992</v>
      </c>
      <c r="C969" s="48" t="n">
        <f aca="false">$C$7*B969</f>
        <v>13.3333333333333</v>
      </c>
      <c r="D969" s="49" t="n">
        <f aca="false">0.5*c_rho*'P3 Energie'!E8*'P3 Energie'!E7*(C969-c_Vv)^2+'P3 Energie'!E13+'P3 Energie'!E15+'P3 Energie'!E6*$C$7</f>
        <v>18251.1208319852</v>
      </c>
      <c r="E969" s="50" t="n">
        <f aca="false">D969*C969</f>
        <v>243348.277759803</v>
      </c>
      <c r="F969" s="46" t="n">
        <v>960</v>
      </c>
      <c r="G969" s="47" t="n">
        <f aca="false">F969*$H$6</f>
        <v>1.75170841673132</v>
      </c>
      <c r="H969" s="48" t="n">
        <f aca="false">$H$7*G969</f>
        <v>13.3333333333333</v>
      </c>
      <c r="I969" s="49" t="n">
        <f aca="false">0.5*c_rho*'P3 Energie'!F8*'P3 Energie'!F7*(H969-c_Vv)^2+'P3 Energie'!F13+'P3 Energie'!F15+'P3 Energie'!F6*$H$7</f>
        <v>19099.9975096296</v>
      </c>
      <c r="J969" s="50" t="n">
        <f aca="false">I969*H969</f>
        <v>254666.633461728</v>
      </c>
    </row>
    <row r="970" customFormat="false" ht="15" hidden="false" customHeight="false" outlineLevel="0" collapsed="false">
      <c r="A970" s="46" t="n">
        <v>961</v>
      </c>
      <c r="B970" s="47" t="n">
        <f aca="false">A970*$C$6</f>
        <v>1.75861067346907</v>
      </c>
      <c r="C970" s="48" t="n">
        <f aca="false">$C$7*B970</f>
        <v>13.3472222222222</v>
      </c>
      <c r="D970" s="49" t="n">
        <f aca="false">0.5*c_rho*'P3 Energie'!E8*'P3 Energie'!E7*(C970-c_Vv)^2+'P3 Energie'!E13+'P3 Energie'!E15+'P3 Energie'!E6*$C$7</f>
        <v>18251.2688493085</v>
      </c>
      <c r="E970" s="50" t="n">
        <f aca="false">D970*C970</f>
        <v>243603.741169243</v>
      </c>
      <c r="F970" s="46" t="n">
        <v>961</v>
      </c>
      <c r="G970" s="47" t="n">
        <f aca="false">F970*$H$6</f>
        <v>1.75353311299874</v>
      </c>
      <c r="H970" s="48" t="n">
        <f aca="false">$H$7*G970</f>
        <v>13.3472222222222</v>
      </c>
      <c r="I970" s="49" t="n">
        <f aca="false">0.5*c_rho*'P3 Energie'!F8*'P3 Energie'!F7*(H970-c_Vv)^2+'P3 Energie'!F13+'P3 Energie'!F15+'P3 Energie'!F6*$H$7</f>
        <v>19100.1261103521</v>
      </c>
      <c r="J970" s="50" t="n">
        <f aca="false">I970*H970</f>
        <v>254933.627667338</v>
      </c>
    </row>
    <row r="971" customFormat="false" ht="15" hidden="false" customHeight="false" outlineLevel="0" collapsed="false">
      <c r="A971" s="46" t="n">
        <v>962</v>
      </c>
      <c r="B971" s="47" t="n">
        <f aca="false">A971*$C$6</f>
        <v>1.76044065335821</v>
      </c>
      <c r="C971" s="48" t="n">
        <f aca="false">$C$7*B971</f>
        <v>13.3611111111111</v>
      </c>
      <c r="D971" s="49" t="n">
        <f aca="false">0.5*c_rho*'P3 Energie'!E8*'P3 Energie'!E7*(C971-c_Vv)^2+'P3 Energie'!E13+'P3 Energie'!E15+'P3 Energie'!E6*$C$7</f>
        <v>18251.4170207363</v>
      </c>
      <c r="E971" s="50" t="n">
        <f aca="false">D971*C971</f>
        <v>243859.210749282</v>
      </c>
      <c r="F971" s="46" t="n">
        <v>962</v>
      </c>
      <c r="G971" s="47" t="n">
        <f aca="false">F971*$H$6</f>
        <v>1.75535780926617</v>
      </c>
      <c r="H971" s="48" t="n">
        <f aca="false">$H$7*G971</f>
        <v>13.3611111111111</v>
      </c>
      <c r="I971" s="49" t="n">
        <f aca="false">0.5*c_rho*'P3 Energie'!F8*'P3 Energie'!F7*(H971-c_Vv)^2+'P3 Energie'!F13+'P3 Energie'!F15+'P3 Energie'!F6*$H$7</f>
        <v>19100.2548449639</v>
      </c>
      <c r="J971" s="50" t="n">
        <f aca="false">I971*H971</f>
        <v>255200.627234101</v>
      </c>
    </row>
    <row r="972" customFormat="false" ht="15" hidden="false" customHeight="false" outlineLevel="0" collapsed="false">
      <c r="A972" s="46" t="n">
        <v>963</v>
      </c>
      <c r="B972" s="47" t="n">
        <f aca="false">A972*$C$6</f>
        <v>1.76227063324736</v>
      </c>
      <c r="C972" s="48" t="n">
        <f aca="false">$C$7*B972</f>
        <v>13.375</v>
      </c>
      <c r="D972" s="49" t="n">
        <f aca="false">0.5*c_rho*'P3 Energie'!E8*'P3 Energie'!E7*(C972-c_Vv)^2+'P3 Energie'!E13+'P3 Energie'!E15+'P3 Energie'!E6*$C$7</f>
        <v>18251.5653462685</v>
      </c>
      <c r="E972" s="50" t="n">
        <f aca="false">D972*C972</f>
        <v>244114.686506342</v>
      </c>
      <c r="F972" s="46" t="n">
        <v>963</v>
      </c>
      <c r="G972" s="47" t="n">
        <f aca="false">F972*$H$6</f>
        <v>1.7571825055336</v>
      </c>
      <c r="H972" s="48" t="n">
        <f aca="false">$H$7*G972</f>
        <v>13.375</v>
      </c>
      <c r="I972" s="49" t="n">
        <f aca="false">0.5*c_rho*'P3 Energie'!F8*'P3 Energie'!F7*(H972-c_Vv)^2+'P3 Energie'!F13+'P3 Energie'!F15+'P3 Energie'!F6*$H$7</f>
        <v>19100.383713465</v>
      </c>
      <c r="J972" s="50" t="n">
        <f aca="false">I972*H972</f>
        <v>255467.632167595</v>
      </c>
    </row>
    <row r="973" customFormat="false" ht="15" hidden="false" customHeight="false" outlineLevel="0" collapsed="false">
      <c r="A973" s="46" t="n">
        <v>964</v>
      </c>
      <c r="B973" s="47" t="n">
        <f aca="false">A973*$C$6</f>
        <v>1.7641006131365</v>
      </c>
      <c r="C973" s="48" t="n">
        <f aca="false">$C$7*B973</f>
        <v>13.3888888888889</v>
      </c>
      <c r="D973" s="49" t="n">
        <f aca="false">0.5*c_rho*'P3 Energie'!E8*'P3 Energie'!E7*(C973-c_Vv)^2+'P3 Energie'!E13+'P3 Energie'!E15+'P3 Energie'!E6*$C$7</f>
        <v>18251.7138259052</v>
      </c>
      <c r="E973" s="50" t="n">
        <f aca="false">D973*C973</f>
        <v>244370.168446842</v>
      </c>
      <c r="F973" s="46" t="n">
        <v>964</v>
      </c>
      <c r="G973" s="47" t="n">
        <f aca="false">F973*$H$6</f>
        <v>1.75900720180103</v>
      </c>
      <c r="H973" s="48" t="n">
        <f aca="false">$H$7*G973</f>
        <v>13.3888888888889</v>
      </c>
      <c r="I973" s="49" t="n">
        <f aca="false">0.5*c_rho*'P3 Energie'!F8*'P3 Energie'!F7*(H973-c_Vv)^2+'P3 Energie'!F13+'P3 Energie'!F15+'P3 Energie'!F6*$H$7</f>
        <v>19100.5127158556</v>
      </c>
      <c r="J973" s="50" t="n">
        <f aca="false">I973*H973</f>
        <v>255734.642473399</v>
      </c>
    </row>
    <row r="974" customFormat="false" ht="15" hidden="false" customHeight="false" outlineLevel="0" collapsed="false">
      <c r="A974" s="46" t="n">
        <v>965</v>
      </c>
      <c r="B974" s="47" t="n">
        <f aca="false">A974*$C$6</f>
        <v>1.76593059302565</v>
      </c>
      <c r="C974" s="48" t="n">
        <f aca="false">$C$7*B974</f>
        <v>13.4027777777778</v>
      </c>
      <c r="D974" s="49" t="n">
        <f aca="false">0.5*c_rho*'P3 Energie'!E8*'P3 Energie'!E7*(C974-c_Vv)^2+'P3 Energie'!E13+'P3 Energie'!E15+'P3 Energie'!E6*$C$7</f>
        <v>18251.8624596464</v>
      </c>
      <c r="E974" s="50" t="n">
        <f aca="false">D974*C974</f>
        <v>244625.656577205</v>
      </c>
      <c r="F974" s="46" t="n">
        <v>965</v>
      </c>
      <c r="G974" s="47" t="n">
        <f aca="false">F974*$H$6</f>
        <v>1.76083189806846</v>
      </c>
      <c r="H974" s="48" t="n">
        <f aca="false">$H$7*G974</f>
        <v>13.4027777777778</v>
      </c>
      <c r="I974" s="49" t="n">
        <f aca="false">0.5*c_rho*'P3 Energie'!F8*'P3 Energie'!F7*(H974-c_Vv)^2+'P3 Energie'!F13+'P3 Energie'!F15+'P3 Energie'!F6*$H$7</f>
        <v>19100.6418521354</v>
      </c>
      <c r="J974" s="50" t="n">
        <f aca="false">I974*H974</f>
        <v>256001.658157093</v>
      </c>
    </row>
    <row r="975" customFormat="false" ht="15" hidden="false" customHeight="false" outlineLevel="0" collapsed="false">
      <c r="A975" s="46" t="n">
        <v>966</v>
      </c>
      <c r="B975" s="47" t="n">
        <f aca="false">A975*$C$6</f>
        <v>1.76776057291479</v>
      </c>
      <c r="C975" s="48" t="n">
        <f aca="false">$C$7*B975</f>
        <v>13.4166666666667</v>
      </c>
      <c r="D975" s="49" t="n">
        <f aca="false">0.5*c_rho*'P3 Energie'!E8*'P3 Energie'!E7*(C975-c_Vv)^2+'P3 Energie'!E13+'P3 Energie'!E15+'P3 Energie'!E6*$C$7</f>
        <v>18252.0112474919</v>
      </c>
      <c r="E975" s="50" t="n">
        <f aca="false">D975*C975</f>
        <v>244881.15090385</v>
      </c>
      <c r="F975" s="46" t="n">
        <v>966</v>
      </c>
      <c r="G975" s="47" t="n">
        <f aca="false">F975*$H$6</f>
        <v>1.76265659433589</v>
      </c>
      <c r="H975" s="48" t="n">
        <f aca="false">$H$7*G975</f>
        <v>13.4166666666667</v>
      </c>
      <c r="I975" s="49" t="n">
        <f aca="false">0.5*c_rho*'P3 Energie'!F8*'P3 Energie'!F7*(H975-c_Vv)^2+'P3 Energie'!F13+'P3 Energie'!F15+'P3 Energie'!F6*$H$7</f>
        <v>19100.7711223046</v>
      </c>
      <c r="J975" s="50" t="n">
        <f aca="false">I975*H975</f>
        <v>256268.679224254</v>
      </c>
    </row>
    <row r="976" customFormat="false" ht="15" hidden="false" customHeight="false" outlineLevel="0" collapsed="false">
      <c r="A976" s="46" t="n">
        <v>967</v>
      </c>
      <c r="B976" s="47" t="n">
        <f aca="false">A976*$C$6</f>
        <v>1.76959055280394</v>
      </c>
      <c r="C976" s="48" t="n">
        <f aca="false">$C$7*B976</f>
        <v>13.4305555555556</v>
      </c>
      <c r="D976" s="49" t="n">
        <f aca="false">0.5*c_rho*'P3 Energie'!E8*'P3 Energie'!E7*(C976-c_Vv)^2+'P3 Energie'!E13+'P3 Energie'!E15+'P3 Energie'!E6*$C$7</f>
        <v>18252.160189442</v>
      </c>
      <c r="E976" s="50" t="n">
        <f aca="false">D976*C976</f>
        <v>245136.6514332</v>
      </c>
      <c r="F976" s="46" t="n">
        <v>967</v>
      </c>
      <c r="G976" s="47" t="n">
        <f aca="false">F976*$H$6</f>
        <v>1.76448129060331</v>
      </c>
      <c r="H976" s="48" t="n">
        <f aca="false">$H$7*G976</f>
        <v>13.4305555555556</v>
      </c>
      <c r="I976" s="49" t="n">
        <f aca="false">0.5*c_rho*'P3 Energie'!F8*'P3 Energie'!F7*(H976-c_Vv)^2+'P3 Energie'!F13+'P3 Energie'!F15+'P3 Energie'!F6*$H$7</f>
        <v>19100.9005263632</v>
      </c>
      <c r="J976" s="50" t="n">
        <f aca="false">I976*H976</f>
        <v>256535.705680461</v>
      </c>
    </row>
    <row r="977" customFormat="false" ht="15" hidden="false" customHeight="false" outlineLevel="0" collapsed="false">
      <c r="A977" s="46" t="n">
        <v>968</v>
      </c>
      <c r="B977" s="47" t="n">
        <f aca="false">A977*$C$6</f>
        <v>1.77142053269309</v>
      </c>
      <c r="C977" s="48" t="n">
        <f aca="false">$C$7*B977</f>
        <v>13.4444444444444</v>
      </c>
      <c r="D977" s="49" t="n">
        <f aca="false">0.5*c_rho*'P3 Energie'!E8*'P3 Energie'!E7*(C977-c_Vv)^2+'P3 Energie'!E13+'P3 Energie'!E15+'P3 Energie'!E6*$C$7</f>
        <v>18252.3092854965</v>
      </c>
      <c r="E977" s="50" t="n">
        <f aca="false">D977*C977</f>
        <v>245392.158171675</v>
      </c>
      <c r="F977" s="46" t="n">
        <v>968</v>
      </c>
      <c r="G977" s="47" t="n">
        <f aca="false">F977*$H$6</f>
        <v>1.76630598687074</v>
      </c>
      <c r="H977" s="48" t="n">
        <f aca="false">$H$7*G977</f>
        <v>13.4444444444444</v>
      </c>
      <c r="I977" s="49" t="n">
        <f aca="false">0.5*c_rho*'P3 Energie'!F8*'P3 Energie'!F7*(H977-c_Vv)^2+'P3 Energie'!F13+'P3 Energie'!F15+'P3 Energie'!F6*$H$7</f>
        <v>19101.0300643111</v>
      </c>
      <c r="J977" s="50" t="n">
        <f aca="false">I977*H977</f>
        <v>256802.737531294</v>
      </c>
    </row>
    <row r="978" customFormat="false" ht="15" hidden="false" customHeight="false" outlineLevel="0" collapsed="false">
      <c r="A978" s="46" t="n">
        <v>969</v>
      </c>
      <c r="B978" s="47" t="n">
        <f aca="false">A978*$C$6</f>
        <v>1.77325051258223</v>
      </c>
      <c r="C978" s="48" t="n">
        <f aca="false">$C$7*B978</f>
        <v>13.4583333333333</v>
      </c>
      <c r="D978" s="49" t="n">
        <f aca="false">0.5*c_rho*'P3 Energie'!E8*'P3 Energie'!E7*(C978-c_Vv)^2+'P3 Energie'!E13+'P3 Energie'!E15+'P3 Energie'!E6*$C$7</f>
        <v>18252.4585356554</v>
      </c>
      <c r="E978" s="50" t="n">
        <f aca="false">D978*C978</f>
        <v>245647.671125695</v>
      </c>
      <c r="F978" s="46" t="n">
        <v>969</v>
      </c>
      <c r="G978" s="47" t="n">
        <f aca="false">F978*$H$6</f>
        <v>1.76813068313817</v>
      </c>
      <c r="H978" s="48" t="n">
        <f aca="false">$H$7*G978</f>
        <v>13.4583333333333</v>
      </c>
      <c r="I978" s="49" t="n">
        <f aca="false">0.5*c_rho*'P3 Energie'!F8*'P3 Energie'!F7*(H978-c_Vv)^2+'P3 Energie'!F13+'P3 Energie'!F15+'P3 Energie'!F6*$H$7</f>
        <v>19101.1597361484</v>
      </c>
      <c r="J978" s="50" t="n">
        <f aca="false">I978*H978</f>
        <v>257069.77478233</v>
      </c>
    </row>
    <row r="979" customFormat="false" ht="15" hidden="false" customHeight="false" outlineLevel="0" collapsed="false">
      <c r="A979" s="46" t="n">
        <v>970</v>
      </c>
      <c r="B979" s="47" t="n">
        <f aca="false">A979*$C$6</f>
        <v>1.77508049247138</v>
      </c>
      <c r="C979" s="48" t="n">
        <f aca="false">$C$7*B979</f>
        <v>13.4722222222222</v>
      </c>
      <c r="D979" s="49" t="n">
        <f aca="false">0.5*c_rho*'P3 Energie'!E8*'P3 Energie'!E7*(C979-c_Vv)^2+'P3 Energie'!E13+'P3 Energie'!E15+'P3 Energie'!E6*$C$7</f>
        <v>18252.6079399188</v>
      </c>
      <c r="E979" s="50" t="n">
        <f aca="false">D979*C979</f>
        <v>245903.190301683</v>
      </c>
      <c r="F979" s="46" t="n">
        <v>970</v>
      </c>
      <c r="G979" s="47" t="n">
        <f aca="false">F979*$H$6</f>
        <v>1.7699553794056</v>
      </c>
      <c r="H979" s="48" t="n">
        <f aca="false">$H$7*G979</f>
        <v>13.4722222222222</v>
      </c>
      <c r="I979" s="49" t="n">
        <f aca="false">0.5*c_rho*'P3 Energie'!F8*'P3 Energie'!F7*(H979-c_Vv)^2+'P3 Energie'!F13+'P3 Energie'!F15+'P3 Energie'!F6*$H$7</f>
        <v>19101.289541875</v>
      </c>
      <c r="J979" s="50" t="n">
        <f aca="false">I979*H979</f>
        <v>257336.817439149</v>
      </c>
    </row>
    <row r="980" customFormat="false" ht="15" hidden="false" customHeight="false" outlineLevel="0" collapsed="false">
      <c r="A980" s="46" t="n">
        <v>971</v>
      </c>
      <c r="B980" s="47" t="n">
        <f aca="false">A980*$C$6</f>
        <v>1.77691047236052</v>
      </c>
      <c r="C980" s="48" t="n">
        <f aca="false">$C$7*B980</f>
        <v>13.4861111111111</v>
      </c>
      <c r="D980" s="49" t="n">
        <f aca="false">0.5*c_rho*'P3 Energie'!E8*'P3 Energie'!E7*(C980-c_Vv)^2+'P3 Energie'!E13+'P3 Energie'!E15+'P3 Energie'!E6*$C$7</f>
        <v>18252.7574982866</v>
      </c>
      <c r="E980" s="50" t="n">
        <f aca="false">D980*C980</f>
        <v>246158.715706059</v>
      </c>
      <c r="F980" s="46" t="n">
        <v>971</v>
      </c>
      <c r="G980" s="47" t="n">
        <f aca="false">F980*$H$6</f>
        <v>1.77178007567303</v>
      </c>
      <c r="H980" s="48" t="n">
        <f aca="false">$H$7*G980</f>
        <v>13.4861111111111</v>
      </c>
      <c r="I980" s="49" t="n">
        <f aca="false">0.5*c_rho*'P3 Energie'!F8*'P3 Energie'!F7*(H980-c_Vv)^2+'P3 Energie'!F13+'P3 Energie'!F15+'P3 Energie'!F6*$H$7</f>
        <v>19101.419481491</v>
      </c>
      <c r="J980" s="50" t="n">
        <f aca="false">I980*H980</f>
        <v>257603.86550733</v>
      </c>
    </row>
    <row r="981" customFormat="false" ht="15" hidden="false" customHeight="false" outlineLevel="0" collapsed="false">
      <c r="A981" s="46" t="n">
        <v>972</v>
      </c>
      <c r="B981" s="47" t="n">
        <f aca="false">A981*$C$6</f>
        <v>1.77874045224967</v>
      </c>
      <c r="C981" s="48" t="n">
        <f aca="false">$C$7*B981</f>
        <v>13.5</v>
      </c>
      <c r="D981" s="49" t="n">
        <f aca="false">0.5*c_rho*'P3 Energie'!E8*'P3 Energie'!E7*(C981-c_Vv)^2+'P3 Energie'!E13+'P3 Energie'!E15+'P3 Energie'!E6*$C$7</f>
        <v>18252.9072107589</v>
      </c>
      <c r="E981" s="50" t="n">
        <f aca="false">D981*C981</f>
        <v>246414.247345245</v>
      </c>
      <c r="F981" s="46" t="n">
        <v>972</v>
      </c>
      <c r="G981" s="47" t="n">
        <f aca="false">F981*$H$6</f>
        <v>1.77360477194046</v>
      </c>
      <c r="H981" s="48" t="n">
        <f aca="false">$H$7*G981</f>
        <v>13.5</v>
      </c>
      <c r="I981" s="49" t="n">
        <f aca="false">0.5*c_rho*'P3 Energie'!F8*'P3 Energie'!F7*(H981-c_Vv)^2+'P3 Energie'!F13+'P3 Energie'!F15+'P3 Energie'!F6*$H$7</f>
        <v>19101.5495549963</v>
      </c>
      <c r="J981" s="50" t="n">
        <f aca="false">I981*H981</f>
        <v>257870.91899245</v>
      </c>
    </row>
    <row r="982" customFormat="false" ht="15" hidden="false" customHeight="false" outlineLevel="0" collapsed="false">
      <c r="A982" s="46" t="n">
        <v>973</v>
      </c>
      <c r="B982" s="47" t="n">
        <f aca="false">A982*$C$6</f>
        <v>1.78057043213881</v>
      </c>
      <c r="C982" s="48" t="n">
        <f aca="false">$C$7*B982</f>
        <v>13.5138888888889</v>
      </c>
      <c r="D982" s="49" t="n">
        <f aca="false">0.5*c_rho*'P3 Energie'!E8*'P3 Energie'!E7*(C982-c_Vv)^2+'P3 Energie'!E13+'P3 Energie'!E15+'P3 Energie'!E6*$C$7</f>
        <v>18253.0570773356</v>
      </c>
      <c r="E982" s="50" t="n">
        <f aca="false">D982*C982</f>
        <v>246669.78522566</v>
      </c>
      <c r="F982" s="46" t="n">
        <v>973</v>
      </c>
      <c r="G982" s="47" t="n">
        <f aca="false">F982*$H$6</f>
        <v>1.77542946820789</v>
      </c>
      <c r="H982" s="48" t="n">
        <f aca="false">$H$7*G982</f>
        <v>13.5138888888889</v>
      </c>
      <c r="I982" s="49" t="n">
        <f aca="false">0.5*c_rho*'P3 Energie'!F8*'P3 Energie'!F7*(H982-c_Vv)^2+'P3 Energie'!F13+'P3 Energie'!F15+'P3 Energie'!F6*$H$7</f>
        <v>19101.679762391</v>
      </c>
      <c r="J982" s="50" t="n">
        <f aca="false">I982*H982</f>
        <v>258137.977900089</v>
      </c>
    </row>
    <row r="983" customFormat="false" ht="15" hidden="false" customHeight="false" outlineLevel="0" collapsed="false">
      <c r="A983" s="46" t="n">
        <v>974</v>
      </c>
      <c r="B983" s="47" t="n">
        <f aca="false">A983*$C$6</f>
        <v>1.78240041202796</v>
      </c>
      <c r="C983" s="48" t="n">
        <f aca="false">$C$7*B983</f>
        <v>13.5277777777778</v>
      </c>
      <c r="D983" s="49" t="n">
        <f aca="false">0.5*c_rho*'P3 Energie'!E8*'P3 Energie'!E7*(C983-c_Vv)^2+'P3 Energie'!E13+'P3 Energie'!E15+'P3 Energie'!E6*$C$7</f>
        <v>18253.2070980168</v>
      </c>
      <c r="E983" s="50" t="n">
        <f aca="false">D983*C983</f>
        <v>246925.329353727</v>
      </c>
      <c r="F983" s="46" t="n">
        <v>974</v>
      </c>
      <c r="G983" s="47" t="n">
        <f aca="false">F983*$H$6</f>
        <v>1.77725416447531</v>
      </c>
      <c r="H983" s="48" t="n">
        <f aca="false">$H$7*G983</f>
        <v>13.5277777777778</v>
      </c>
      <c r="I983" s="49" t="n">
        <f aca="false">0.5*c_rho*'P3 Energie'!F8*'P3 Energie'!F7*(H983-c_Vv)^2+'P3 Energie'!F13+'P3 Energie'!F15+'P3 Energie'!F6*$H$7</f>
        <v>19101.810103675</v>
      </c>
      <c r="J983" s="50" t="n">
        <f aca="false">I983*H983</f>
        <v>258405.042235826</v>
      </c>
    </row>
    <row r="984" customFormat="false" ht="15" hidden="false" customHeight="false" outlineLevel="0" collapsed="false">
      <c r="A984" s="46" t="n">
        <v>975</v>
      </c>
      <c r="B984" s="47" t="n">
        <f aca="false">A984*$C$6</f>
        <v>1.78423039191711</v>
      </c>
      <c r="C984" s="48" t="n">
        <f aca="false">$C$7*B984</f>
        <v>13.5416666666667</v>
      </c>
      <c r="D984" s="49" t="n">
        <f aca="false">0.5*c_rho*'P3 Energie'!E8*'P3 Energie'!E7*(C984-c_Vv)^2+'P3 Energie'!E13+'P3 Energie'!E15+'P3 Energie'!E6*$C$7</f>
        <v>18253.3572728024</v>
      </c>
      <c r="E984" s="50" t="n">
        <f aca="false">D984*C984</f>
        <v>247180.879735866</v>
      </c>
      <c r="F984" s="46" t="n">
        <v>975</v>
      </c>
      <c r="G984" s="47" t="n">
        <f aca="false">F984*$H$6</f>
        <v>1.77907886074274</v>
      </c>
      <c r="H984" s="48" t="n">
        <f aca="false">$H$7*G984</f>
        <v>13.5416666666667</v>
      </c>
      <c r="I984" s="49" t="n">
        <f aca="false">0.5*c_rho*'P3 Energie'!F8*'P3 Energie'!F7*(H984-c_Vv)^2+'P3 Energie'!F13+'P3 Energie'!F15+'P3 Energie'!F6*$H$7</f>
        <v>19101.9405788484</v>
      </c>
      <c r="J984" s="50" t="n">
        <f aca="false">I984*H984</f>
        <v>258672.112005239</v>
      </c>
    </row>
    <row r="985" customFormat="false" ht="15" hidden="false" customHeight="false" outlineLevel="0" collapsed="false">
      <c r="A985" s="46" t="n">
        <v>976</v>
      </c>
      <c r="B985" s="47" t="n">
        <f aca="false">A985*$C$6</f>
        <v>1.78606037180625</v>
      </c>
      <c r="C985" s="48" t="n">
        <f aca="false">$C$7*B985</f>
        <v>13.5555555555556</v>
      </c>
      <c r="D985" s="49" t="n">
        <f aca="false">0.5*c_rho*'P3 Energie'!E8*'P3 Energie'!E7*(C985-c_Vv)^2+'P3 Energie'!E13+'P3 Energie'!E15+'P3 Energie'!E6*$C$7</f>
        <v>18253.5076016925</v>
      </c>
      <c r="E985" s="50" t="n">
        <f aca="false">D985*C985</f>
        <v>247436.436378498</v>
      </c>
      <c r="F985" s="46" t="n">
        <v>976</v>
      </c>
      <c r="G985" s="47" t="n">
        <f aca="false">F985*$H$6</f>
        <v>1.78090355701017</v>
      </c>
      <c r="H985" s="48" t="n">
        <f aca="false">$H$7*G985</f>
        <v>13.5555555555556</v>
      </c>
      <c r="I985" s="49" t="n">
        <f aca="false">0.5*c_rho*'P3 Energie'!F8*'P3 Energie'!F7*(H985-c_Vv)^2+'P3 Energie'!F13+'P3 Energie'!F15+'P3 Energie'!F6*$H$7</f>
        <v>19102.0711879111</v>
      </c>
      <c r="J985" s="50" t="n">
        <f aca="false">I985*H985</f>
        <v>258939.187213906</v>
      </c>
    </row>
    <row r="986" customFormat="false" ht="15" hidden="false" customHeight="false" outlineLevel="0" collapsed="false">
      <c r="A986" s="46" t="n">
        <v>977</v>
      </c>
      <c r="B986" s="47" t="n">
        <f aca="false">A986*$C$6</f>
        <v>1.7878903516954</v>
      </c>
      <c r="C986" s="48" t="n">
        <f aca="false">$C$7*B986</f>
        <v>13.5694444444444</v>
      </c>
      <c r="D986" s="49" t="n">
        <f aca="false">0.5*c_rho*'P3 Energie'!E8*'P3 Energie'!E7*(C986-c_Vv)^2+'P3 Energie'!E13+'P3 Energie'!E15+'P3 Energie'!E6*$C$7</f>
        <v>18253.658084687</v>
      </c>
      <c r="E986" s="50" t="n">
        <f aca="false">D986*C986</f>
        <v>247691.999288044</v>
      </c>
      <c r="F986" s="46" t="n">
        <v>977</v>
      </c>
      <c r="G986" s="47" t="n">
        <f aca="false">F986*$H$6</f>
        <v>1.7827282532776</v>
      </c>
      <c r="H986" s="48" t="n">
        <f aca="false">$H$7*G986</f>
        <v>13.5694444444444</v>
      </c>
      <c r="I986" s="49" t="n">
        <f aca="false">0.5*c_rho*'P3 Energie'!F8*'P3 Energie'!F7*(H986-c_Vv)^2+'P3 Energie'!F13+'P3 Energie'!F15+'P3 Energie'!F6*$H$7</f>
        <v>19102.2019308632</v>
      </c>
      <c r="J986" s="50" t="n">
        <f aca="false">I986*H986</f>
        <v>259206.267867408</v>
      </c>
    </row>
    <row r="987" customFormat="false" ht="15" hidden="false" customHeight="false" outlineLevel="0" collapsed="false">
      <c r="A987" s="46" t="n">
        <v>978</v>
      </c>
      <c r="B987" s="47" t="n">
        <f aca="false">A987*$C$6</f>
        <v>1.78972033158454</v>
      </c>
      <c r="C987" s="48" t="n">
        <f aca="false">$C$7*B987</f>
        <v>13.5833333333333</v>
      </c>
      <c r="D987" s="49" t="n">
        <f aca="false">0.5*c_rho*'P3 Energie'!E8*'P3 Energie'!E7*(C987-c_Vv)^2+'P3 Energie'!E13+'P3 Energie'!E15+'P3 Energie'!E6*$C$7</f>
        <v>18253.8087217859</v>
      </c>
      <c r="E987" s="50" t="n">
        <f aca="false">D987*C987</f>
        <v>247947.568470926</v>
      </c>
      <c r="F987" s="46" t="n">
        <v>978</v>
      </c>
      <c r="G987" s="47" t="n">
        <f aca="false">F987*$H$6</f>
        <v>1.78455294954503</v>
      </c>
      <c r="H987" s="48" t="n">
        <f aca="false">$H$7*G987</f>
        <v>13.5833333333333</v>
      </c>
      <c r="I987" s="49" t="n">
        <f aca="false">0.5*c_rho*'P3 Energie'!F8*'P3 Energie'!F7*(H987-c_Vv)^2+'P3 Energie'!F13+'P3 Energie'!F15+'P3 Energie'!F6*$H$7</f>
        <v>19102.3328077046</v>
      </c>
      <c r="J987" s="50" t="n">
        <f aca="false">I987*H987</f>
        <v>259473.353971321</v>
      </c>
    </row>
    <row r="988" customFormat="false" ht="15" hidden="false" customHeight="false" outlineLevel="0" collapsed="false">
      <c r="A988" s="46" t="n">
        <v>979</v>
      </c>
      <c r="B988" s="47" t="n">
        <f aca="false">A988*$C$6</f>
        <v>1.79155031147369</v>
      </c>
      <c r="C988" s="48" t="n">
        <f aca="false">$C$7*B988</f>
        <v>13.5972222222222</v>
      </c>
      <c r="D988" s="49" t="n">
        <f aca="false">0.5*c_rho*'P3 Energie'!E8*'P3 Energie'!E7*(C988-c_Vv)^2+'P3 Energie'!E13+'P3 Energie'!E15+'P3 Energie'!E6*$C$7</f>
        <v>18253.9595129894</v>
      </c>
      <c r="E988" s="50" t="n">
        <f aca="false">D988*C988</f>
        <v>248203.143933564</v>
      </c>
      <c r="F988" s="46" t="n">
        <v>979</v>
      </c>
      <c r="G988" s="47" t="n">
        <f aca="false">F988*$H$6</f>
        <v>1.78637764581246</v>
      </c>
      <c r="H988" s="48" t="n">
        <f aca="false">$H$7*G988</f>
        <v>13.5972222222222</v>
      </c>
      <c r="I988" s="49" t="n">
        <f aca="false">0.5*c_rho*'P3 Energie'!F8*'P3 Energie'!F7*(H988-c_Vv)^2+'P3 Energie'!F13+'P3 Energie'!F15+'P3 Energie'!F6*$H$7</f>
        <v>19102.4638184354</v>
      </c>
      <c r="J988" s="50" t="n">
        <f aca="false">I988*H988</f>
        <v>259740.445531226</v>
      </c>
    </row>
    <row r="989" customFormat="false" ht="15" hidden="false" customHeight="false" outlineLevel="0" collapsed="false">
      <c r="A989" s="46" t="n">
        <v>980</v>
      </c>
      <c r="B989" s="47" t="n">
        <f aca="false">A989*$C$6</f>
        <v>1.79338029136283</v>
      </c>
      <c r="C989" s="48" t="n">
        <f aca="false">$C$7*B989</f>
        <v>13.6111111111111</v>
      </c>
      <c r="D989" s="49" t="n">
        <f aca="false">0.5*c_rho*'P3 Energie'!E8*'P3 Energie'!E7*(C989-c_Vv)^2+'P3 Energie'!E13+'P3 Energie'!E15+'P3 Energie'!E6*$C$7</f>
        <v>18254.1104582972</v>
      </c>
      <c r="E989" s="50" t="n">
        <f aca="false">D989*C989</f>
        <v>248458.725682379</v>
      </c>
      <c r="F989" s="46" t="n">
        <v>980</v>
      </c>
      <c r="G989" s="47" t="n">
        <f aca="false">F989*$H$6</f>
        <v>1.78820234207988</v>
      </c>
      <c r="H989" s="48" t="n">
        <f aca="false">$H$7*G989</f>
        <v>13.6111111111111</v>
      </c>
      <c r="I989" s="49" t="n">
        <f aca="false">0.5*c_rho*'P3 Energie'!F8*'P3 Energie'!F7*(H989-c_Vv)^2+'P3 Energie'!F13+'P3 Energie'!F15+'P3 Energie'!F6*$H$7</f>
        <v>19102.5949630556</v>
      </c>
      <c r="J989" s="50" t="n">
        <f aca="false">I989*H989</f>
        <v>260007.542552701</v>
      </c>
    </row>
    <row r="990" customFormat="false" ht="15" hidden="false" customHeight="false" outlineLevel="0" collapsed="false">
      <c r="A990" s="46" t="n">
        <v>981</v>
      </c>
      <c r="B990" s="47" t="n">
        <f aca="false">A990*$C$6</f>
        <v>1.79521027125198</v>
      </c>
      <c r="C990" s="48" t="n">
        <f aca="false">$C$7*B990</f>
        <v>13.625</v>
      </c>
      <c r="D990" s="49" t="n">
        <f aca="false">0.5*c_rho*'P3 Energie'!E8*'P3 Energie'!E7*(C990-c_Vv)^2+'P3 Energie'!E13+'P3 Energie'!E15+'P3 Energie'!E6*$C$7</f>
        <v>18254.2615577095</v>
      </c>
      <c r="E990" s="50" t="n">
        <f aca="false">D990*C990</f>
        <v>248714.313723793</v>
      </c>
      <c r="F990" s="46" t="n">
        <v>981</v>
      </c>
      <c r="G990" s="47" t="n">
        <f aca="false">F990*$H$6</f>
        <v>1.79002703834731</v>
      </c>
      <c r="H990" s="48" t="n">
        <f aca="false">$H$7*G990</f>
        <v>13.625</v>
      </c>
      <c r="I990" s="49" t="n">
        <f aca="false">0.5*c_rho*'P3 Energie'!F8*'P3 Energie'!F7*(H990-c_Vv)^2+'P3 Energie'!F13+'P3 Energie'!F15+'P3 Energie'!F6*$H$7</f>
        <v>19102.726241565</v>
      </c>
      <c r="J990" s="50" t="n">
        <f aca="false">I990*H990</f>
        <v>260274.645041324</v>
      </c>
    </row>
    <row r="991" customFormat="false" ht="15" hidden="false" customHeight="false" outlineLevel="0" collapsed="false">
      <c r="A991" s="46" t="n">
        <v>982</v>
      </c>
      <c r="B991" s="47" t="n">
        <f aca="false">A991*$C$6</f>
        <v>1.79704025114113</v>
      </c>
      <c r="C991" s="48" t="n">
        <f aca="false">$C$7*B991</f>
        <v>13.6388888888889</v>
      </c>
      <c r="D991" s="49" t="n">
        <f aca="false">0.5*c_rho*'P3 Energie'!E8*'P3 Energie'!E7*(C991-c_Vv)^2+'P3 Energie'!E13+'P3 Energie'!E15+'P3 Energie'!E6*$C$7</f>
        <v>18254.4128112263</v>
      </c>
      <c r="E991" s="50" t="n">
        <f aca="false">D991*C991</f>
        <v>248969.908064226</v>
      </c>
      <c r="F991" s="46" t="n">
        <v>982</v>
      </c>
      <c r="G991" s="47" t="n">
        <f aca="false">F991*$H$6</f>
        <v>1.79185173461474</v>
      </c>
      <c r="H991" s="48" t="n">
        <f aca="false">$H$7*G991</f>
        <v>13.6388888888889</v>
      </c>
      <c r="I991" s="49" t="n">
        <f aca="false">0.5*c_rho*'P3 Energie'!F8*'P3 Energie'!F7*(H991-c_Vv)^2+'P3 Energie'!F13+'P3 Energie'!F15+'P3 Energie'!F6*$H$7</f>
        <v>19102.8576539639</v>
      </c>
      <c r="J991" s="50" t="n">
        <f aca="false">I991*H991</f>
        <v>260541.753002674</v>
      </c>
    </row>
    <row r="992" customFormat="false" ht="15" hidden="false" customHeight="false" outlineLevel="0" collapsed="false">
      <c r="A992" s="46" t="n">
        <v>983</v>
      </c>
      <c r="B992" s="47" t="n">
        <f aca="false">A992*$C$6</f>
        <v>1.79887023103027</v>
      </c>
      <c r="C992" s="48" t="n">
        <f aca="false">$C$7*B992</f>
        <v>13.6527777777778</v>
      </c>
      <c r="D992" s="49" t="n">
        <f aca="false">0.5*c_rho*'P3 Energie'!E8*'P3 Energie'!E7*(C992-c_Vv)^2+'P3 Energie'!E13+'P3 Energie'!E15+'P3 Energie'!E6*$C$7</f>
        <v>18254.5642188475</v>
      </c>
      <c r="E992" s="50" t="n">
        <f aca="false">D992*C992</f>
        <v>249225.508710099</v>
      </c>
      <c r="F992" s="46" t="n">
        <v>983</v>
      </c>
      <c r="G992" s="47" t="n">
        <f aca="false">F992*$H$6</f>
        <v>1.79367643088217</v>
      </c>
      <c r="H992" s="48" t="n">
        <f aca="false">$H$7*G992</f>
        <v>13.6527777777778</v>
      </c>
      <c r="I992" s="49" t="n">
        <f aca="false">0.5*c_rho*'P3 Energie'!F8*'P3 Energie'!F7*(H992-c_Vv)^2+'P3 Energie'!F13+'P3 Energie'!F15+'P3 Energie'!F6*$H$7</f>
        <v>19102.9892002521</v>
      </c>
      <c r="J992" s="50" t="n">
        <f aca="false">I992*H992</f>
        <v>260808.866442331</v>
      </c>
    </row>
    <row r="993" customFormat="false" ht="15" hidden="false" customHeight="false" outlineLevel="0" collapsed="false">
      <c r="A993" s="46" t="n">
        <v>984</v>
      </c>
      <c r="B993" s="47" t="n">
        <f aca="false">A993*$C$6</f>
        <v>1.80070021091942</v>
      </c>
      <c r="C993" s="48" t="n">
        <f aca="false">$C$7*B993</f>
        <v>13.6666666666667</v>
      </c>
      <c r="D993" s="49" t="n">
        <f aca="false">0.5*c_rho*'P3 Energie'!E8*'P3 Energie'!E7*(C993-c_Vv)^2+'P3 Energie'!E13+'P3 Energie'!E15+'P3 Energie'!E6*$C$7</f>
        <v>18254.7157805732</v>
      </c>
      <c r="E993" s="50" t="n">
        <f aca="false">D993*C993</f>
        <v>249481.115667834</v>
      </c>
      <c r="F993" s="46" t="n">
        <v>984</v>
      </c>
      <c r="G993" s="47" t="n">
        <f aca="false">F993*$H$6</f>
        <v>1.7955011271496</v>
      </c>
      <c r="H993" s="48" t="n">
        <f aca="false">$H$7*G993</f>
        <v>13.6666666666667</v>
      </c>
      <c r="I993" s="49" t="n">
        <f aca="false">0.5*c_rho*'P3 Energie'!F8*'P3 Energie'!F7*(H993-c_Vv)^2+'P3 Energie'!F13+'P3 Energie'!F15+'P3 Energie'!F6*$H$7</f>
        <v>19103.1208804296</v>
      </c>
      <c r="J993" s="50" t="n">
        <f aca="false">I993*H993</f>
        <v>261075.985365872</v>
      </c>
    </row>
    <row r="994" customFormat="false" ht="15" hidden="false" customHeight="false" outlineLevel="0" collapsed="false">
      <c r="A994" s="46" t="n">
        <v>985</v>
      </c>
      <c r="B994" s="47" t="n">
        <f aca="false">A994*$C$6</f>
        <v>1.80253019080856</v>
      </c>
      <c r="C994" s="48" t="n">
        <f aca="false">$C$7*B994</f>
        <v>13.6805555555556</v>
      </c>
      <c r="D994" s="49" t="n">
        <f aca="false">0.5*c_rho*'P3 Energie'!E8*'P3 Energie'!E7*(C994-c_Vv)^2+'P3 Energie'!E13+'P3 Energie'!E15+'P3 Energie'!E6*$C$7</f>
        <v>18254.8674964033</v>
      </c>
      <c r="E994" s="50" t="n">
        <f aca="false">D994*C994</f>
        <v>249736.728943851</v>
      </c>
      <c r="F994" s="46" t="n">
        <v>985</v>
      </c>
      <c r="G994" s="47" t="n">
        <f aca="false">F994*$H$6</f>
        <v>1.79732582341703</v>
      </c>
      <c r="H994" s="48" t="n">
        <f aca="false">$H$7*G994</f>
        <v>13.6805555555556</v>
      </c>
      <c r="I994" s="49" t="n">
        <f aca="false">0.5*c_rho*'P3 Energie'!F8*'P3 Energie'!F7*(H994-c_Vv)^2+'P3 Energie'!F13+'P3 Energie'!F15+'P3 Energie'!F6*$H$7</f>
        <v>19103.2526944965</v>
      </c>
      <c r="J994" s="50" t="n">
        <f aca="false">I994*H994</f>
        <v>261343.109778876</v>
      </c>
    </row>
    <row r="995" customFormat="false" ht="15" hidden="false" customHeight="false" outlineLevel="0" collapsed="false">
      <c r="A995" s="46" t="n">
        <v>986</v>
      </c>
      <c r="B995" s="47" t="n">
        <f aca="false">A995*$C$6</f>
        <v>1.80436017069771</v>
      </c>
      <c r="C995" s="48" t="n">
        <f aca="false">$C$7*B995</f>
        <v>13.6944444444444</v>
      </c>
      <c r="D995" s="49" t="n">
        <f aca="false">0.5*c_rho*'P3 Energie'!E8*'P3 Energie'!E7*(C995-c_Vv)^2+'P3 Energie'!E13+'P3 Energie'!E15+'P3 Energie'!E6*$C$7</f>
        <v>18255.0193663379</v>
      </c>
      <c r="E995" s="50" t="n">
        <f aca="false">D995*C995</f>
        <v>249992.348544571</v>
      </c>
      <c r="F995" s="46" t="n">
        <v>986</v>
      </c>
      <c r="G995" s="47" t="n">
        <f aca="false">F995*$H$6</f>
        <v>1.79915051968446</v>
      </c>
      <c r="H995" s="48" t="n">
        <f aca="false">$H$7*G995</f>
        <v>13.6944444444444</v>
      </c>
      <c r="I995" s="49" t="n">
        <f aca="false">0.5*c_rho*'P3 Energie'!F8*'P3 Energie'!F7*(H995-c_Vv)^2+'P3 Energie'!F13+'P3 Energie'!F15+'P3 Energie'!F6*$H$7</f>
        <v>19103.3846424528</v>
      </c>
      <c r="J995" s="50" t="n">
        <f aca="false">I995*H995</f>
        <v>261610.239686923</v>
      </c>
    </row>
    <row r="996" customFormat="false" ht="15" hidden="false" customHeight="false" outlineLevel="0" collapsed="false">
      <c r="A996" s="46" t="n">
        <v>987</v>
      </c>
      <c r="B996" s="47" t="n">
        <f aca="false">A996*$C$6</f>
        <v>1.80619015058685</v>
      </c>
      <c r="C996" s="48" t="n">
        <f aca="false">$C$7*B996</f>
        <v>13.7083333333333</v>
      </c>
      <c r="D996" s="49" t="n">
        <f aca="false">0.5*c_rho*'P3 Energie'!E8*'P3 Energie'!E7*(C996-c_Vv)^2+'P3 Energie'!E13+'P3 Energie'!E15+'P3 Energie'!E6*$C$7</f>
        <v>18255.1713903769</v>
      </c>
      <c r="E996" s="50" t="n">
        <f aca="false">D996*C996</f>
        <v>250247.974476416</v>
      </c>
      <c r="F996" s="46" t="n">
        <v>987</v>
      </c>
      <c r="G996" s="47" t="n">
        <f aca="false">F996*$H$6</f>
        <v>1.80097521595188</v>
      </c>
      <c r="H996" s="48" t="n">
        <f aca="false">$H$7*G996</f>
        <v>13.7083333333333</v>
      </c>
      <c r="I996" s="49" t="n">
        <f aca="false">0.5*c_rho*'P3 Energie'!F8*'P3 Energie'!F7*(H996-c_Vv)^2+'P3 Energie'!F13+'P3 Energie'!F15+'P3 Energie'!F6*$H$7</f>
        <v>19103.5167242984</v>
      </c>
      <c r="J996" s="50" t="n">
        <f aca="false">I996*H996</f>
        <v>261877.37509559</v>
      </c>
    </row>
    <row r="997" customFormat="false" ht="15" hidden="false" customHeight="false" outlineLevel="0" collapsed="false">
      <c r="A997" s="46" t="n">
        <v>988</v>
      </c>
      <c r="B997" s="47" t="n">
        <f aca="false">A997*$C$6</f>
        <v>1.808020130476</v>
      </c>
      <c r="C997" s="48" t="n">
        <f aca="false">$C$7*B997</f>
        <v>13.7222222222222</v>
      </c>
      <c r="D997" s="49" t="n">
        <f aca="false">0.5*c_rho*'P3 Energie'!E8*'P3 Energie'!E7*(C997-c_Vv)^2+'P3 Energie'!E13+'P3 Energie'!E15+'P3 Energie'!E6*$C$7</f>
        <v>18255.3235685203</v>
      </c>
      <c r="E997" s="50" t="n">
        <f aca="false">D997*C997</f>
        <v>250503.606745807</v>
      </c>
      <c r="F997" s="46" t="n">
        <v>988</v>
      </c>
      <c r="G997" s="47" t="n">
        <f aca="false">F997*$H$6</f>
        <v>1.80279991221931</v>
      </c>
      <c r="H997" s="48" t="n">
        <f aca="false">$H$7*G997</f>
        <v>13.7222222222222</v>
      </c>
      <c r="I997" s="49" t="n">
        <f aca="false">0.5*c_rho*'P3 Energie'!F8*'P3 Energie'!F7*(H997-c_Vv)^2+'P3 Energie'!F13+'P3 Energie'!F15+'P3 Energie'!F6*$H$7</f>
        <v>19103.6489400333</v>
      </c>
      <c r="J997" s="50" t="n">
        <f aca="false">I997*H997</f>
        <v>262144.516010457</v>
      </c>
    </row>
    <row r="998" customFormat="false" ht="15" hidden="false" customHeight="false" outlineLevel="0" collapsed="false">
      <c r="A998" s="46" t="n">
        <v>989</v>
      </c>
      <c r="B998" s="47" t="n">
        <f aca="false">A998*$C$6</f>
        <v>1.80985011036515</v>
      </c>
      <c r="C998" s="48" t="n">
        <f aca="false">$C$7*B998</f>
        <v>13.7361111111111</v>
      </c>
      <c r="D998" s="49" t="n">
        <f aca="false">0.5*c_rho*'P3 Energie'!E8*'P3 Energie'!E7*(C998-c_Vv)^2+'P3 Energie'!E13+'P3 Energie'!E15+'P3 Energie'!E6*$C$7</f>
        <v>18255.4759007683</v>
      </c>
      <c r="E998" s="50" t="n">
        <f aca="false">D998*C998</f>
        <v>250759.245359164</v>
      </c>
      <c r="F998" s="46" t="n">
        <v>989</v>
      </c>
      <c r="G998" s="47" t="n">
        <f aca="false">F998*$H$6</f>
        <v>1.80462460848674</v>
      </c>
      <c r="H998" s="48" t="n">
        <f aca="false">$H$7*G998</f>
        <v>13.7361111111111</v>
      </c>
      <c r="I998" s="49" t="n">
        <f aca="false">0.5*c_rho*'P3 Energie'!F8*'P3 Energie'!F7*(H998-c_Vv)^2+'P3 Energie'!F13+'P3 Energie'!F15+'P3 Energie'!F6*$H$7</f>
        <v>19103.7812896576</v>
      </c>
      <c r="J998" s="50" t="n">
        <f aca="false">I998*H998</f>
        <v>262411.662437103</v>
      </c>
    </row>
    <row r="999" customFormat="false" ht="15" hidden="false" customHeight="false" outlineLevel="0" collapsed="false">
      <c r="A999" s="46" t="n">
        <v>990</v>
      </c>
      <c r="B999" s="47" t="n">
        <f aca="false">A999*$C$6</f>
        <v>1.81168009025429</v>
      </c>
      <c r="C999" s="48" t="n">
        <f aca="false">$C$7*B999</f>
        <v>13.75</v>
      </c>
      <c r="D999" s="49" t="n">
        <f aca="false">0.5*c_rho*'P3 Energie'!E8*'P3 Energie'!E7*(C999-c_Vv)^2+'P3 Energie'!E13+'P3 Energie'!E15+'P3 Energie'!E6*$C$7</f>
        <v>18255.6283871206</v>
      </c>
      <c r="E999" s="50" t="n">
        <f aca="false">D999*C999</f>
        <v>251014.890322908</v>
      </c>
      <c r="F999" s="46" t="n">
        <v>990</v>
      </c>
      <c r="G999" s="47" t="n">
        <f aca="false">F999*$H$6</f>
        <v>1.80644930475417</v>
      </c>
      <c r="H999" s="48" t="n">
        <f aca="false">$H$7*G999</f>
        <v>13.75</v>
      </c>
      <c r="I999" s="49" t="n">
        <f aca="false">0.5*c_rho*'P3 Energie'!F8*'P3 Energie'!F7*(H999-c_Vv)^2+'P3 Energie'!F13+'P3 Energie'!F15+'P3 Energie'!F6*$H$7</f>
        <v>19103.9137731713</v>
      </c>
      <c r="J999" s="50" t="n">
        <f aca="false">I999*H999</f>
        <v>262678.814381105</v>
      </c>
    </row>
    <row r="1000" customFormat="false" ht="15" hidden="false" customHeight="false" outlineLevel="0" collapsed="false">
      <c r="A1000" s="46" t="n">
        <v>991</v>
      </c>
      <c r="B1000" s="47" t="n">
        <f aca="false">A1000*$C$6</f>
        <v>1.81351007014344</v>
      </c>
      <c r="C1000" s="48" t="n">
        <f aca="false">$C$7*B1000</f>
        <v>13.7638888888889</v>
      </c>
      <c r="D1000" s="49" t="n">
        <f aca="false">0.5*c_rho*'P3 Energie'!E8*'P3 Energie'!E7*(C1000-c_Vv)^2+'P3 Energie'!E13+'P3 Energie'!E15+'P3 Energie'!E6*$C$7</f>
        <v>18255.7810275774</v>
      </c>
      <c r="E1000" s="50" t="n">
        <f aca="false">D1000*C1000</f>
        <v>251270.541643461</v>
      </c>
      <c r="F1000" s="46" t="n">
        <v>991</v>
      </c>
      <c r="G1000" s="47" t="n">
        <f aca="false">F1000*$H$6</f>
        <v>1.8082740010216</v>
      </c>
      <c r="H1000" s="48" t="n">
        <f aca="false">$H$7*G1000</f>
        <v>13.7638888888889</v>
      </c>
      <c r="I1000" s="49" t="n">
        <f aca="false">0.5*c_rho*'P3 Energie'!F8*'P3 Energie'!F7*(H1000-c_Vv)^2+'P3 Energie'!F13+'P3 Energie'!F15+'P3 Energie'!F6*$H$7</f>
        <v>19104.0463905743</v>
      </c>
      <c r="J1000" s="50" t="n">
        <f aca="false">I1000*H1000</f>
        <v>262945.971848044</v>
      </c>
    </row>
    <row r="1001" customFormat="false" ht="15" hidden="false" customHeight="false" outlineLevel="0" collapsed="false">
      <c r="A1001" s="46" t="n">
        <v>992</v>
      </c>
      <c r="B1001" s="47" t="n">
        <f aca="false">A1001*$C$6</f>
        <v>1.81534005003258</v>
      </c>
      <c r="C1001" s="48" t="n">
        <f aca="false">$C$7*B1001</f>
        <v>13.7777777777778</v>
      </c>
      <c r="D1001" s="49" t="n">
        <f aca="false">0.5*c_rho*'P3 Energie'!E8*'P3 Energie'!E7*(C1001-c_Vv)^2+'P3 Energie'!E13+'P3 Energie'!E15+'P3 Energie'!E6*$C$7</f>
        <v>18255.9338221387</v>
      </c>
      <c r="E1001" s="50" t="n">
        <f aca="false">D1001*C1001</f>
        <v>251526.199327244</v>
      </c>
      <c r="F1001" s="46" t="n">
        <v>992</v>
      </c>
      <c r="G1001" s="47" t="n">
        <f aca="false">F1001*$H$6</f>
        <v>1.81009869728903</v>
      </c>
      <c r="H1001" s="48" t="n">
        <f aca="false">$H$7*G1001</f>
        <v>13.7777777777778</v>
      </c>
      <c r="I1001" s="49" t="n">
        <f aca="false">0.5*c_rho*'P3 Energie'!F8*'P3 Energie'!F7*(H1001-c_Vv)^2+'P3 Energie'!F13+'P3 Energie'!F15+'P3 Energie'!F6*$H$7</f>
        <v>19104.1791418667</v>
      </c>
      <c r="J1001" s="50" t="n">
        <f aca="false">I1001*H1001</f>
        <v>263213.134843496</v>
      </c>
    </row>
    <row r="1002" customFormat="false" ht="15" hidden="false" customHeight="false" outlineLevel="0" collapsed="false">
      <c r="A1002" s="46" t="n">
        <v>993</v>
      </c>
      <c r="B1002" s="47" t="n">
        <f aca="false">A1002*$C$6</f>
        <v>1.81717002992173</v>
      </c>
      <c r="C1002" s="48" t="n">
        <f aca="false">$C$7*B1002</f>
        <v>13.7916666666667</v>
      </c>
      <c r="D1002" s="49" t="n">
        <f aca="false">0.5*c_rho*'P3 Energie'!E8*'P3 Energie'!E7*(C1002-c_Vv)^2+'P3 Energie'!E13+'P3 Energie'!E15+'P3 Energie'!E6*$C$7</f>
        <v>18256.0867708044</v>
      </c>
      <c r="E1002" s="50" t="n">
        <f aca="false">D1002*C1002</f>
        <v>251781.863380677</v>
      </c>
      <c r="F1002" s="46" t="n">
        <v>993</v>
      </c>
      <c r="G1002" s="47" t="n">
        <f aca="false">F1002*$H$6</f>
        <v>1.81192339355645</v>
      </c>
      <c r="H1002" s="48" t="n">
        <f aca="false">$H$7*G1002</f>
        <v>13.7916666666667</v>
      </c>
      <c r="I1002" s="49" t="n">
        <f aca="false">0.5*c_rho*'P3 Energie'!F8*'P3 Energie'!F7*(H1002-c_Vv)^2+'P3 Energie'!F13+'P3 Energie'!F15+'P3 Energie'!F6*$H$7</f>
        <v>19104.3120270484</v>
      </c>
      <c r="J1002" s="50" t="n">
        <f aca="false">I1002*H1002</f>
        <v>263480.303373042</v>
      </c>
    </row>
    <row r="1003" customFormat="false" ht="15" hidden="false" customHeight="false" outlineLevel="0" collapsed="false">
      <c r="A1003" s="46" t="n">
        <v>994</v>
      </c>
      <c r="B1003" s="47" t="n">
        <f aca="false">A1003*$C$6</f>
        <v>1.81900000981088</v>
      </c>
      <c r="C1003" s="48" t="n">
        <f aca="false">$C$7*B1003</f>
        <v>13.8055555555556</v>
      </c>
      <c r="D1003" s="49" t="n">
        <f aca="false">0.5*c_rho*'P3 Energie'!E8*'P3 Energie'!E7*(C1003-c_Vv)^2+'P3 Energie'!E13+'P3 Energie'!E15+'P3 Energie'!E6*$C$7</f>
        <v>18256.2398735745</v>
      </c>
      <c r="E1003" s="50" t="n">
        <f aca="false">D1003*C1003</f>
        <v>252037.533810182</v>
      </c>
      <c r="F1003" s="46" t="n">
        <v>994</v>
      </c>
      <c r="G1003" s="47" t="n">
        <f aca="false">F1003*$H$6</f>
        <v>1.81374808982388</v>
      </c>
      <c r="H1003" s="48" t="n">
        <f aca="false">$H$7*G1003</f>
        <v>13.8055555555556</v>
      </c>
      <c r="I1003" s="49" t="n">
        <f aca="false">0.5*c_rho*'P3 Energie'!F8*'P3 Energie'!F7*(H1003-c_Vv)^2+'P3 Energie'!F13+'P3 Energie'!F15+'P3 Energie'!F6*$H$7</f>
        <v>19104.4450461194</v>
      </c>
      <c r="J1003" s="50" t="n">
        <f aca="false">I1003*H1003</f>
        <v>263747.47744226</v>
      </c>
    </row>
    <row r="1004" customFormat="false" ht="15" hidden="false" customHeight="false" outlineLevel="0" collapsed="false">
      <c r="A1004" s="46" t="n">
        <v>995</v>
      </c>
      <c r="B1004" s="47" t="n">
        <f aca="false">A1004*$C$6</f>
        <v>1.82082998970002</v>
      </c>
      <c r="C1004" s="48" t="n">
        <f aca="false">$C$7*B1004</f>
        <v>13.8194444444444</v>
      </c>
      <c r="D1004" s="49" t="n">
        <f aca="false">0.5*c_rho*'P3 Energie'!E8*'P3 Energie'!E7*(C1004-c_Vv)^2+'P3 Energie'!E13+'P3 Energie'!E15+'P3 Energie'!E6*$C$7</f>
        <v>18256.3931304491</v>
      </c>
      <c r="E1004" s="50" t="n">
        <f aca="false">D1004*C1004</f>
        <v>252293.210622179</v>
      </c>
      <c r="F1004" s="46" t="n">
        <v>995</v>
      </c>
      <c r="G1004" s="47" t="n">
        <f aca="false">F1004*$H$6</f>
        <v>1.81557278609131</v>
      </c>
      <c r="H1004" s="48" t="n">
        <f aca="false">$H$7*G1004</f>
        <v>13.8194444444444</v>
      </c>
      <c r="I1004" s="49" t="n">
        <f aca="false">0.5*c_rho*'P3 Energie'!F8*'P3 Energie'!F7*(H1004-c_Vv)^2+'P3 Energie'!F13+'P3 Energie'!F15+'P3 Energie'!F6*$H$7</f>
        <v>19104.5781990799</v>
      </c>
      <c r="J1004" s="50" t="n">
        <f aca="false">I1004*H1004</f>
        <v>264014.657056729</v>
      </c>
    </row>
    <row r="1005" customFormat="false" ht="15" hidden="false" customHeight="false" outlineLevel="0" collapsed="false">
      <c r="A1005" s="46" t="n">
        <v>996</v>
      </c>
      <c r="B1005" s="47" t="n">
        <f aca="false">A1005*$C$6</f>
        <v>1.82265996958917</v>
      </c>
      <c r="C1005" s="48" t="n">
        <f aca="false">$C$7*B1005</f>
        <v>13.8333333333333</v>
      </c>
      <c r="D1005" s="49" t="n">
        <f aca="false">0.5*c_rho*'P3 Energie'!E8*'P3 Energie'!E7*(C1005-c_Vv)^2+'P3 Energie'!E13+'P3 Energie'!E15+'P3 Energie'!E6*$C$7</f>
        <v>18256.5465414282</v>
      </c>
      <c r="E1005" s="50" t="n">
        <f aca="false">D1005*C1005</f>
        <v>252548.89382309</v>
      </c>
      <c r="F1005" s="46" t="n">
        <v>996</v>
      </c>
      <c r="G1005" s="47" t="n">
        <f aca="false">F1005*$H$6</f>
        <v>1.81739748235874</v>
      </c>
      <c r="H1005" s="48" t="n">
        <f aca="false">$H$7*G1005</f>
        <v>13.8333333333333</v>
      </c>
      <c r="I1005" s="49" t="n">
        <f aca="false">0.5*c_rho*'P3 Energie'!F8*'P3 Energie'!F7*(H1005-c_Vv)^2+'P3 Energie'!F13+'P3 Energie'!F15+'P3 Energie'!F6*$H$7</f>
        <v>19104.7114859296</v>
      </c>
      <c r="J1005" s="50" t="n">
        <f aca="false">I1005*H1005</f>
        <v>264281.842222027</v>
      </c>
    </row>
    <row r="1006" customFormat="false" ht="15" hidden="false" customHeight="false" outlineLevel="0" collapsed="false">
      <c r="A1006" s="46" t="n">
        <v>997</v>
      </c>
      <c r="B1006" s="47" t="n">
        <f aca="false">A1006*$C$6</f>
        <v>1.82448994947831</v>
      </c>
      <c r="C1006" s="48" t="n">
        <f aca="false">$C$7*B1006</f>
        <v>13.8472222222222</v>
      </c>
      <c r="D1006" s="49" t="n">
        <f aca="false">0.5*c_rho*'P3 Energie'!E8*'P3 Energie'!E7*(C1006-c_Vv)^2+'P3 Energie'!E13+'P3 Energie'!E15+'P3 Energie'!E6*$C$7</f>
        <v>18256.7001065117</v>
      </c>
      <c r="E1006" s="50" t="n">
        <f aca="false">D1006*C1006</f>
        <v>252804.583419336</v>
      </c>
      <c r="F1006" s="46" t="n">
        <v>997</v>
      </c>
      <c r="G1006" s="47" t="n">
        <f aca="false">F1006*$H$6</f>
        <v>1.81922217862617</v>
      </c>
      <c r="H1006" s="48" t="n">
        <f aca="false">$H$7*G1006</f>
        <v>13.8472222222222</v>
      </c>
      <c r="I1006" s="49" t="n">
        <f aca="false">0.5*c_rho*'P3 Energie'!F8*'P3 Energie'!F7*(H1006-c_Vv)^2+'P3 Energie'!F13+'P3 Energie'!F15+'P3 Energie'!F6*$H$7</f>
        <v>19104.8449066688</v>
      </c>
      <c r="J1006" s="50" t="n">
        <f aca="false">I1006*H1006</f>
        <v>264549.032943733</v>
      </c>
    </row>
    <row r="1007" customFormat="false" ht="15" hidden="false" customHeight="false" outlineLevel="0" collapsed="false">
      <c r="A1007" s="46" t="n">
        <v>998</v>
      </c>
      <c r="B1007" s="47" t="n">
        <f aca="false">A1007*$C$6</f>
        <v>1.82631992936746</v>
      </c>
      <c r="C1007" s="48" t="n">
        <f aca="false">$C$7*B1007</f>
        <v>13.8611111111111</v>
      </c>
      <c r="D1007" s="49" t="n">
        <f aca="false">0.5*c_rho*'P3 Energie'!E8*'P3 Energie'!E7*(C1007-c_Vv)^2+'P3 Energie'!E13+'P3 Energie'!E15+'P3 Energie'!E6*$C$7</f>
        <v>18256.8538256996</v>
      </c>
      <c r="E1007" s="50" t="n">
        <f aca="false">D1007*C1007</f>
        <v>253060.279417337</v>
      </c>
      <c r="F1007" s="46" t="n">
        <v>998</v>
      </c>
      <c r="G1007" s="47" t="n">
        <f aca="false">F1007*$H$6</f>
        <v>1.8210468748936</v>
      </c>
      <c r="H1007" s="48" t="n">
        <f aca="false">$H$7*G1007</f>
        <v>13.8611111111111</v>
      </c>
      <c r="I1007" s="49" t="n">
        <f aca="false">0.5*c_rho*'P3 Energie'!F8*'P3 Energie'!F7*(H1007-c_Vv)^2+'P3 Energie'!F13+'P3 Energie'!F15+'P3 Energie'!F6*$H$7</f>
        <v>19104.9784612972</v>
      </c>
      <c r="J1007" s="50" t="n">
        <f aca="false">I1007*H1007</f>
        <v>264816.229227425</v>
      </c>
    </row>
    <row r="1008" customFormat="false" ht="15" hidden="false" customHeight="false" outlineLevel="0" collapsed="false">
      <c r="A1008" s="46" t="n">
        <v>999</v>
      </c>
      <c r="B1008" s="47" t="n">
        <f aca="false">A1008*$C$6</f>
        <v>1.8281499092566</v>
      </c>
      <c r="C1008" s="48" t="n">
        <f aca="false">$C$7*B1008</f>
        <v>13.875</v>
      </c>
      <c r="D1008" s="49" t="n">
        <f aca="false">0.5*c_rho*'P3 Energie'!E8*'P3 Energie'!E7*(C1008-c_Vv)^2+'P3 Energie'!E13+'P3 Energie'!E15+'P3 Energie'!E6*$C$7</f>
        <v>18257.007698992</v>
      </c>
      <c r="E1008" s="50" t="n">
        <f aca="false">D1008*C1008</f>
        <v>253315.981823515</v>
      </c>
      <c r="F1008" s="46" t="n">
        <v>999</v>
      </c>
      <c r="G1008" s="47" t="n">
        <f aca="false">F1008*$H$6</f>
        <v>1.82287157116103</v>
      </c>
      <c r="H1008" s="48" t="n">
        <f aca="false">$H$7*G1008</f>
        <v>13.875</v>
      </c>
      <c r="I1008" s="49" t="n">
        <f aca="false">0.5*c_rho*'P3 Energie'!F8*'P3 Energie'!F7*(H1008-c_Vv)^2+'P3 Energie'!F13+'P3 Energie'!F15+'P3 Energie'!F6*$H$7</f>
        <v>19105.112149815</v>
      </c>
      <c r="J1008" s="50" t="n">
        <f aca="false">I1008*H1008</f>
        <v>265083.431078684</v>
      </c>
    </row>
    <row r="1009" customFormat="false" ht="15" hidden="false" customHeight="false" outlineLevel="0" collapsed="false">
      <c r="A1009" s="46" t="n">
        <v>1000</v>
      </c>
      <c r="B1009" s="47" t="n">
        <f aca="false">A1009*$C$6</f>
        <v>1.82997988914575</v>
      </c>
      <c r="C1009" s="48" t="n">
        <f aca="false">$C$7*B1009</f>
        <v>13.8888888888889</v>
      </c>
      <c r="D1009" s="49" t="n">
        <f aca="false">0.5*c_rho*'P3 Energie'!E8*'P3 Energie'!E7*(C1009-c_Vv)^2+'P3 Energie'!E13+'P3 Energie'!E15+'P3 Energie'!E6*$C$7</f>
        <v>18257.1617263889</v>
      </c>
      <c r="E1009" s="50" t="n">
        <f aca="false">D1009*C1009</f>
        <v>253571.69064429</v>
      </c>
      <c r="F1009" s="46" t="n">
        <v>1000</v>
      </c>
      <c r="G1009" s="47" t="n">
        <f aca="false">F1009*$H$6</f>
        <v>1.82469626742845</v>
      </c>
      <c r="H1009" s="48" t="n">
        <f aca="false">$H$7*G1009</f>
        <v>13.8888888888889</v>
      </c>
      <c r="I1009" s="49" t="n">
        <f aca="false">0.5*c_rho*'P3 Energie'!F8*'P3 Energie'!F7*(H1009-c_Vv)^2+'P3 Energie'!F13+'P3 Energie'!F15+'P3 Energie'!F6*$H$7</f>
        <v>19105.2459722222</v>
      </c>
      <c r="J1009" s="50" t="n">
        <f aca="false">I1009*H1009</f>
        <v>265350.638503086</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396</v>
      </c>
    </row>
    <row r="2" customFormat="false" ht="15" hidden="false" customHeight="false" outlineLevel="0" collapsed="false">
      <c r="A2" s="2" t="s">
        <v>397</v>
      </c>
    </row>
    <row r="4" customFormat="false" ht="15" hidden="false" customHeight="false" outlineLevel="0" collapsed="false">
      <c r="A4" s="3" t="s">
        <v>162</v>
      </c>
      <c r="B4" s="3" t="s">
        <v>48</v>
      </c>
      <c r="C4" s="3" t="s">
        <v>163</v>
      </c>
      <c r="D4" s="3" t="s">
        <v>49</v>
      </c>
      <c r="E4" s="3" t="s">
        <v>50</v>
      </c>
      <c r="F4" s="3" t="s">
        <v>51</v>
      </c>
      <c r="G4" s="3" t="s">
        <v>164</v>
      </c>
    </row>
    <row r="5" customFormat="false" ht="15" hidden="false" customHeight="false" outlineLevel="0" collapsed="false">
      <c r="A5" s="16" t="s">
        <v>282</v>
      </c>
    </row>
    <row r="6" customFormat="false" ht="15" hidden="false" customHeight="false" outlineLevel="0" collapsed="false">
      <c r="A6" s="10"/>
      <c r="B6" s="10" t="s">
        <v>398</v>
      </c>
      <c r="C6" s="10" t="s">
        <v>375</v>
      </c>
      <c r="D6" s="10" t="s">
        <v>321</v>
      </c>
      <c r="E6" s="13" t="n">
        <f aca="false">'P3 Energie'!E49</f>
        <v>375765520.24384</v>
      </c>
      <c r="F6" s="13" t="n">
        <f aca="false">'P3 Energie'!F49</f>
        <v>439266563.936229</v>
      </c>
      <c r="G6" s="33"/>
    </row>
    <row r="7" customFormat="false" ht="15" hidden="false" customHeight="false" outlineLevel="0" collapsed="false">
      <c r="A7" s="10"/>
      <c r="B7" s="10" t="s">
        <v>399</v>
      </c>
      <c r="C7" s="10" t="s">
        <v>270</v>
      </c>
      <c r="D7" s="10" t="s">
        <v>179</v>
      </c>
      <c r="E7" s="35" t="n">
        <f aca="false">'P2 Putere'!E30</f>
        <v>518751.919191919</v>
      </c>
      <c r="F7" s="35" t="n">
        <f aca="false">'P2 Putere'!F30</f>
        <v>541696.96969697</v>
      </c>
      <c r="G7" s="33"/>
    </row>
    <row r="8" customFormat="false" ht="15" hidden="false" customHeight="false" outlineLevel="0" collapsed="false">
      <c r="A8" s="10"/>
      <c r="B8" s="10" t="s">
        <v>166</v>
      </c>
      <c r="C8" s="10" t="s">
        <v>167</v>
      </c>
      <c r="D8" s="10" t="s">
        <v>82</v>
      </c>
      <c r="E8" s="32" t="n">
        <f aca="false">'Date documentare'!G16</f>
        <v>2355.8</v>
      </c>
      <c r="F8" s="32" t="n">
        <f aca="false">'Date documentare'!G6</f>
        <v>2460</v>
      </c>
      <c r="G8" s="33"/>
    </row>
    <row r="9" customFormat="false" ht="15" hidden="false" customHeight="false" outlineLevel="0" collapsed="false">
      <c r="A9" s="16" t="s">
        <v>400</v>
      </c>
    </row>
    <row r="10" customFormat="false" ht="15" hidden="false" customHeight="false" outlineLevel="0" collapsed="false">
      <c r="A10" s="10"/>
      <c r="B10" s="10" t="s">
        <v>401</v>
      </c>
      <c r="C10" s="10" t="s">
        <v>402</v>
      </c>
      <c r="D10" s="10" t="s">
        <v>321</v>
      </c>
      <c r="E10" s="35" t="n">
        <f aca="false">cel_Cap*3600*cel_U_nom</f>
        <v>64800</v>
      </c>
      <c r="F10" s="35" t="n">
        <f aca="false">cel_Cap*3600*cel_U_nom</f>
        <v>64800</v>
      </c>
      <c r="G10" s="33" t="s">
        <v>403</v>
      </c>
    </row>
    <row r="11" customFormat="false" ht="15" hidden="false" customHeight="false" outlineLevel="0" collapsed="false">
      <c r="A11" s="10"/>
      <c r="B11" s="10" t="s">
        <v>404</v>
      </c>
      <c r="C11" s="10" t="s">
        <v>405</v>
      </c>
      <c r="D11" s="10" t="s">
        <v>63</v>
      </c>
      <c r="E11" s="35" t="n">
        <f aca="false">ROUNDUP(E6/E10,0)</f>
        <v>5799</v>
      </c>
      <c r="F11" s="35" t="n">
        <f aca="false">ROUNDUP(F6/F10,0)</f>
        <v>6779</v>
      </c>
      <c r="G11" s="33"/>
    </row>
    <row r="12" customFormat="false" ht="15" hidden="false" customHeight="false" outlineLevel="0" collapsed="false">
      <c r="A12" s="10"/>
      <c r="B12" s="10" t="s">
        <v>406</v>
      </c>
      <c r="C12" s="10" t="s">
        <v>407</v>
      </c>
      <c r="D12" s="10" t="s">
        <v>63</v>
      </c>
      <c r="E12" s="38" t="n">
        <f aca="false">ROUND(c_U_tinta/cel_U_nom,0)</f>
        <v>222</v>
      </c>
      <c r="F12" s="38" t="n">
        <f aca="false">ROUND(c_U_tinta/cel_U_nom,0)</f>
        <v>222</v>
      </c>
      <c r="G12" s="33" t="s">
        <v>408</v>
      </c>
    </row>
    <row r="13" customFormat="false" ht="15" hidden="false" customHeight="false" outlineLevel="0" collapsed="false">
      <c r="A13" s="10"/>
      <c r="B13" s="10" t="s">
        <v>409</v>
      </c>
      <c r="C13" s="10" t="s">
        <v>410</v>
      </c>
      <c r="D13" s="10" t="s">
        <v>77</v>
      </c>
      <c r="E13" s="32" t="n">
        <f aca="false">E12*cel_U_nom</f>
        <v>799.2</v>
      </c>
      <c r="F13" s="32" t="n">
        <f aca="false">F12*cel_U_nom</f>
        <v>799.2</v>
      </c>
      <c r="G13" s="33"/>
    </row>
    <row r="14" customFormat="false" ht="15" hidden="false" customHeight="false" outlineLevel="0" collapsed="false">
      <c r="A14" s="10"/>
      <c r="B14" s="10" t="s">
        <v>411</v>
      </c>
      <c r="C14" s="10"/>
      <c r="D14" s="10" t="s">
        <v>77</v>
      </c>
      <c r="E14" s="32" t="n">
        <f aca="false">E12*cel_U_max</f>
        <v>932.4</v>
      </c>
      <c r="F14" s="32" t="n">
        <f aca="false">F12*cel_U_max</f>
        <v>932.4</v>
      </c>
      <c r="G14" s="33"/>
    </row>
    <row r="15" customFormat="false" ht="15" hidden="false" customHeight="false" outlineLevel="0" collapsed="false">
      <c r="A15" s="10"/>
      <c r="B15" s="10" t="s">
        <v>412</v>
      </c>
      <c r="C15" s="10"/>
      <c r="D15" s="10" t="s">
        <v>77</v>
      </c>
      <c r="E15" s="32" t="n">
        <f aca="false">E12*cel_U_min</f>
        <v>555</v>
      </c>
      <c r="F15" s="32" t="n">
        <f aca="false">F12*cel_U_min</f>
        <v>555</v>
      </c>
      <c r="G15" s="33"/>
    </row>
    <row r="16" customFormat="false" ht="15" hidden="false" customHeight="false" outlineLevel="0" collapsed="false">
      <c r="A16" s="10"/>
      <c r="B16" s="10" t="s">
        <v>413</v>
      </c>
      <c r="C16" s="10" t="s">
        <v>414</v>
      </c>
      <c r="D16" s="10" t="s">
        <v>63</v>
      </c>
      <c r="E16" s="35" t="n">
        <f aca="false">ROUNDUP(E11/E12,0)</f>
        <v>27</v>
      </c>
      <c r="F16" s="35" t="n">
        <f aca="false">ROUNDUP(F11/F12,0)</f>
        <v>31</v>
      </c>
      <c r="G16" s="33"/>
    </row>
    <row r="17" customFormat="false" ht="15" hidden="false" customHeight="false" outlineLevel="0" collapsed="false">
      <c r="A17" s="10"/>
      <c r="B17" s="10" t="s">
        <v>415</v>
      </c>
      <c r="C17" s="10"/>
      <c r="D17" s="10" t="s">
        <v>179</v>
      </c>
      <c r="E17" s="35" t="n">
        <f aca="false">E7/c_eta</f>
        <v>648439.898989899</v>
      </c>
      <c r="F17" s="35" t="n">
        <f aca="false">F7/c_eta</f>
        <v>677121.212121212</v>
      </c>
      <c r="G17" s="33" t="s">
        <v>416</v>
      </c>
    </row>
    <row r="18" customFormat="false" ht="15" hidden="false" customHeight="false" outlineLevel="0" collapsed="false">
      <c r="A18" s="10"/>
      <c r="B18" s="10" t="s">
        <v>79</v>
      </c>
      <c r="C18" s="10" t="s">
        <v>417</v>
      </c>
      <c r="D18" s="10" t="s">
        <v>80</v>
      </c>
      <c r="E18" s="32" t="n">
        <f aca="false">E17/E13</f>
        <v>811.361234972346</v>
      </c>
      <c r="F18" s="32" t="n">
        <f aca="false">F17/F13</f>
        <v>847.248763915431</v>
      </c>
      <c r="G18" s="33"/>
    </row>
    <row r="19" customFormat="false" ht="15" hidden="false" customHeight="false" outlineLevel="0" collapsed="false">
      <c r="A19" s="10"/>
      <c r="B19" s="10" t="s">
        <v>418</v>
      </c>
      <c r="C19" s="10" t="s">
        <v>414</v>
      </c>
      <c r="D19" s="10" t="s">
        <v>63</v>
      </c>
      <c r="E19" s="35" t="n">
        <f aca="false">ROUNDUP(E18/cel_I,0)</f>
        <v>14</v>
      </c>
      <c r="F19" s="35" t="n">
        <f aca="false">ROUNDUP(F18/cel_I,0)</f>
        <v>15</v>
      </c>
      <c r="G19" s="33"/>
    </row>
    <row r="20" customFormat="false" ht="15" hidden="false" customHeight="false" outlineLevel="0" collapsed="false">
      <c r="A20" s="10"/>
      <c r="B20" s="10" t="s">
        <v>419</v>
      </c>
      <c r="C20" s="10" t="s">
        <v>414</v>
      </c>
      <c r="D20" s="10" t="s">
        <v>63</v>
      </c>
      <c r="E20" s="38" t="n">
        <f aca="false">MAX(E16,E19)</f>
        <v>27</v>
      </c>
      <c r="F20" s="38" t="n">
        <f aca="false">MAX(F16,F19)</f>
        <v>31</v>
      </c>
      <c r="G20" s="33"/>
    </row>
    <row r="21" customFormat="false" ht="15" hidden="false" customHeight="false" outlineLevel="0" collapsed="false">
      <c r="A21" s="10"/>
      <c r="B21" s="10" t="s">
        <v>420</v>
      </c>
      <c r="C21" s="10" t="s">
        <v>195</v>
      </c>
      <c r="D21" s="10" t="s">
        <v>63</v>
      </c>
      <c r="E21" s="38" t="n">
        <f aca="false">E12*E20</f>
        <v>5994</v>
      </c>
      <c r="F21" s="38" t="n">
        <f aca="false">F12*F20</f>
        <v>6882</v>
      </c>
      <c r="G21" s="33"/>
    </row>
    <row r="22" customFormat="false" ht="15" hidden="false" customHeight="false" outlineLevel="0" collapsed="false">
      <c r="A22" s="10"/>
      <c r="B22" s="10" t="s">
        <v>75</v>
      </c>
      <c r="C22" s="10"/>
      <c r="D22" s="10" t="s">
        <v>71</v>
      </c>
      <c r="E22" s="41" t="n">
        <f aca="false">E21*E10/3600000</f>
        <v>107.892</v>
      </c>
      <c r="F22" s="41" t="n">
        <f aca="false">F21*F10/3600000</f>
        <v>123.876</v>
      </c>
      <c r="G22" s="33"/>
    </row>
    <row r="23" customFormat="false" ht="15" hidden="false" customHeight="false" outlineLevel="0" collapsed="false">
      <c r="A23" s="10"/>
      <c r="B23" s="10" t="s">
        <v>421</v>
      </c>
      <c r="C23" s="10"/>
      <c r="D23" s="10" t="s">
        <v>149</v>
      </c>
      <c r="E23" s="32" t="n">
        <f aca="false">E20*cel_Cap</f>
        <v>135</v>
      </c>
      <c r="F23" s="32" t="n">
        <f aca="false">F20*cel_Cap</f>
        <v>155</v>
      </c>
      <c r="G23" s="33"/>
    </row>
    <row r="24" customFormat="false" ht="15" hidden="false" customHeight="false" outlineLevel="0" collapsed="false">
      <c r="A24" s="10"/>
      <c r="B24" s="10" t="s">
        <v>422</v>
      </c>
      <c r="C24" s="10"/>
      <c r="D24" s="10" t="s">
        <v>80</v>
      </c>
      <c r="E24" s="14" t="n">
        <f aca="false">E18/E20</f>
        <v>30.0504161100869</v>
      </c>
      <c r="F24" s="14" t="n">
        <f aca="false">F18/F20</f>
        <v>27.3306052875945</v>
      </c>
      <c r="G24" s="33"/>
    </row>
    <row r="25" customFormat="false" ht="15" hidden="false" customHeight="false" outlineLevel="0" collapsed="false">
      <c r="A25" s="16" t="s">
        <v>423</v>
      </c>
    </row>
    <row r="26" customFormat="false" ht="15" hidden="false" customHeight="false" outlineLevel="0" collapsed="false">
      <c r="A26" s="10"/>
      <c r="B26" s="10" t="s">
        <v>424</v>
      </c>
      <c r="C26" s="10"/>
      <c r="D26" s="10" t="s">
        <v>82</v>
      </c>
      <c r="E26" s="40" t="n">
        <f aca="false">E21*cel_m</f>
        <v>425.574</v>
      </c>
      <c r="F26" s="40" t="n">
        <f aca="false">F21*cel_m</f>
        <v>488.622</v>
      </c>
      <c r="G26" s="33"/>
    </row>
    <row r="27" customFormat="false" ht="15" hidden="false" customHeight="false" outlineLevel="0" collapsed="false">
      <c r="A27" s="10"/>
      <c r="B27" s="10" t="s">
        <v>425</v>
      </c>
      <c r="C27" s="10"/>
      <c r="D27" s="10" t="s">
        <v>82</v>
      </c>
      <c r="E27" s="32" t="n">
        <f aca="false">E26/cel_kcp</f>
        <v>607.962857142857</v>
      </c>
      <c r="F27" s="32" t="n">
        <f aca="false">F26/cel_kcp</f>
        <v>698.031428571429</v>
      </c>
      <c r="G27" s="33" t="s">
        <v>426</v>
      </c>
    </row>
    <row r="28" customFormat="false" ht="15" hidden="false" customHeight="false" outlineLevel="0" collapsed="false">
      <c r="A28" s="10"/>
      <c r="B28" s="10" t="s">
        <v>427</v>
      </c>
      <c r="C28" s="10"/>
      <c r="D28" s="10" t="s">
        <v>82</v>
      </c>
      <c r="E28" s="32" t="n">
        <f aca="false">c_k_masa*E8</f>
        <v>706.74</v>
      </c>
      <c r="F28" s="32" t="n">
        <f aca="false">c_k_masa*F8</f>
        <v>738</v>
      </c>
      <c r="G28" s="33"/>
    </row>
    <row r="29" customFormat="false" ht="15" hidden="false" customHeight="false" outlineLevel="0" collapsed="false">
      <c r="A29" s="10"/>
      <c r="B29" s="10" t="s">
        <v>428</v>
      </c>
      <c r="C29" s="10"/>
      <c r="D29" s="10" t="s">
        <v>329</v>
      </c>
      <c r="E29" s="32" t="n">
        <f aca="false">E26/E8*100</f>
        <v>18.0649460905</v>
      </c>
      <c r="F29" s="32" t="n">
        <f aca="false">F26/F8*100</f>
        <v>19.8626829268293</v>
      </c>
      <c r="G29" s="33"/>
    </row>
    <row r="30" customFormat="false" ht="15" hidden="false" customHeight="false" outlineLevel="0" collapsed="false">
      <c r="A30" s="10"/>
      <c r="B30" s="10" t="s">
        <v>429</v>
      </c>
      <c r="C30" s="10"/>
      <c r="D30" s="10" t="s">
        <v>329</v>
      </c>
      <c r="E30" s="32" t="n">
        <f aca="false">E27/E8*100</f>
        <v>25.8070658435715</v>
      </c>
      <c r="F30" s="32" t="n">
        <f aca="false">F27/F8*100</f>
        <v>28.3752613240418</v>
      </c>
      <c r="G30" s="33"/>
    </row>
    <row r="31" customFormat="false" ht="15" hidden="false" customHeight="false" outlineLevel="0" collapsed="false">
      <c r="A31" s="10"/>
      <c r="B31" s="10" t="s">
        <v>430</v>
      </c>
      <c r="C31" s="10"/>
      <c r="D31" s="10"/>
      <c r="E31" s="36" t="str">
        <f aca="false">IF(E27&lt;=E28,"DA","NU")</f>
        <v>DA</v>
      </c>
      <c r="F31" s="36" t="str">
        <f aca="false">IF(F27&lt;=F28,"DA","NU")</f>
        <v>DA</v>
      </c>
      <c r="G31"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110"/>
  </cols>
  <sheetData>
    <row r="1" customFormat="false" ht="17.35" hidden="false" customHeight="false" outlineLevel="0" collapsed="false">
      <c r="A1" s="1" t="s">
        <v>431</v>
      </c>
    </row>
    <row r="4" customFormat="false" ht="15" hidden="false" customHeight="false" outlineLevel="0" collapsed="false">
      <c r="A4" s="3" t="s">
        <v>432</v>
      </c>
      <c r="B4" s="3" t="s">
        <v>433</v>
      </c>
      <c r="C4" s="3" t="s">
        <v>434</v>
      </c>
    </row>
    <row r="5" customFormat="false" ht="15" hidden="false" customHeight="false" outlineLevel="0" collapsed="false">
      <c r="A5" s="23" t="s">
        <v>435</v>
      </c>
      <c r="B5" s="23" t="s">
        <v>436</v>
      </c>
      <c r="C5" s="23" t="s">
        <v>437</v>
      </c>
    </row>
    <row r="6" customFormat="false" ht="15" hidden="false" customHeight="false" outlineLevel="0" collapsed="false">
      <c r="A6" s="23" t="s">
        <v>438</v>
      </c>
      <c r="B6" s="23" t="s">
        <v>439</v>
      </c>
      <c r="C6" s="51" t="s">
        <v>440</v>
      </c>
    </row>
    <row r="7" customFormat="false" ht="15" hidden="false" customHeight="false" outlineLevel="0" collapsed="false">
      <c r="A7" s="23" t="s">
        <v>441</v>
      </c>
      <c r="B7" s="23" t="s">
        <v>442</v>
      </c>
      <c r="C7" s="51" t="s">
        <v>443</v>
      </c>
    </row>
    <row r="8" customFormat="false" ht="15" hidden="false" customHeight="false" outlineLevel="0" collapsed="false">
      <c r="A8" s="23" t="s">
        <v>444</v>
      </c>
      <c r="B8" s="23" t="s">
        <v>445</v>
      </c>
      <c r="C8" s="51" t="s">
        <v>446</v>
      </c>
    </row>
    <row r="9" customFormat="false" ht="15" hidden="false" customHeight="false" outlineLevel="0" collapsed="false">
      <c r="A9" s="23" t="s">
        <v>447</v>
      </c>
      <c r="B9" s="23" t="s">
        <v>448</v>
      </c>
      <c r="C9" s="51" t="s">
        <v>449</v>
      </c>
    </row>
    <row r="10" customFormat="false" ht="15" hidden="false" customHeight="false" outlineLevel="0" collapsed="false">
      <c r="A10" s="23" t="s">
        <v>450</v>
      </c>
      <c r="B10" s="23" t="s">
        <v>451</v>
      </c>
      <c r="C10" s="51" t="s">
        <v>452</v>
      </c>
    </row>
    <row r="11" customFormat="false" ht="15" hidden="false" customHeight="false" outlineLevel="0" collapsed="false">
      <c r="A11" s="23" t="s">
        <v>453</v>
      </c>
      <c r="B11" s="23" t="s">
        <v>454</v>
      </c>
      <c r="C11" s="51" t="s">
        <v>455</v>
      </c>
    </row>
    <row r="12" customFormat="false" ht="15" hidden="false" customHeight="false" outlineLevel="0" collapsed="false">
      <c r="A12" s="23" t="s">
        <v>456</v>
      </c>
      <c r="B12" s="23" t="s">
        <v>457</v>
      </c>
      <c r="C12" s="51" t="s">
        <v>458</v>
      </c>
    </row>
    <row r="13" customFormat="false" ht="15" hidden="false" customHeight="false" outlineLevel="0" collapsed="false">
      <c r="A13" s="23" t="s">
        <v>459</v>
      </c>
      <c r="B13" s="23" t="s">
        <v>460</v>
      </c>
      <c r="C13" s="51" t="s">
        <v>461</v>
      </c>
    </row>
    <row r="14" customFormat="false" ht="15" hidden="false" customHeight="false" outlineLevel="0" collapsed="false">
      <c r="A14" s="23" t="s">
        <v>462</v>
      </c>
      <c r="B14" s="23" t="s">
        <v>463</v>
      </c>
      <c r="C14" s="51" t="s">
        <v>464</v>
      </c>
    </row>
    <row r="15" customFormat="false" ht="15" hidden="false" customHeight="false" outlineLevel="0" collapsed="false">
      <c r="A15" s="23" t="s">
        <v>465</v>
      </c>
      <c r="B15" s="23" t="s">
        <v>466</v>
      </c>
      <c r="C15" s="51" t="s">
        <v>467</v>
      </c>
    </row>
    <row r="16" customFormat="false" ht="15" hidden="false" customHeight="false" outlineLevel="0" collapsed="false">
      <c r="A16" s="23" t="s">
        <v>468</v>
      </c>
      <c r="B16" s="23" t="s">
        <v>469</v>
      </c>
      <c r="C16" s="51" t="s">
        <v>470</v>
      </c>
    </row>
    <row r="17" customFormat="false" ht="15" hidden="false" customHeight="false" outlineLevel="0" collapsed="false">
      <c r="A17" s="23" t="s">
        <v>471</v>
      </c>
      <c r="B17" s="23" t="s">
        <v>472</v>
      </c>
      <c r="C17" s="51" t="s">
        <v>473</v>
      </c>
    </row>
    <row r="18" customFormat="false" ht="15" hidden="false" customHeight="false" outlineLevel="0" collapsed="false">
      <c r="A18" s="23" t="s">
        <v>474</v>
      </c>
      <c r="B18" s="23" t="s">
        <v>475</v>
      </c>
      <c r="C18" s="51" t="s">
        <v>137</v>
      </c>
    </row>
    <row r="19" customFormat="false" ht="12.65" hidden="false" customHeight="false" outlineLevel="0" collapsed="false">
      <c r="A19" s="23" t="s">
        <v>476</v>
      </c>
      <c r="B19" s="23" t="s">
        <v>477</v>
      </c>
      <c r="C19" s="51" t="s">
        <v>478</v>
      </c>
    </row>
    <row r="20" customFormat="false" ht="15" hidden="false" customHeight="false" outlineLevel="0" collapsed="false">
      <c r="A20" s="23" t="s">
        <v>479</v>
      </c>
      <c r="B20" s="23" t="s">
        <v>480</v>
      </c>
      <c r="C20" s="23" t="s">
        <v>481</v>
      </c>
    </row>
  </sheetData>
  <hyperlinks>
    <hyperlink ref="C6" r:id="rId1" display="https://media.mercedes-benz.com/en/article/c8b7109f-2287-4070-b776-9204da1513ef"/>
    <hyperlink ref="C7" r:id="rId2" display="https://newsroom.porsche.com/dam/jcr:c96cbebc-3745-4700-b385-981a9c4fe91d/pag-taycan-turbo-gt-weissachpaket-td-en.pdf"/>
    <hyperlink ref="C8" r:id="rId3" display="https://uploads.audi-mediacenter.com/system/production/car_motorizations/1392/file_en/91bfc69ec55530e277b5023245b77c1c82772920/eTD-Audi-RS-e-tron-GT-performance-550kW_250515.pdf"/>
    <hyperlink ref="C9" r:id="rId4" display="https://www.lotuscars.com/en/press/models/emeya"/>
    <hyperlink ref="C10" r:id="rId5" display="https://ev-database.org/car/3384/Tesla-Model-S-Plaid"/>
    <hyperlink ref="C11" r:id="rId6" display="https://lucidmotors.com/de-de/air"/>
    <hyperlink ref="C12" r:id="rId7" display="https://lucidmotors.com/media/document/lucid-air-sapphire-technical-specs-2024.pdf"/>
    <hyperlink ref="C13" r:id="rId8" display="https://www.xiaomiev.com/car-config?carItemId=500010402"/>
    <hyperlink ref="C14" r:id="rId9" display="https://data.carnewschina.com/xiaomi-auto/su7-ultra/2025/params"/>
    <hyperlink ref="C15" r:id="rId10" display="https://www.yangwangauto.com/material/yangwang_cn/images/u9/2025-12-23/U9%E8%BD%A6%E4%B9%A620251223.pdf"/>
    <hyperlink ref="C16" r:id="rId11" display="https://www.rimac-automobili.com/nevera/"/>
    <hyperlink ref="C17" r:id="rId12" display="https://ev-database.org/car/1803/Maserati-GranTurismo-Folgore"/>
    <hyperlink ref="C18" r:id="rId13" display="https://www.molicel.com/wp-content/uploads/4.TR%E7%B0%A1%E6%98%93%E8%A6%8F%E6%A0%BC_INR21700P50B_1.1_Product-Data-Sheet-of-INR-21700-P50B-80122.pdf"/>
    <hyperlink ref="C19" r:id="rId14" display="https://www.molicel.com/wp-content/uploads/INR21700P45B_1.4_Product-Data-Sheet-of-INR-21700-P45B-80109.pdf"/>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2026-10-14T09:35:58Z</dcterms:created>
  <dc:creator>openpyxl</dc:creator>
  <dc:description/>
  <dc:language>en-US</dc:language>
  <cp:lastModifiedBy/>
  <dcterms:modified xsi:type="dcterms:W3CDTF">2026-10-14T09:35:58Z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