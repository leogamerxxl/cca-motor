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Date documentare" sheetId="1" state="visible" r:id="rId3"/>
    <sheet name="Sinteză" sheetId="2" state="visible" r:id="rId4"/>
    <sheet name="Ipoteze" sheetId="3" state="visible" r:id="rId5"/>
    <sheet name="P2 Putere" sheetId="4" state="visible" r:id="rId6"/>
    <sheet name="P3 Energie" sheetId="5" state="visible" r:id="rId7"/>
    <sheet name="P3 n=100" sheetId="6" state="visible" r:id="rId8"/>
    <sheet name="P3 n=1000" sheetId="7" state="visible" r:id="rId9"/>
    <sheet name="Baterie" sheetId="8" state="visible" r:id="rId10"/>
    <sheet name="Surse" sheetId="9" state="visible" r:id="rId11"/>
  </sheets>
  <definedNames>
    <definedName function="false" hidden="false" name="cel_Cap" vbProcedure="false">Ipoteze!$C$25</definedName>
    <definedName function="false" hidden="false" name="cel_I" vbProcedure="false">Ipoteze!$C$27</definedName>
    <definedName function="false" hidden="false" name="cel_kcp" vbProcedure="false">Ipoteze!$C$28</definedName>
    <definedName function="false" hidden="false" name="cel_m" vbProcedure="false">Ipoteze!$C$26</definedName>
    <definedName function="false" hidden="false" name="cel_U_max" vbProcedure="false">Ipoteze!$C$23</definedName>
    <definedName function="false" hidden="false" name="cel_U_min" vbProcedure="false">Ipoteze!$C$24</definedName>
    <definedName function="false" hidden="false" name="cel_U_nom" vbProcedure="false">Ipoteze!$C$22</definedName>
    <definedName function="false" hidden="false" name="c_alpha" vbProcedure="false">Ipoteze!$C$9</definedName>
    <definedName function="false" hidden="false" name="c_eta" vbProcedure="false">Ipoteze!$C$16</definedName>
    <definedName function="false" hidden="false" name="c_g" vbProcedure="false">Ipoteze!$C$5</definedName>
    <definedName function="false" hidden="false" name="c_k_masa" vbProcedure="false">Ipoteze!$C$19</definedName>
    <definedName function="false" hidden="false" name="c_mu_a" vbProcedure="false">Ipoteze!$C$8</definedName>
    <definedName function="false" hidden="false" name="c_mu_f" vbProcedure="false">Ipoteze!$C$7</definedName>
    <definedName function="false" hidden="false" name="c_n_max" vbProcedure="false">Ipoteze!$C$14</definedName>
    <definedName function="false" hidden="false" name="c_pp" vbProcedure="false">Ipoteze!$C$12</definedName>
    <definedName function="false" hidden="false" name="c_r" vbProcedure="false">Ipoteze!$C$11</definedName>
    <definedName function="false" hidden="false" name="c_rez" vbProcedure="false">Ipoteze!$C$17</definedName>
    <definedName function="false" hidden="false" name="c_rho" vbProcedure="false">Ipoteze!$C$6</definedName>
    <definedName function="false" hidden="false" name="c_U_max" vbProcedure="false">Ipoteze!$C$18</definedName>
    <definedName function="false" hidden="false" name="c_V1_kmh" vbProcedure="false">Ipoteze!$C$15</definedName>
    <definedName function="false" hidden="false" name="c_Va_kmh" vbProcedure="false">Ipoteze!$C$13</definedName>
    <definedName function="false" hidden="false" name="c_Vv" vbProcedure="false">Ipoteze!$C$10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<sst xmlns="http://schemas.openxmlformats.org/spreadsheetml/2006/main" count="859" uniqueCount="544">
  <si>
    <t xml:space="preserve">Date din documentare (etapa 1) transformate în unități S.I.</t>
  </si>
  <si>
    <t xml:space="preserve">Se preiau datele medii din faza de documentare (suport P2/P3, slide 2). Celulele goale = valoare nedeclarată; media se face doar pe valorile existente. Rândul galben = vehiculul de referință.</t>
  </si>
  <si>
    <t xml:space="preserve">Text albastru = valoare preluată din sursă; text negru = formulă.</t>
  </si>
  <si>
    <t xml:space="preserve">Nr.</t>
  </si>
  <si>
    <t xml:space="preserve">Vehicul</t>
  </si>
  <si>
    <t xml:space="preserve">P max [kW]</t>
  </si>
  <si>
    <t xml:space="preserve">v max [km/h]</t>
  </si>
  <si>
    <t xml:space="preserve">t accel. [s]</t>
  </si>
  <si>
    <t xml:space="preserve">până la v [km/h]</t>
  </si>
  <si>
    <t xml:space="preserve">Masă [kg]</t>
  </si>
  <si>
    <t xml:space="preserve">Cuplu [Nm]</t>
  </si>
  <si>
    <t xml:space="preserve">Baterie [kWh]</t>
  </si>
  <si>
    <t xml:space="preserve">Autonomie min [km]</t>
  </si>
  <si>
    <t xml:space="preserve">Autonomie max [km]</t>
  </si>
  <si>
    <t xml:space="preserve">Ciclu</t>
  </si>
  <si>
    <t xml:space="preserve">Consum min [kWh/100 km]</t>
  </si>
  <si>
    <t xml:space="preserve">Consum max [kWh/100 km]</t>
  </si>
  <si>
    <t xml:space="preserve">Cx</t>
  </si>
  <si>
    <t xml:space="preserve">S [m²]</t>
  </si>
  <si>
    <t xml:space="preserve">Anvelopă spate lățime [mm]</t>
  </si>
  <si>
    <t xml:space="preserve">Profil [%]</t>
  </si>
  <si>
    <t xml:space="preserve">Jantă [inch]</t>
  </si>
  <si>
    <t xml:space="preserve">P max [W]</t>
  </si>
  <si>
    <t xml:space="preserve">v max [m/s]</t>
  </si>
  <si>
    <t xml:space="preserve">a medie [m/s²]</t>
  </si>
  <si>
    <t xml:space="preserve">Baterie [Ws]</t>
  </si>
  <si>
    <t xml:space="preserve">Autonomie medie [km]</t>
  </si>
  <si>
    <t xml:space="preserve">Consum mediu [kWh/100 km]</t>
  </si>
  <si>
    <t xml:space="preserve">Consum [Ws/m]</t>
  </si>
  <si>
    <t xml:space="preserve">r roată (static) [m]</t>
  </si>
  <si>
    <t xml:space="preserve">Mercedes-AMG GT 63 4MATIC+ 4-Door Coupé</t>
  </si>
  <si>
    <t xml:space="preserve">WLTP</t>
  </si>
  <si>
    <t xml:space="preserve">Porsche Taycan Turbo GT (Weissach)</t>
  </si>
  <si>
    <t xml:space="preserve">Audi RS e-tron GT performance</t>
  </si>
  <si>
    <t xml:space="preserve">Lotus Emeya R</t>
  </si>
  <si>
    <t xml:space="preserve">Tesla Model S Plaid</t>
  </si>
  <si>
    <t xml:space="preserve">Lucid Air Sapphire</t>
  </si>
  <si>
    <t xml:space="preserve">Xiaomi SU7 Ultra</t>
  </si>
  <si>
    <t xml:space="preserve">CLTC</t>
  </si>
  <si>
    <t xml:space="preserve">Yangwang U9</t>
  </si>
  <si>
    <t xml:space="preserve">Rimac Nevera</t>
  </si>
  <si>
    <t xml:space="preserve">Maserati GranTurismo Folgore</t>
  </si>
  <si>
    <t xml:space="preserve">MEDIE (vehicul mediu)</t>
  </si>
  <si>
    <t xml:space="preserve">Număr de valori</t>
  </si>
  <si>
    <t xml:space="preserve">Note: Lucid Air Sapphire – 1,89 s este 0–60 mph (96,56 km/h). Rimac (și, după convenția americană, Tesla și Lucid) declară timpi cu „1-foot rollout”; GT 63: valoarea standard 2,4 s. Autonomia și consumul se mediază doar pe valorile WLTP (Xiaomi și Yangwang declară ciclul chinezesc CLTC, mai optimist). Lotus nu publică un consum WLTP separat pentru Emeya R. Tesla și Maserati: autonomie și consum din EV Database (sursă secundară). Raza roții se calculează din anvelopa punții spate: r = D_jantă/2 + lățime·profil.</t>
  </si>
  <si>
    <t xml:space="preserve">Sinteză – date pentru proiectare (tema de proiectare)</t>
  </si>
  <si>
    <t xml:space="preserve">Valorile provin din foile P2, P3 și Baterie. Vehiculul mediu este baza temei; GT 63 este comparația.</t>
  </si>
  <si>
    <t xml:space="preserve">Subsistem</t>
  </si>
  <si>
    <t xml:space="preserve">Mărime</t>
  </si>
  <si>
    <t xml:space="preserve">Unitate</t>
  </si>
  <si>
    <t xml:space="preserve">Vehicul mediu</t>
  </si>
  <si>
    <t xml:space="preserve">GT 63 (referință)</t>
  </si>
  <si>
    <t xml:space="preserve">Mașina electrică</t>
  </si>
  <si>
    <t xml:space="preserve">Tipul mașinii</t>
  </si>
  <si>
    <t xml:space="preserve">-</t>
  </si>
  <si>
    <t xml:space="preserve">Puterea maximă (vârf)</t>
  </si>
  <si>
    <t xml:space="preserve">kW</t>
  </si>
  <si>
    <t xml:space="preserve">Puterea nominală (la Vmax constantă)</t>
  </si>
  <si>
    <t xml:space="preserve">Cuplul maxim la ax</t>
  </si>
  <si>
    <t xml:space="preserve">Nm</t>
  </si>
  <si>
    <t xml:space="preserve">Turația de bază</t>
  </si>
  <si>
    <t xml:space="preserve">rot/min</t>
  </si>
  <si>
    <t xml:space="preserve">Turația maximă</t>
  </si>
  <si>
    <t xml:space="preserve">Reductor</t>
  </si>
  <si>
    <t xml:space="preserve">i_rd = Ωr/Ωax</t>
  </si>
  <si>
    <t xml:space="preserve">1/i_rd = n_motor/n_roată</t>
  </si>
  <si>
    <t xml:space="preserve">Accelerația realizabilă (aderență)</t>
  </si>
  <si>
    <t xml:space="preserve">m/s²</t>
  </si>
  <si>
    <t xml:space="preserve">Timpul 0–100 km/h realizabil</t>
  </si>
  <si>
    <t xml:space="preserve">s</t>
  </si>
  <si>
    <t xml:space="preserve">Sistem de stocare</t>
  </si>
  <si>
    <t xml:space="preserve">Energia necesară în baterie</t>
  </si>
  <si>
    <t xml:space="preserve">kWh</t>
  </si>
  <si>
    <t xml:space="preserve">Consumul echivalent al ciclului P3</t>
  </si>
  <si>
    <t xml:space="preserve">kWh/100 km</t>
  </si>
  <si>
    <t xml:space="preserve">Celule (serie × paralel = total)</t>
  </si>
  <si>
    <t xml:space="preserve">Energia instalată</t>
  </si>
  <si>
    <t xml:space="preserve">Tensiunea nominală (min – max)</t>
  </si>
  <si>
    <t xml:space="preserve">V</t>
  </si>
  <si>
    <t xml:space="preserve">Masa celulelor / pachetului (estimare)</t>
  </si>
  <si>
    <t xml:space="preserve">kg</t>
  </si>
  <si>
    <t xml:space="preserve">Convertor / invertor</t>
  </si>
  <si>
    <t xml:space="preserve">Tip</t>
  </si>
  <si>
    <t xml:space="preserve">Curentul bateriei la U_nom / U_min</t>
  </si>
  <si>
    <t xml:space="preserve">A</t>
  </si>
  <si>
    <t xml:space="preserve">Ipoteze și constante de calcul</t>
  </si>
  <si>
    <t xml:space="preserve">Valorile scrise cu albastru (coloana C) se pot modifica; toate foile de calcul folosesc numele definite din coloana A.</t>
  </si>
  <si>
    <t xml:space="preserve">Nume definit</t>
  </si>
  <si>
    <t xml:space="preserve">Valoare</t>
  </si>
  <si>
    <t xml:space="preserve">Justificare / sursă</t>
  </si>
  <si>
    <t xml:space="preserve">c_g</t>
  </si>
  <si>
    <t xml:space="preserve">Accelerația gravitațională g</t>
  </si>
  <si>
    <t xml:space="preserve">Valoare uzuală (g_n = 9,80665 m/s²)</t>
  </si>
  <si>
    <t xml:space="preserve">c_rho</t>
  </si>
  <si>
    <t xml:space="preserve">Densitatea aerului ρ (condiții normale: 0 °C, 101 325 Pa)</t>
  </si>
  <si>
    <t xml:space="preserve">kg/m³</t>
  </si>
  <si>
    <t xml:space="preserve">ρ = p/(R_s·T) = 101325/(287,05·273,15)</t>
  </si>
  <si>
    <t xml:space="preserve">c_mu_f</t>
  </si>
  <si>
    <t xml:space="preserve">Coeficient de frecare la rulare µf</t>
  </si>
  <si>
    <t xml:space="preserve">Exemplul din curs (P2, slide 5); f = 0,01·(1 + V/160) dă 0,013 la 50 km/h (Ehsani)</t>
  </si>
  <si>
    <t xml:space="preserve">c_mu_a</t>
  </si>
  <si>
    <t xml:space="preserve">Coeficient de aderență µa</t>
  </si>
  <si>
    <t xml:space="preserve">Exemplul din curs (P2, slide 5); asfalt uscat la ≈ 90 km/h; anvelope bune: 1,0–1,2</t>
  </si>
  <si>
    <t xml:space="preserve">c_alpha</t>
  </si>
  <si>
    <t xml:space="preserve">Unghiul de înclinare al drumului α</t>
  </si>
  <si>
    <t xml:space="preserve">rad</t>
  </si>
  <si>
    <t xml:space="preserve">Drum drept (simplificare curs)</t>
  </si>
  <si>
    <t xml:space="preserve">c_Vv</t>
  </si>
  <si>
    <t xml:space="preserve">Viteza vântului Vv</t>
  </si>
  <si>
    <t xml:space="preserve">m/s</t>
  </si>
  <si>
    <t xml:space="preserve">Fără vânt (simplificare curs)</t>
  </si>
  <si>
    <t xml:space="preserve">c_r</t>
  </si>
  <si>
    <t xml:space="preserve">Raza dinamică a roții r</t>
  </si>
  <si>
    <t xml:space="preserve">m</t>
  </si>
  <si>
    <t xml:space="preserve">Media razelor anvelopelor spate ≈ 0,364 m × 0,97 ≈ 0,35 m</t>
  </si>
  <si>
    <t xml:space="preserve">c_pp</t>
  </si>
  <si>
    <t xml:space="preserve">Pierderi în reductor Pp / Pax</t>
  </si>
  <si>
    <t xml:space="preserve">Pp = Pax/100 (curs, P2 slide 7)</t>
  </si>
  <si>
    <t xml:space="preserve">c_Va_kmh</t>
  </si>
  <si>
    <t xml:space="preserve">Viteza Va (punct pe rampa de accelerare)</t>
  </si>
  <si>
    <t xml:space="preserve">km/h</t>
  </si>
  <si>
    <t xml:space="preserve">Sfârșitul probei 0–100 km/h</t>
  </si>
  <si>
    <t xml:space="preserve">c_n_max</t>
  </si>
  <si>
    <t xml:space="preserve">Turația maximă a mașinii electrice la v_max</t>
  </si>
  <si>
    <t xml:space="preserve">Alegere de proiectare (motoarele clasei: GT 63 spate &gt; 13 000 / față &gt; 15 000 rot/min; Xiaomi V8s 27 200 rot/min)</t>
  </si>
  <si>
    <t xml:space="preserve">c_V1_kmh</t>
  </si>
  <si>
    <t xml:space="preserve">Viteza constantă a ciclului P3, V1</t>
  </si>
  <si>
    <t xml:space="preserve">Curs, P3 slide 4</t>
  </si>
  <si>
    <t xml:space="preserve">c_eta</t>
  </si>
  <si>
    <t xml:space="preserve">Randament η_el-mec = η_mec-el</t>
  </si>
  <si>
    <t xml:space="preserve">Curs, P3 slide 8 (pierderi tipice ale acționării 15–20 %)</t>
  </si>
  <si>
    <t xml:space="preserve">c_rez</t>
  </si>
  <si>
    <t xml:space="preserve">Rezervă de energie în baterie</t>
  </si>
  <si>
    <t xml:space="preserve">Curs, P3 slide 8</t>
  </si>
  <si>
    <t xml:space="preserve">c_U_max</t>
  </si>
  <si>
    <t xml:space="preserve">Tensiunea maximă admisă a bateriei</t>
  </si>
  <si>
    <t xml:space="preserve">Clasa „800 V”: invertoare / motoare de cel mult 800–850 V (YASA 800 V, EMRAX 830 V, Turntide 850 V)</t>
  </si>
  <si>
    <t xml:space="preserve">c_k_masa</t>
  </si>
  <si>
    <t xml:space="preserve">Masa maximă a bateriei / masa vehiculului</t>
  </si>
  <si>
    <t xml:space="preserve">Curs, P3 slide 9</t>
  </si>
  <si>
    <t xml:space="preserve">Celula Li-ion aleasă: Molicel INR-21700-P50B</t>
  </si>
  <si>
    <t xml:space="preserve">https://www.molicel.com/wp-content/uploads/4.TR%E7%B0%A1%E6%98%93%E8%A6%8F%E6%A0%BC_INR21700P50B_1.1_Product-Data-Sheet-of-INR-21700-P50B-80122.pdf</t>
  </si>
  <si>
    <t xml:space="preserve">cel_U_nom</t>
  </si>
  <si>
    <t xml:space="preserve">Tensiune nominală celulă</t>
  </si>
  <si>
    <t xml:space="preserve">Fișa tehnică Molicel P50B v1.1</t>
  </si>
  <si>
    <t xml:space="preserve">cel_U_max</t>
  </si>
  <si>
    <t xml:space="preserve">Tensiune maximă (încărcare)</t>
  </si>
  <si>
    <t xml:space="preserve">Tensiunea de încărcare</t>
  </si>
  <si>
    <t xml:space="preserve">cel_U_min</t>
  </si>
  <si>
    <t xml:space="preserve">Tensiune minimă (descărcare)</t>
  </si>
  <si>
    <t xml:space="preserve">Tensiunea de descărcare (cut-off)</t>
  </si>
  <si>
    <t xml:space="preserve">cel_Cap</t>
  </si>
  <si>
    <t xml:space="preserve">Capacitate nominală</t>
  </si>
  <si>
    <t xml:space="preserve">Ah</t>
  </si>
  <si>
    <t xml:space="preserve">Capacitate tipică 5000 mAh (minimă 4850 mAh); 18,0 Wh</t>
  </si>
  <si>
    <t xml:space="preserve">cel_m</t>
  </si>
  <si>
    <t xml:space="preserve">Masă celulă</t>
  </si>
  <si>
    <t xml:space="preserve">Masă maximă 71 g (18,0 Wh / 0,071 kg ≈ 254 Wh/kg)</t>
  </si>
  <si>
    <t xml:space="preserve">cel_I</t>
  </si>
  <si>
    <t xml:space="preserve">Curent maxim de descărcare continuă</t>
  </si>
  <si>
    <t xml:space="preserve">Descărcare continuă 60 A (cu limită de temperatură 80 °C)</t>
  </si>
  <si>
    <t xml:space="preserve">cel_kcp</t>
  </si>
  <si>
    <t xml:space="preserve">Raport masă celule / masă pachet</t>
  </si>
  <si>
    <t xml:space="preserve">Mediana pachetelor NMC (Koloch et al., World Electr. Veh. J. 16:484, 2025); intervalul tipic pentru celule cilindrice: 0,55–0,70</t>
  </si>
  <si>
    <t xml:space="preserve">P2 – Calculul puterii mașinii electrice (pașii 1–9)</t>
  </si>
  <si>
    <t xml:space="preserve">Strategie: se pleacă de la forțele rezistente pe vehicul: Ft → Mr → Pr → Pax. Simplificări: α = 0, Vv = 0, deplasare în linie dreaptă (Vr = V).</t>
  </si>
  <si>
    <t xml:space="preserve">Pas</t>
  </si>
  <si>
    <t xml:space="preserve">Simbol</t>
  </si>
  <si>
    <t xml:space="preserve">Formulă / observație</t>
  </si>
  <si>
    <t xml:space="preserve">Date de intrare (din documentare, S.I.)</t>
  </si>
  <si>
    <t xml:space="preserve">Masa vehiculului</t>
  </si>
  <si>
    <t xml:space="preserve">M</t>
  </si>
  <si>
    <t xml:space="preserve">medie / rândul GT 63</t>
  </si>
  <si>
    <t xml:space="preserve">Coeficient aerodinamic</t>
  </si>
  <si>
    <t xml:space="preserve">Suprafața frontală</t>
  </si>
  <si>
    <t xml:space="preserve">S</t>
  </si>
  <si>
    <t xml:space="preserve">m²</t>
  </si>
  <si>
    <t xml:space="preserve">Viteza maximă</t>
  </si>
  <si>
    <t xml:space="preserve">Vmax</t>
  </si>
  <si>
    <t xml:space="preserve">Accelerația medie 0–100 km/h (documentare)</t>
  </si>
  <si>
    <t xml:space="preserve">a_doc</t>
  </si>
  <si>
    <t xml:space="preserve">Puterea maximă declarată</t>
  </si>
  <si>
    <t xml:space="preserve">P_doc</t>
  </si>
  <si>
    <t xml:space="preserve">W</t>
  </si>
  <si>
    <t xml:space="preserve">Raza roții</t>
  </si>
  <si>
    <t xml:space="preserve">r</t>
  </si>
  <si>
    <t xml:space="preserve">Ipoteze</t>
  </si>
  <si>
    <t xml:space="preserve">Pașii 1–4: forța de tracțiune în punctul (Va, ta) și aderența</t>
  </si>
  <si>
    <t xml:space="preserve">1–2</t>
  </si>
  <si>
    <t xml:space="preserve">Va</t>
  </si>
  <si>
    <t xml:space="preserve">Va = 100 km/h (sfârșitul probei 0–100 km/h)</t>
  </si>
  <si>
    <t xml:space="preserve">2</t>
  </si>
  <si>
    <t xml:space="preserve">Timpul de accelerare (documentare)</t>
  </si>
  <si>
    <t xml:space="preserve">ta</t>
  </si>
  <si>
    <t xml:space="preserve">ta = Va / a</t>
  </si>
  <si>
    <t xml:space="preserve">3</t>
  </si>
  <si>
    <t xml:space="preserve">Forța de frecare la rulare</t>
  </si>
  <si>
    <t xml:space="preserve">Ff</t>
  </si>
  <si>
    <t xml:space="preserve">N</t>
  </si>
  <si>
    <t xml:space="preserve">Ff = µf·M·g·cos α</t>
  </si>
  <si>
    <t xml:space="preserve">Rezistența aerodinamică la Va</t>
  </si>
  <si>
    <t xml:space="preserve">Fra</t>
  </si>
  <si>
    <t xml:space="preserve">Fra = ½·ρ·S·Cx·(V − Vv)²</t>
  </si>
  <si>
    <t xml:space="preserve">Componenta tangențială a greutății</t>
  </si>
  <si>
    <t xml:space="preserve">Gt</t>
  </si>
  <si>
    <t xml:space="preserve">Gt = M·g·sin α</t>
  </si>
  <si>
    <t xml:space="preserve">Forța de inerție cu a_doc</t>
  </si>
  <si>
    <t xml:space="preserve">M·a</t>
  </si>
  <si>
    <t xml:space="preserve">Forța de tracțiune necesară</t>
  </si>
  <si>
    <t xml:space="preserve">Ft</t>
  </si>
  <si>
    <t xml:space="preserve">Ft = Fra + Ff + Gt + M·a</t>
  </si>
  <si>
    <t xml:space="preserve">4</t>
  </si>
  <si>
    <t xml:space="preserve">Forța de aderență</t>
  </si>
  <si>
    <t xml:space="preserve">Fa</t>
  </si>
  <si>
    <t xml:space="preserve">Fa = µa·M·g·cos α</t>
  </si>
  <si>
    <t xml:space="preserve">Coeficientul de aderență necesar pentru a_doc</t>
  </si>
  <si>
    <t xml:space="preserve">µ_nec</t>
  </si>
  <si>
    <t xml:space="preserve">µ_nec = Ft / (M·g·cos α)</t>
  </si>
  <si>
    <t xml:space="preserve">Aderența respectată? (Ft ≤ Fa)</t>
  </si>
  <si>
    <t xml:space="preserve">Dacă NU: Ft = Fa și se recalculează accelerația</t>
  </si>
  <si>
    <t xml:space="preserve">Accelerația realizabilă</t>
  </si>
  <si>
    <t xml:space="preserve">a</t>
  </si>
  <si>
    <t xml:space="preserve">a = (Fa − Fra − Ff − Gt)/M</t>
  </si>
  <si>
    <t xml:space="preserve">Forța de tracțiune de calcul</t>
  </si>
  <si>
    <t xml:space="preserve">Pasul 5: cuplul și puterea la roată; puterea la axul mașinii</t>
  </si>
  <si>
    <t xml:space="preserve">5</t>
  </si>
  <si>
    <t xml:space="preserve">Viteza unghiulară a roții la Va</t>
  </si>
  <si>
    <t xml:space="preserve">Ωr</t>
  </si>
  <si>
    <t xml:space="preserve">rad/s</t>
  </si>
  <si>
    <t xml:space="preserve">Ωr = Va / r</t>
  </si>
  <si>
    <t xml:space="preserve">Cuplul la roată (total)</t>
  </si>
  <si>
    <t xml:space="preserve">Mr</t>
  </si>
  <si>
    <t xml:space="preserve">Mr = r·Ft</t>
  </si>
  <si>
    <t xml:space="preserve">Puterea la roată</t>
  </si>
  <si>
    <t xml:space="preserve">Pr</t>
  </si>
  <si>
    <t xml:space="preserve">Pr = Mr·Ωr = Ft·Vr</t>
  </si>
  <si>
    <t xml:space="preserve">Puterea la axul mașinii electrice</t>
  </si>
  <si>
    <t xml:space="preserve">Pax</t>
  </si>
  <si>
    <t xml:space="preserve">Pax = Pr + Pp, Pp = Pax/100  ⇒  Pax = Pr/0,99</t>
  </si>
  <si>
    <t xml:space="preserve">Pierderi în reductor și transmisie</t>
  </si>
  <si>
    <t xml:space="preserve">Pp</t>
  </si>
  <si>
    <t xml:space="preserve">Pasul 6: reductorul și cuplul la axul mașinii</t>
  </si>
  <si>
    <t xml:space="preserve">6</t>
  </si>
  <si>
    <t xml:space="preserve">Viteza unghiulară a roții la Vmax</t>
  </si>
  <si>
    <t xml:space="preserve">Ωr,max</t>
  </si>
  <si>
    <t xml:space="preserve">Viteza unghiulară maximă a mașinii</t>
  </si>
  <si>
    <t xml:space="preserve">Ωax,max</t>
  </si>
  <si>
    <t xml:space="preserve">din n_max ales (Ipoteze)</t>
  </si>
  <si>
    <t xml:space="preserve">Raportul reductorului</t>
  </si>
  <si>
    <t xml:space="preserve">i_rd</t>
  </si>
  <si>
    <t xml:space="preserve">i_rd = Ωr / Ωax</t>
  </si>
  <si>
    <t xml:space="preserve">Raport de reducere (n_motor / n_roată)</t>
  </si>
  <si>
    <t xml:space="preserve">1/i_rd</t>
  </si>
  <si>
    <t xml:space="preserve">Viteza unghiulară a mașinii la Va (de bază)</t>
  </si>
  <si>
    <t xml:space="preserve">Ωax</t>
  </si>
  <si>
    <t xml:space="preserve">Turația de bază a mașinii</t>
  </si>
  <si>
    <t xml:space="preserve">n_b</t>
  </si>
  <si>
    <t xml:space="preserve">Cuplul maxim la axul mașinii</t>
  </si>
  <si>
    <t xml:space="preserve">Max</t>
  </si>
  <si>
    <t xml:space="preserve">Max = Pax / Ωax</t>
  </si>
  <si>
    <t xml:space="preserve">Pașii 7–9: rulare cu Vmax constantă (a = 0) – puterea nominală</t>
  </si>
  <si>
    <t xml:space="preserve">7</t>
  </si>
  <si>
    <t xml:space="preserve">Rezistența aerodinamică la Vmax</t>
  </si>
  <si>
    <t xml:space="preserve">Forța de tracțiune la Vmax</t>
  </si>
  <si>
    <t xml:space="preserve">Ft = Fra + Ff + Gt</t>
  </si>
  <si>
    <t xml:space="preserve">8</t>
  </si>
  <si>
    <t xml:space="preserve">Aderența respectată la Vmax?</t>
  </si>
  <si>
    <t xml:space="preserve">Dacă NU, se reduce Vmax până la Ft = Fa</t>
  </si>
  <si>
    <t xml:space="preserve">Viteza maximă de calcul</t>
  </si>
  <si>
    <t xml:space="preserve">Forța de tracțiune de calcul la Vmax</t>
  </si>
  <si>
    <t xml:space="preserve">Cuplul la roată la Vmax</t>
  </si>
  <si>
    <t xml:space="preserve">Puterea la roată la Vmax</t>
  </si>
  <si>
    <t xml:space="preserve">Puterea la axul mașinii la Vmax</t>
  </si>
  <si>
    <t xml:space="preserve">Cuplul la axul mașinii la Vmax</t>
  </si>
  <si>
    <t xml:space="preserve">9</t>
  </si>
  <si>
    <t xml:space="preserve">PUTEREA MAXIMĂ a mașinii electrice</t>
  </si>
  <si>
    <t xml:space="preserve">P_max</t>
  </si>
  <si>
    <t xml:space="preserve">din pasul 5</t>
  </si>
  <si>
    <t xml:space="preserve">PUTEREA NOMINALĂ a mașinii electrice</t>
  </si>
  <si>
    <t xml:space="preserve">P_nom</t>
  </si>
  <si>
    <t xml:space="preserve">din pasul 8</t>
  </si>
  <si>
    <t xml:space="preserve">Verificarea coerenței cu documentarea</t>
  </si>
  <si>
    <t xml:space="preserve">Pax cu accelerația documentată (fără limita de aderență)</t>
  </si>
  <si>
    <t xml:space="preserve">aceeași formulă cu a_doc</t>
  </si>
  <si>
    <t xml:space="preserve">Puterea maximă declarată (documentare)</t>
  </si>
  <si>
    <t xml:space="preserve">Max cu accelerația documentată (fără limita de aderență)</t>
  </si>
  <si>
    <t xml:space="preserve">Cuplul maxim declarat (documentare)</t>
  </si>
  <si>
    <t xml:space="preserve">Vmax / Va (domeniu de putere constantă necesar)</t>
  </si>
  <si>
    <t xml:space="preserve">P3 – Necesarul de energie electrică (pașii 1–14)</t>
  </si>
  <si>
    <t xml:space="preserve">Ciclu: accelerare cu a până la V1 = 50 km/h, rulare cu V1 constantă, decelerare (df = d1). Distanța totală a ciclului = autonomia medie din documentare.</t>
  </si>
  <si>
    <t xml:space="preserve">Date de intrare</t>
  </si>
  <si>
    <t xml:space="preserve">Cerința de autonomie</t>
  </si>
  <si>
    <t xml:space="preserve">d</t>
  </si>
  <si>
    <t xml:space="preserve">media din documentare</t>
  </si>
  <si>
    <t xml:space="preserve">Accelerația din sesiunea precedentă (P2: a = Va/ta)</t>
  </si>
  <si>
    <t xml:space="preserve">sesiunea precedentă (P2, pasul 4)</t>
  </si>
  <si>
    <t xml:space="preserve">Pașii 1–6: puterea P1 (cu a), P1' (fără a), timpul t1</t>
  </si>
  <si>
    <t xml:space="preserve">1</t>
  </si>
  <si>
    <t xml:space="preserve">Viteza constantă a ciclului</t>
  </si>
  <si>
    <t xml:space="preserve">V1</t>
  </si>
  <si>
    <t xml:space="preserve">V1 = 50 km/h</t>
  </si>
  <si>
    <t xml:space="preserve">Rezistența aerodinamică la V1</t>
  </si>
  <si>
    <t xml:space="preserve">Ft1 cu accelerația din P2</t>
  </si>
  <si>
    <t xml:space="preserve">Ft1</t>
  </si>
  <si>
    <t xml:space="preserve">Aderența respectată? (Ft1 ≤ Fa)</t>
  </si>
  <si>
    <t xml:space="preserve">Accelerația folosită</t>
  </si>
  <si>
    <t xml:space="preserve">Forța de tracțiune în (V1, t1)</t>
  </si>
  <si>
    <t xml:space="preserve">Ft1 = Fra + Ff + Gt + M·a</t>
  </si>
  <si>
    <t xml:space="preserve">Puterea P1 (cu accelerație)</t>
  </si>
  <si>
    <t xml:space="preserve">P1</t>
  </si>
  <si>
    <t xml:space="preserve">P1 = Ft1·V1</t>
  </si>
  <si>
    <t xml:space="preserve">Forța de tracțiune la V1 constantă</t>
  </si>
  <si>
    <t xml:space="preserve">Ft1'</t>
  </si>
  <si>
    <t xml:space="preserve">Ft1' = Fra + Ff + Gt</t>
  </si>
  <si>
    <t xml:space="preserve">Puterea P1' (fără accelerație)</t>
  </si>
  <si>
    <t xml:space="preserve">P1'</t>
  </si>
  <si>
    <t xml:space="preserve">P1' = Ft1'·V1</t>
  </si>
  <si>
    <t xml:space="preserve">Timpul de accelerare până la V1</t>
  </si>
  <si>
    <t xml:space="preserve">t1</t>
  </si>
  <si>
    <t xml:space="preserve">t1 = V1 / a</t>
  </si>
  <si>
    <t xml:space="preserve">Pașii 7–8: puterea medie și energia pe [0, t1]</t>
  </si>
  <si>
    <t xml:space="preserve">Puterea medie (aproximare)</t>
  </si>
  <si>
    <t xml:space="preserve">Pmed</t>
  </si>
  <si>
    <t xml:space="preserve">Pmed = (P0 + P1)/2, P0 = 0</t>
  </si>
  <si>
    <t xml:space="preserve">Puterea medie discretizată, n = 100</t>
  </si>
  <si>
    <t xml:space="preserve">P01-med</t>
  </si>
  <si>
    <t xml:space="preserve">(1/n)·Σ(i=1..n) Fti·Vti – începutul intervalelor (foaia P3 n=100)</t>
  </si>
  <si>
    <t xml:space="preserve">Energia W01-med, n = 100</t>
  </si>
  <si>
    <t xml:space="preserve">W01-med</t>
  </si>
  <si>
    <t xml:space="preserve">Ws</t>
  </si>
  <si>
    <t xml:space="preserve">W01-med = P01-med·t1</t>
  </si>
  <si>
    <t xml:space="preserve">Energia W01 discretizată, n = 100</t>
  </si>
  <si>
    <t xml:space="preserve">W01</t>
  </si>
  <si>
    <t xml:space="preserve">Σ(i=1..n+1) Pti·Δti – sfârșitul intervalelor (P(0) = 0)</t>
  </si>
  <si>
    <t xml:space="preserve">Puterea medie discretizată, n = 1000</t>
  </si>
  <si>
    <t xml:space="preserve">(1/n)·Σ(i=1..n) Fti·Vti – începutul intervalelor (foaia P3 n=1000)</t>
  </si>
  <si>
    <t xml:space="preserve">Energia W01-med, n = 1000</t>
  </si>
  <si>
    <t xml:space="preserve">Energia W01 discretizată, n = 1000</t>
  </si>
  <si>
    <t xml:space="preserve">Energia W01 exactă (integrală analitică)</t>
  </si>
  <si>
    <t xml:space="preserve">∫(A + B·v²)·v dt, v = a·t (Vv = 0)</t>
  </si>
  <si>
    <t xml:space="preserve">Eroarea W01-med pentru n = 100</t>
  </si>
  <si>
    <t xml:space="preserve">%</t>
  </si>
  <si>
    <t xml:space="preserve">subestimare</t>
  </si>
  <si>
    <t xml:space="preserve">Eroarea W01 pentru n = 100</t>
  </si>
  <si>
    <t xml:space="preserve">supraestimare</t>
  </si>
  <si>
    <t xml:space="preserve">Eroarea W01-med pentru n = 1000</t>
  </si>
  <si>
    <t xml:space="preserve">Eroarea W01 pentru n = 1000</t>
  </si>
  <si>
    <t xml:space="preserve">Energia cu puterea medie</t>
  </si>
  <si>
    <t xml:space="preserve">Wmed</t>
  </si>
  <si>
    <t xml:space="preserve">Wmed = Pmed·t1</t>
  </si>
  <si>
    <t xml:space="preserve">Energia W01-med folosită la comparație (n = 1000)</t>
  </si>
  <si>
    <t xml:space="preserve">Energia W01 folosită mai departe (n = 1000)</t>
  </si>
  <si>
    <t xml:space="preserve">Pașii 9–12: distanțe și energia mecanică pe ciclu</t>
  </si>
  <si>
    <t xml:space="preserve">Distanța de accelerare</t>
  </si>
  <si>
    <t xml:space="preserve">d1</t>
  </si>
  <si>
    <t xml:space="preserve">d1 = V1·t1/2</t>
  </si>
  <si>
    <t xml:space="preserve">10</t>
  </si>
  <si>
    <t xml:space="preserve">Distanța de decelerare</t>
  </si>
  <si>
    <t xml:space="preserve">df</t>
  </si>
  <si>
    <t xml:space="preserve">df = d1</t>
  </si>
  <si>
    <t xml:space="preserve">Distanța la viteză constantă</t>
  </si>
  <si>
    <t xml:space="preserve">d2</t>
  </si>
  <si>
    <t xml:space="preserve">autonomie = d1 + d2 + df</t>
  </si>
  <si>
    <t xml:space="preserve">Durata rulării cu V1</t>
  </si>
  <si>
    <t xml:space="preserve">t2 − t1</t>
  </si>
  <si>
    <t xml:space="preserve">t2 − t1 = d2 / V1</t>
  </si>
  <si>
    <t xml:space="preserve">Momentul t2</t>
  </si>
  <si>
    <t xml:space="preserve">t2</t>
  </si>
  <si>
    <t xml:space="preserve">Durata totală a ciclului</t>
  </si>
  <si>
    <t xml:space="preserve">tf</t>
  </si>
  <si>
    <t xml:space="preserve">decelerare simetrică</t>
  </si>
  <si>
    <t xml:space="preserve">11</t>
  </si>
  <si>
    <t xml:space="preserve">Energia la viteză constantă</t>
  </si>
  <si>
    <t xml:space="preserve">W12</t>
  </si>
  <si>
    <t xml:space="preserve">W12 = P1'·(t2 − t1)</t>
  </si>
  <si>
    <t xml:space="preserve">12</t>
  </si>
  <si>
    <t xml:space="preserve">Energia recuperabilă la decelerare</t>
  </si>
  <si>
    <t xml:space="preserve">W2f</t>
  </si>
  <si>
    <t xml:space="preserve">W2f = W01</t>
  </si>
  <si>
    <t xml:space="preserve">Energia mecanică pe ciclu</t>
  </si>
  <si>
    <t xml:space="preserve">Wmec</t>
  </si>
  <si>
    <t xml:space="preserve">Wmec = W01 + W12 − W2f</t>
  </si>
  <si>
    <t xml:space="preserve">Pașii 13–14: energia electrică în baterie</t>
  </si>
  <si>
    <t xml:space="preserve">13</t>
  </si>
  <si>
    <t xml:space="preserve">Energia electrică stocată necesară</t>
  </si>
  <si>
    <t xml:space="preserve">Wstocată</t>
  </si>
  <si>
    <t xml:space="preserve">W01/η + W12/η − η·W2f</t>
  </si>
  <si>
    <t xml:space="preserve">14</t>
  </si>
  <si>
    <t xml:space="preserve">Energia totală în baterie (rezervă 30 %)</t>
  </si>
  <si>
    <t xml:space="preserve">Wbat</t>
  </si>
  <si>
    <t xml:space="preserve">Wbat = Wstocată + 0,3·Wbat</t>
  </si>
  <si>
    <t xml:space="preserve">Energia totală în baterie</t>
  </si>
  <si>
    <t xml:space="preserve">Energia stocată necesară</t>
  </si>
  <si>
    <t xml:space="preserve">Consum echivalent al ciclului</t>
  </si>
  <si>
    <t xml:space="preserve">Consum mediu din documentare</t>
  </si>
  <si>
    <t xml:space="preserve">media WLTP (CLTC exclus)</t>
  </si>
  <si>
    <t xml:space="preserve">Capacitatea bateriei din documentare</t>
  </si>
  <si>
    <t xml:space="preserve">P3 – discretizarea intervalului [0, t1] în n = 100 intervale egale</t>
  </si>
  <si>
    <t xml:space="preserve">Indicii ca în curs (și în Matlab): i = 1 … n+1, t_i = (i − 1)·Δt. P01-med = (1/n)·Σ(i=1..n) Fti·Vti folosește valorile de la începutul intervalelor; W01 = Σ(i=1..n+1) Pti·Δt, cu P(t_1) = 0, folosește valorile de la sfârșitul intervalelor. Cele două sume încadrează valoarea exactă.</t>
  </si>
  <si>
    <t xml:space="preserve">GT 63</t>
  </si>
  <si>
    <t xml:space="preserve">P01-med [W]</t>
  </si>
  <si>
    <t xml:space="preserve">W01 [Ws]</t>
  </si>
  <si>
    <t xml:space="preserve">Δt [s]</t>
  </si>
  <si>
    <t xml:space="preserve">a [m/s²]</t>
  </si>
  <si>
    <t xml:space="preserve">i</t>
  </si>
  <si>
    <t xml:space="preserve">t_i [s]</t>
  </si>
  <si>
    <t xml:space="preserve">V_ti [m/s]</t>
  </si>
  <si>
    <t xml:space="preserve">F_ti [N]</t>
  </si>
  <si>
    <t xml:space="preserve">P_ti [W]</t>
  </si>
  <si>
    <t xml:space="preserve">P3 – discretizarea intervalului [0, t1] în n = 1000 intervale egale</t>
  </si>
  <si>
    <t xml:space="preserve">P3 – Calculul bateriei electrice (celule Li-ion)</t>
  </si>
  <si>
    <t xml:space="preserve">W_celulă = Cap·U; N = Wbat / W_celulă. Serie → tensiunea bateriei; paralel → curentul și capacitatea. Limitare: masa bateriei ≤ 30 % din masa vehiculului.</t>
  </si>
  <si>
    <t xml:space="preserve">Energia necesară în baterie (P3, pasul 14)</t>
  </si>
  <si>
    <t xml:space="preserve">Puterea maximă la axul mașinii (P2, pasul 5)</t>
  </si>
  <si>
    <t xml:space="preserve">Numărul de celule</t>
  </si>
  <si>
    <t xml:space="preserve">Energia unei celule</t>
  </si>
  <si>
    <t xml:space="preserve">W_celulă</t>
  </si>
  <si>
    <t xml:space="preserve">Cap [Ah→As] × U [V]</t>
  </si>
  <si>
    <t xml:space="preserve">Numărul minim de celule (energie)</t>
  </si>
  <si>
    <t xml:space="preserve">N_min</t>
  </si>
  <si>
    <t xml:space="preserve">Celule în serie</t>
  </si>
  <si>
    <t xml:space="preserve">Ns</t>
  </si>
  <si>
    <t xml:space="preserve">Ns·U_max celulă ≤ tensiunea maximă admisă</t>
  </si>
  <si>
    <t xml:space="preserve">Tensiunea nominală a bateriei</t>
  </si>
  <si>
    <t xml:space="preserve">U_bat</t>
  </si>
  <si>
    <t xml:space="preserve">Tensiunea maximă (complet încărcată)</t>
  </si>
  <si>
    <t xml:space="preserve">Tensiunea minimă (descărcată)</t>
  </si>
  <si>
    <t xml:space="preserve">Ramuri în paralel – din energie</t>
  </si>
  <si>
    <t xml:space="preserve">Np</t>
  </si>
  <si>
    <t xml:space="preserve">Puterea electrică maximă cerută bateriei</t>
  </si>
  <si>
    <t xml:space="preserve">P_max / η</t>
  </si>
  <si>
    <t xml:space="preserve">Curentul bateriei la P_max și tensiunea nominală</t>
  </si>
  <si>
    <t xml:space="preserve">I_bat</t>
  </si>
  <si>
    <t xml:space="preserve">Curentul maxim al bateriei (la tensiunea minimă)</t>
  </si>
  <si>
    <t xml:space="preserve">I_bat,max</t>
  </si>
  <si>
    <t xml:space="preserve">caz defavorabil: baterie aproape descărcată</t>
  </si>
  <si>
    <t xml:space="preserve">Ramuri în paralel – din curent</t>
  </si>
  <si>
    <t xml:space="preserve">Ramuri în paralel (alese)</t>
  </si>
  <si>
    <t xml:space="preserve">Numărul total de celule</t>
  </si>
  <si>
    <t xml:space="preserve">Capacitatea bateriei</t>
  </si>
  <si>
    <t xml:space="preserve">Curentul pe celulă la P_max și U_min</t>
  </si>
  <si>
    <t xml:space="preserve">max. cel_I (fișa celulei)</t>
  </si>
  <si>
    <t xml:space="preserve">Curentul pe celulă la P_max și U_nom</t>
  </si>
  <si>
    <t xml:space="preserve">verificare informativă</t>
  </si>
  <si>
    <t xml:space="preserve">Curentul pe celulă la P_doc și U_nom</t>
  </si>
  <si>
    <t xml:space="preserve">Curentul pe celulă la P_doc și U_min</t>
  </si>
  <si>
    <t xml:space="preserve">&gt; cel_I ⇒ puterea declarată nu poate fi livrată la descărcare avansată</t>
  </si>
  <si>
    <t xml:space="preserve">Verificarea masei</t>
  </si>
  <si>
    <t xml:space="preserve">Masa celulelor</t>
  </si>
  <si>
    <t xml:space="preserve">Masa estimată a pachetului</t>
  </si>
  <si>
    <t xml:space="preserve">celule / raport celule-pachet</t>
  </si>
  <si>
    <t xml:space="preserve">Limita: 30 % din masa vehiculului</t>
  </si>
  <si>
    <t xml:space="preserve">Masa celulelor / masa vehiculului</t>
  </si>
  <si>
    <t xml:space="preserve">Masa pachetului / masa vehiculului</t>
  </si>
  <si>
    <t xml:space="preserve">Limita de 30 % respectată (pachet)?</t>
  </si>
  <si>
    <t xml:space="preserve">Surse pentru datele de intrare (accesate 07–14.10.2026)</t>
  </si>
  <si>
    <t xml:space="preserve">Element</t>
  </si>
  <si>
    <t xml:space="preserve">Sursă</t>
  </si>
  <si>
    <t xml:space="preserve">URL</t>
  </si>
  <si>
    <t xml:space="preserve">Date vehicule: putere, v_max, 0–100, masă, cuplu, baterie, Cx</t>
  </si>
  <si>
    <t xml:space="preserve">Etapa 1 – sursele din etapa1-documentare/CCA_Etapa1_Documentare.xlsx, foaia Surse</t>
  </si>
  <si>
    <t xml:space="preserve">../etapa1-documentare/README.md</t>
  </si>
  <si>
    <t xml:space="preserve">GT 63 – autonomie WLTP 596–696 km, consum 17,9–21,0, S = 2,44 m²</t>
  </si>
  <si>
    <t xml:space="preserve">Mercedes-Benz Media – comunicat de lansare (tabel tehnic)</t>
  </si>
  <si>
    <t xml:space="preserve">https://media.mercedes-benz.com/en/article/c8b7109f-2287-4070-b776-9204da1513ef</t>
  </si>
  <si>
    <t xml:space="preserve">Porsche Taycan Turbo GT Weissach – WLTP 538–555 km, anvelope, S = 2,35 m²</t>
  </si>
  <si>
    <t xml:space="preserve">Porsche – fișă tehnică (PDF)</t>
  </si>
  <si>
    <t xml:space="preserve">https://newsroom.porsche.com/dam/jcr:c96cbebc-3745-4700-b385-981a9c4fe91d/pag-taycan-turbo-gt-weissachpaket-td-en.pdf</t>
  </si>
  <si>
    <t xml:space="preserve">Audi RS e-tron GT performance – WLTP 533–592 km, anvelope, S = 2,35 m²</t>
  </si>
  <si>
    <t xml:space="preserve">Audi MediaCenter – date tehnice (PDF)</t>
  </si>
  <si>
    <t xml:space="preserve">https://uploads.audi-mediacenter.com/system/production/car_motorizations/1392/file_en/91bfc69ec55530e277b5023245b77c1c82772920/eTD-Audi-RS-e-tron-GT-performance-550kW_250515.pdf</t>
  </si>
  <si>
    <t xml:space="preserve">Lotus Emeya R – WLTP 435–485 km</t>
  </si>
  <si>
    <t xml:space="preserve">Lotus – presă, specificații tehnice Emeya</t>
  </si>
  <si>
    <t xml:space="preserve">https://www.lotuscars.com/en/press/models/emeya</t>
  </si>
  <si>
    <t xml:space="preserve">Tesla Model S Plaid – WLTP 600–611 km, 18,0–18,7 kWh/100 km (S)</t>
  </si>
  <si>
    <t xml:space="preserve">EV Database (sursă secundară; tesla.com nu a putut fi accesat)</t>
  </si>
  <si>
    <t xml:space="preserve">https://ev-database.org/car/3384/Tesla-Model-S-Plaid</t>
  </si>
  <si>
    <t xml:space="preserve">Lucid Air Sapphire – WLTP 694 km, 19,1 kWh/100 km</t>
  </si>
  <si>
    <t xml:space="preserve">Lucid – pagina Air (Germania)</t>
  </si>
  <si>
    <t xml:space="preserve">https://lucidmotors.com/de-de/air</t>
  </si>
  <si>
    <t xml:space="preserve">Lucid Air Sapphire – anvelope 295/30R21 spate</t>
  </si>
  <si>
    <t xml:space="preserve">Lucid – fișă tehnică 2024 (PDF)</t>
  </si>
  <si>
    <t xml:space="preserve">https://lucidmotors.com/media/document/lucid-air-sapphire-technical-specs-2024.pdf</t>
  </si>
  <si>
    <t xml:space="preserve">Xiaomi SU7 Ultra – CLTC 555–630 km</t>
  </si>
  <si>
    <t xml:space="preserve">Xiaomi – tabel de parametri SU7 Ultra</t>
  </si>
  <si>
    <t xml:space="preserve">https://www.xiaomiev.com/car-config?carItemId=500010402</t>
  </si>
  <si>
    <t xml:space="preserve">Xiaomi SU7 Ultra – consum 16,5 kWh/100 km CLTC (S)</t>
  </si>
  <si>
    <t xml:space="preserve">CarNewsChina – baza de date</t>
  </si>
  <si>
    <t xml:space="preserve">https://data.carnewschina.com/xiaomi-auto/su7-ultra/2025/params</t>
  </si>
  <si>
    <t xml:space="preserve">Yangwang U9 – CLTC 450 km</t>
  </si>
  <si>
    <t xml:space="preserve">Yangwang – broșura U9 (PDF, 23.12.2025)</t>
  </si>
  <si>
    <t xml:space="preserve">https://www.yangwangauto.com/material/yangwang_cn/images/u9/2025-12-23/U9%E8%BD%A6%E4%B9%A620251223.pdf</t>
  </si>
  <si>
    <t xml:space="preserve">Rimac Nevera – WLTP 489 km, 30,0 kWh/100 km, anvelope 315/35 R20</t>
  </si>
  <si>
    <t xml:space="preserve">Rimac – pagina Nevera</t>
  </si>
  <si>
    <t xml:space="preserve">https://www.rimac-automobili.com/nevera/</t>
  </si>
  <si>
    <t xml:space="preserve">Maserati GranTurismo Folgore – WLTP 450–459 km, 21,9–22,3 kWh/100 km (S)</t>
  </si>
  <si>
    <t xml:space="preserve">EV Database (sursă secundară; maserati.com nu a putut fi accesat)</t>
  </si>
  <si>
    <t xml:space="preserve">https://ev-database.org/car/1803/Maserati-GranTurismo-Folgore</t>
  </si>
  <si>
    <t xml:space="preserve">Celula Molicel INR-21700-P50B</t>
  </si>
  <si>
    <t xml:space="preserve">Molicel – Product Data Sheet v1.1 (PDF)</t>
  </si>
  <si>
    <t xml:space="preserve">Celule analizate: Molicel P45B</t>
  </si>
  <si>
    <t xml:space="preserve">Molicel – Product Data Sheet v1.4 (PDF)</t>
  </si>
  <si>
    <t xml:space="preserve">https://www.molicel.com/wp-content/uploads/INR21700P45B_1.4_Product-Data-Sheet-of-INR-21700-P45B-80109.pdf</t>
  </si>
  <si>
    <t xml:space="preserve">GT 63 – anvelope 265/40 R20 față, 295/40 R20 spate (S)</t>
  </si>
  <si>
    <t xml:space="preserve">ADAC Autokatalog (date ale producătorului, sursă secundară)</t>
  </si>
  <si>
    <t xml:space="preserve">https://www.adac.de/rund-ums-fahrzeug/autokatalog/marken-modelle/mercedes-benz/amg-gt-4-tuerer-coupe/590/351152/</t>
  </si>
  <si>
    <t xml:space="preserve">ρ = 1,2923 kg/m³ la 0 °C și 101 325 Pa</t>
  </si>
  <si>
    <t xml:space="preserve">Wikipedia (de) – Luftdichte, tabelul densitate–temperatură</t>
  </si>
  <si>
    <t xml:space="preserve">https://de.wikipedia.org/wiki/Luftdichte</t>
  </si>
  <si>
    <t xml:space="preserve">µf: f = 0,01·(1 + V/160); µa pe asfalt uscat 0,85 (50 km/h) / 0,8 (90 km/h)</t>
  </si>
  <si>
    <t xml:space="preserve">NPTEL – Introduction to Hybrid and Electric Vehicles, modulul 2, lecția 3 (după Ehsani, 2005)</t>
  </si>
  <si>
    <t xml:space="preserve">https://archive.nptel.ac.in/content/storage2/courses/108103009/module2/lec3/8.html</t>
  </si>
  <si>
    <t xml:space="preserve">µa maxim măsurat pe asfalt uscat ≈ 1,1–1,2</t>
  </si>
  <si>
    <t xml:space="preserve">TRL PPR 496 – Comparison of motorcycle and car tyre/road friction</t>
  </si>
  <si>
    <t xml:space="preserve">https://www.trl.co.uk/uploads/trl/documents/PPR496.pdf</t>
  </si>
  <si>
    <t xml:space="preserve">η: pierderi ale acționării electrice 15–20 %</t>
  </si>
  <si>
    <t xml:space="preserve">U.S. DOE / EPA – Where the Energy Goes: Electric Cars</t>
  </si>
  <si>
    <t xml:space="preserve">https://www.fueleconomy.gov/feg/atv-ev.shtml</t>
  </si>
  <si>
    <t xml:space="preserve">Raportul masă celule / masă pachet ≈ 0,63 (mediana NMC)</t>
  </si>
  <si>
    <t xml:space="preserve">Koloch et al., World Electric Vehicle Journal 16(9):484, 2025</t>
  </si>
  <si>
    <t xml:space="preserve">https://doi.org/10.3390/wevj16090484</t>
  </si>
  <si>
    <t xml:space="preserve">Raportul masă celule / masă pachet, celule cilindrice 0,48–0,67</t>
  </si>
  <si>
    <t xml:space="preserve">Löbberding et al., World Electric Vehicle Journal 11(4):77, 2020</t>
  </si>
  <si>
    <t xml:space="preserve">https://doi.org/10.3390/wevj11040077</t>
  </si>
  <si>
    <t xml:space="preserve">Motoare YASA YM720 / YM360</t>
  </si>
  <si>
    <t xml:space="preserve">YASA – Series motors (pagina producătorului)</t>
  </si>
  <si>
    <t xml:space="preserve">https://yasa.com/yasa-series-motors/</t>
  </si>
  <si>
    <t xml:space="preserve">Motor Turntide AF300D</t>
  </si>
  <si>
    <t xml:space="preserve">Turntide – Axial flux motors</t>
  </si>
  <si>
    <t xml:space="preserve">https://turntide.com/products/motors/</t>
  </si>
  <si>
    <t xml:space="preserve">Motor Helix SPM177</t>
  </si>
  <si>
    <t xml:space="preserve">Helix – SPM177 electric motor</t>
  </si>
  <si>
    <t xml:space="preserve">https://www.ehelix.com/products/spm177-electric-motor/</t>
  </si>
  <si>
    <t xml:space="preserve">Motor EMRAX 348</t>
  </si>
  <si>
    <t xml:space="preserve">EMRAX – fișă tehnică v1.7 (PDF)</t>
  </si>
  <si>
    <t xml:space="preserve">https://emrax.com/wp-content/uploads/2026/08/EMRAX_348_datasheet_v1.7.pdf</t>
  </si>
  <si>
    <t xml:space="preserve">Motor Equipmake APM-200</t>
  </si>
  <si>
    <t xml:space="preserve">Equipmake – APM-200</t>
  </si>
  <si>
    <t xml:space="preserve">https://equipmake.com/products/apm-200/</t>
  </si>
  <si>
    <t xml:space="preserve">Metoda de calcul</t>
  </si>
  <si>
    <t xml:space="preserve">Suport curs CCA – Proiect P2 (07.10.2026) și P3 (14.10.2026)</t>
  </si>
  <si>
    <t xml:space="preserve">–</t>
  </si>
  <si>
    <t xml:space="preserve">(S) = sursă secundară</t>
  </si>
  <si>
    <t xml:space="preserve">Pagina producătorului nu a putut fi accesată sau nu publică valoarea; s-a folosit o bază de date sau o publicație independentă</t>
  </si>
</sst>
</file>

<file path=xl/styles.xml><?xml version="1.0" encoding="utf-8"?>
<styleSheet xmlns="http://schemas.openxmlformats.org/spreadsheetml/2006/main">
  <numFmts count="11">
    <numFmt numFmtId="164" formatCode="General"/>
    <numFmt numFmtId="165" formatCode="0.000"/>
    <numFmt numFmtId="166" formatCode="0.000E+00"/>
    <numFmt numFmtId="167" formatCode="0.00"/>
    <numFmt numFmtId="168" formatCode="General"/>
    <numFmt numFmtId="169" formatCode="@"/>
    <numFmt numFmtId="170" formatCode="0.0"/>
    <numFmt numFmtId="171" formatCode="0"/>
    <numFmt numFmtId="172" formatCode="0.00000"/>
    <numFmt numFmtId="173" formatCode="0.0000"/>
    <numFmt numFmtId="174" formatCode="0.00000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55555"/>
      <name val="Arial"/>
      <family val="0"/>
      <charset val="1"/>
    </font>
    <font>
      <b val="true"/>
      <sz val="10"/>
      <color rgb="FFFFFFFF"/>
      <name val="Arial"/>
      <family val="0"/>
      <charset val="1"/>
    </font>
    <font>
      <sz val="10"/>
      <name val="Arial"/>
      <family val="0"/>
      <charset val="1"/>
    </font>
    <font>
      <sz val="10"/>
      <color rgb="FF0000FF"/>
      <name val="Arial"/>
      <family val="0"/>
      <charset val="1"/>
    </font>
    <font>
      <b val="true"/>
      <sz val="10"/>
      <name val="Arial"/>
      <family val="0"/>
      <charset val="1"/>
    </font>
    <font>
      <u val="single"/>
      <sz val="10"/>
      <color rgb="FF0563C1"/>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2CC"/>
        <bgColor rgb="FFE2EFDA"/>
      </patternFill>
    </fill>
    <fill>
      <patternFill patternType="solid">
        <fgColor rgb="FFE2EFDA"/>
        <bgColor rgb="FFFFF2CC"/>
      </patternFill>
    </fill>
  </fills>
  <borders count="2">
    <border diagonalUp="false" diagonalDown="false">
      <left/>
      <right/>
      <top/>
      <bottom/>
      <diagonal/>
    </border>
    <border diagonalUp="false" diagonalDown="false">
      <left style="thin">
        <color rgb="FFA6A6A6"/>
      </left>
      <right style="thin">
        <color rgb="FFA6A6A6"/>
      </right>
      <top style="thin">
        <color rgb="FFA6A6A6"/>
      </top>
      <bottom style="thin">
        <color rgb="FFA6A6A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5" fontId="8" fillId="3" borderId="1" xfId="0" applyFont="true" applyBorder="true" applyAlignment="true" applyProtection="false">
      <alignment horizontal="general" vertical="top" textRotation="0" wrapText="true" indent="0" shrinkToFit="false"/>
      <protection locked="true" hidden="false"/>
    </xf>
    <xf numFmtId="166" fontId="7" fillId="3" borderId="1" xfId="0" applyFont="true" applyBorder="true" applyAlignment="true" applyProtection="false">
      <alignment horizontal="general" vertical="top" textRotation="0" wrapText="true" indent="0" shrinkToFit="false"/>
      <protection locked="true" hidden="false"/>
    </xf>
    <xf numFmtId="167" fontId="7" fillId="3" borderId="1" xfId="0" applyFont="true" applyBorder="true" applyAlignment="true" applyProtection="false">
      <alignment horizontal="general" vertical="top" textRotation="0" wrapText="true" indent="0" shrinkToFit="false"/>
      <protection locked="true" hidden="false"/>
    </xf>
    <xf numFmtId="165" fontId="7"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general" vertical="top" textRotation="0" wrapText="true" indent="0" shrinkToFit="false"/>
      <protection locked="true" hidden="false"/>
    </xf>
    <xf numFmtId="167"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8" fontId="9" fillId="4" borderId="1" xfId="0" applyFont="true" applyBorder="true" applyAlignment="false" applyProtection="false">
      <alignment horizontal="general" vertical="bottom" textRotation="0" wrapText="false" indent="0" shrinkToFit="false"/>
      <protection locked="true" hidden="false"/>
    </xf>
    <xf numFmtId="165" fontId="9" fillId="4" borderId="1" xfId="0" applyFont="true" applyBorder="true" applyAlignment="false" applyProtection="false">
      <alignment horizontal="general" vertical="bottom" textRotation="0" wrapText="false" indent="0" shrinkToFit="false"/>
      <protection locked="true" hidden="false"/>
    </xf>
    <xf numFmtId="166" fontId="9" fillId="4" borderId="1" xfId="0" applyFont="true" applyBorder="true" applyAlignment="false" applyProtection="false">
      <alignment horizontal="general" vertical="bottom" textRotation="0" wrapText="false" indent="0" shrinkToFit="false"/>
      <protection locked="true" hidden="false"/>
    </xf>
    <xf numFmtId="167" fontId="9" fillId="4"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9" fontId="9" fillId="0" borderId="1" xfId="0" applyFont="true" applyBorder="true" applyAlignment="true" applyProtection="false">
      <alignment horizontal="right" vertical="bottom" textRotation="0" wrapText="false" indent="0" shrinkToFit="false"/>
      <protection locked="true" hidden="false"/>
    </xf>
    <xf numFmtId="170" fontId="9" fillId="0" borderId="1" xfId="0" applyFont="true" applyBorder="true" applyAlignment="true" applyProtection="false">
      <alignment horizontal="right" vertical="bottom" textRotation="0" wrapText="false" indent="0" shrinkToFit="false"/>
      <protection locked="true" hidden="false"/>
    </xf>
    <xf numFmtId="171" fontId="9" fillId="0" borderId="1" xfId="0" applyFont="true" applyBorder="true" applyAlignment="true" applyProtection="false">
      <alignment horizontal="right" vertical="bottom" textRotation="0" wrapText="false" indent="0" shrinkToFit="false"/>
      <protection locked="true" hidden="false"/>
    </xf>
    <xf numFmtId="172" fontId="9" fillId="0" borderId="1" xfId="0" applyFont="true" applyBorder="true" applyAlignment="true" applyProtection="false">
      <alignment horizontal="right" vertical="bottom" textRotation="0" wrapText="false" indent="0" shrinkToFit="false"/>
      <protection locked="true" hidden="false"/>
    </xf>
    <xf numFmtId="165" fontId="9" fillId="0" borderId="1" xfId="0" applyFont="true" applyBorder="true" applyAlignment="true" applyProtection="false">
      <alignment horizontal="right" vertical="bottom" textRotation="0" wrapText="false" indent="0" shrinkToFit="false"/>
      <protection locked="true" hidden="false"/>
    </xf>
    <xf numFmtId="167" fontId="9" fillId="0" borderId="1" xfId="0" applyFont="true" applyBorder="true" applyAlignment="true" applyProtection="false">
      <alignment horizontal="right"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70" fontId="7"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73" fontId="7" fillId="0" borderId="1" xfId="0" applyFont="true" applyBorder="true" applyAlignment="true" applyProtection="false">
      <alignment horizontal="general" vertical="top" textRotation="0" wrapText="true" indent="0" shrinkToFit="false"/>
      <protection locked="true" hidden="false"/>
    </xf>
    <xf numFmtId="171" fontId="7" fillId="0" borderId="1" xfId="0" applyFont="true" applyBorder="true" applyAlignment="true" applyProtection="false">
      <alignment horizontal="general" vertical="top" textRotation="0" wrapText="true" indent="0" shrinkToFit="false"/>
      <protection locked="true" hidden="false"/>
    </xf>
    <xf numFmtId="169" fontId="7" fillId="0" borderId="1" xfId="0" applyFont="true" applyBorder="true" applyAlignment="true" applyProtection="false">
      <alignment horizontal="general" vertical="top" textRotation="0" wrapText="true" indent="0" shrinkToFit="false"/>
      <protection locked="true" hidden="false"/>
    </xf>
    <xf numFmtId="165" fontId="9" fillId="4" borderId="1" xfId="0" applyFont="true" applyBorder="true" applyAlignment="true" applyProtection="false">
      <alignment horizontal="general" vertical="top" textRotation="0" wrapText="true" indent="0" shrinkToFit="false"/>
      <protection locked="true" hidden="false"/>
    </xf>
    <xf numFmtId="171" fontId="9" fillId="4" borderId="1" xfId="0" applyFont="true" applyBorder="true" applyAlignment="true" applyProtection="false">
      <alignment horizontal="general" vertical="top" textRotation="0" wrapText="true" indent="0" shrinkToFit="false"/>
      <protection locked="true" hidden="false"/>
    </xf>
    <xf numFmtId="172" fontId="9" fillId="4" borderId="1" xfId="0" applyFont="true" applyBorder="true" applyAlignment="true" applyProtection="false">
      <alignment horizontal="general" vertical="top" textRotation="0" wrapText="true" indent="0" shrinkToFit="false"/>
      <protection locked="true" hidden="false"/>
    </xf>
    <xf numFmtId="170" fontId="9" fillId="4" borderId="1" xfId="0" applyFont="true" applyBorder="true" applyAlignment="true" applyProtection="false">
      <alignment horizontal="general" vertical="top" textRotation="0" wrapText="true" indent="0" shrinkToFit="false"/>
      <protection locked="true" hidden="false"/>
    </xf>
    <xf numFmtId="167" fontId="9" fillId="4" borderId="1" xfId="0" applyFont="true" applyBorder="true" applyAlignment="true" applyProtection="false">
      <alignment horizontal="general" vertical="top" textRotation="0" wrapText="true" indent="0" shrinkToFit="false"/>
      <protection locked="true" hidden="false"/>
    </xf>
    <xf numFmtId="166" fontId="9" fillId="4" borderId="1" xfId="0" applyFont="true" applyBorder="true" applyAlignment="true" applyProtection="false">
      <alignment horizontal="general" vertical="top" textRotation="0" wrapText="tru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74" fontId="9"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74" fontId="7" fillId="0" borderId="0" xfId="0" applyFont="true" applyBorder="false" applyAlignment="false" applyProtection="false">
      <alignment horizontal="general" vertical="bottom" textRotation="0" wrapText="false" indent="0" shrinkToFit="false"/>
      <protection locked="true" hidden="false"/>
    </xf>
    <xf numFmtId="173" fontId="7"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55555"/>
      <rgbColor rgb="FFA6A6A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www.molicel.com/wp-content/uploads/4.TR&#31777;&#26131;&#35215;&#26684;_INR21700P50B_1.1_Product-Data-Sheet-of-INR-21700-P50B-80122.pdf" TargetMode="External"/>
</Relationships>
</file>

<file path=xl/worksheets/_rels/sheet9.xml.rels><?xml version="1.0" encoding="UTF-8"?>
<Relationships xmlns="http://schemas.openxmlformats.org/package/2006/relationships"><Relationship Id="rId1" Type="http://schemas.openxmlformats.org/officeDocument/2006/relationships/hyperlink" Target="https://media.mercedes-benz.com/en/article/c8b7109f-2287-4070-b776-9204da1513ef" TargetMode="External"/><Relationship Id="rId2" Type="http://schemas.openxmlformats.org/officeDocument/2006/relationships/hyperlink" Target="https://newsroom.porsche.com/dam/jcr:c96cbebc-3745-4700-b385-981a9c4fe91d/pag-taycan-turbo-gt-weissachpaket-td-en.pdf" TargetMode="External"/><Relationship Id="rId3" Type="http://schemas.openxmlformats.org/officeDocument/2006/relationships/hyperlink" Target="https://uploads.audi-mediacenter.com/system/production/car_motorizations/1392/file_en/91bfc69ec55530e277b5023245b77c1c82772920/eTD-Audi-RS-e-tron-GT-performance-550kW_250515.pdf" TargetMode="External"/><Relationship Id="rId4" Type="http://schemas.openxmlformats.org/officeDocument/2006/relationships/hyperlink" Target="https://www.lotuscars.com/en/press/models/emeya" TargetMode="External"/><Relationship Id="rId5" Type="http://schemas.openxmlformats.org/officeDocument/2006/relationships/hyperlink" Target="https://ev-database.org/car/3384/Tesla-Model-S-Plaid" TargetMode="External"/><Relationship Id="rId6" Type="http://schemas.openxmlformats.org/officeDocument/2006/relationships/hyperlink" Target="https://lucidmotors.com/de-de/air" TargetMode="External"/><Relationship Id="rId7" Type="http://schemas.openxmlformats.org/officeDocument/2006/relationships/hyperlink" Target="https://lucidmotors.com/media/document/lucid-air-sapphire-technical-specs-2024.pdf" TargetMode="External"/><Relationship Id="rId8" Type="http://schemas.openxmlformats.org/officeDocument/2006/relationships/hyperlink" Target="https://www.xiaomiev.com/car-config?carItemId=500010402" TargetMode="External"/><Relationship Id="rId9" Type="http://schemas.openxmlformats.org/officeDocument/2006/relationships/hyperlink" Target="https://data.carnewschina.com/xiaomi-auto/su7-ultra/2025/params" TargetMode="External"/><Relationship Id="rId10" Type="http://schemas.openxmlformats.org/officeDocument/2006/relationships/hyperlink" Target="https://www.yangwangauto.com/material/yangwang_cn/images/u9/2025-12-23/U9&#36710;&#20070;20251223.pdf" TargetMode="External"/><Relationship Id="rId11" Type="http://schemas.openxmlformats.org/officeDocument/2006/relationships/hyperlink" Target="https://www.rimac-automobili.com/nevera/" TargetMode="External"/><Relationship Id="rId12" Type="http://schemas.openxmlformats.org/officeDocument/2006/relationships/hyperlink" Target="https://ev-database.org/car/1803/Maserati-GranTurismo-Folgore" TargetMode="External"/><Relationship Id="rId13" Type="http://schemas.openxmlformats.org/officeDocument/2006/relationships/hyperlink" Target="https://www.molicel.com/wp-content/uploads/4.TR&#31777;&#26131;&#35215;&#26684;_INR21700P50B_1.1_Product-Data-Sheet-of-INR-21700-P50B-80122.pdf" TargetMode="External"/><Relationship Id="rId14" Type="http://schemas.openxmlformats.org/officeDocument/2006/relationships/hyperlink" Target="https://www.molicel.com/wp-content/uploads/INR21700P45B_1.4_Product-Data-Sheet-of-INR-21700-P45B-80109.pdf" TargetMode="External"/><Relationship Id="rId15" Type="http://schemas.openxmlformats.org/officeDocument/2006/relationships/hyperlink" Target="https://www.adac.de/rund-ums-fahrzeug/autokatalog/marken-modelle/mercedes-benz/amg-gt-4-tuerer-coupe/590/351152/" TargetMode="External"/><Relationship Id="rId16" Type="http://schemas.openxmlformats.org/officeDocument/2006/relationships/hyperlink" Target="https://de.wikipedia.org/wiki/Luftdichte" TargetMode="External"/><Relationship Id="rId17" Type="http://schemas.openxmlformats.org/officeDocument/2006/relationships/hyperlink" Target="https://archive.nptel.ac.in/content/storage2/courses/108103009/module2/lec3/8.html" TargetMode="External"/><Relationship Id="rId18" Type="http://schemas.openxmlformats.org/officeDocument/2006/relationships/hyperlink" Target="https://www.trl.co.uk/uploads/trl/documents/PPR496.pdf" TargetMode="External"/><Relationship Id="rId19" Type="http://schemas.openxmlformats.org/officeDocument/2006/relationships/hyperlink" Target="https://www.fueleconomy.gov/feg/atv-ev.shtml" TargetMode="External"/><Relationship Id="rId20" Type="http://schemas.openxmlformats.org/officeDocument/2006/relationships/hyperlink" Target="https://doi.org/10.3390/wevj16090484" TargetMode="External"/><Relationship Id="rId21" Type="http://schemas.openxmlformats.org/officeDocument/2006/relationships/hyperlink" Target="https://doi.org/10.3390/wevj11040077" TargetMode="External"/><Relationship Id="rId22" Type="http://schemas.openxmlformats.org/officeDocument/2006/relationships/hyperlink" Target="https://yasa.com/yasa-series-motors/" TargetMode="External"/><Relationship Id="rId23" Type="http://schemas.openxmlformats.org/officeDocument/2006/relationships/hyperlink" Target="https://turntide.com/products/motors/" TargetMode="External"/><Relationship Id="rId24" Type="http://schemas.openxmlformats.org/officeDocument/2006/relationships/hyperlink" Target="https://www.ehelix.com/products/spm177-electric-motor/" TargetMode="External"/><Relationship Id="rId25" Type="http://schemas.openxmlformats.org/officeDocument/2006/relationships/hyperlink" Target="https://emrax.com/wp-content/uploads/2026/08/EMRAX_348_datasheet_v1.7.pdf" TargetMode="External"/><Relationship Id="rId26" Type="http://schemas.openxmlformats.org/officeDocument/2006/relationships/hyperlink" Target="https://equipmake.com/products/apm-200/"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A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4"/>
    <col collapsed="false" customWidth="true" hidden="false" outlineLevel="0" max="4" min="3" style="0" width="9"/>
    <col collapsed="false" customWidth="true" hidden="false" outlineLevel="0" max="5" min="5" style="0" width="8"/>
    <col collapsed="false" customWidth="true" hidden="false" outlineLevel="0" max="9" min="6" style="0" width="9"/>
    <col collapsed="false" customWidth="true" hidden="false" outlineLevel="0" max="11" min="10" style="0" width="10"/>
    <col collapsed="false" customWidth="true" hidden="false" outlineLevel="0" max="12" min="12" style="0" width="8"/>
    <col collapsed="false" customWidth="true" hidden="false" outlineLevel="0" max="14" min="13" style="0" width="10"/>
    <col collapsed="false" customWidth="true" hidden="false" outlineLevel="0" max="16" min="15" style="0" width="7"/>
    <col collapsed="false" customWidth="true" hidden="false" outlineLevel="0" max="17" min="17" style="0" width="10"/>
    <col collapsed="false" customWidth="true" hidden="false" outlineLevel="0" max="19" min="18" style="0" width="7"/>
    <col collapsed="false" customWidth="true" hidden="false" outlineLevel="0" max="20" min="20" style="0" width="12"/>
    <col collapsed="false" customWidth="true" hidden="false" outlineLevel="0" max="22" min="21" style="0" width="9"/>
    <col collapsed="false" customWidth="true" hidden="false" outlineLevel="0" max="23" min="23" style="0" width="13"/>
    <col collapsed="false" customWidth="true" hidden="false" outlineLevel="0" max="25" min="24" style="0" width="10"/>
    <col collapsed="false" customWidth="true" hidden="false" outlineLevel="0" max="27" min="26" style="0" width="9"/>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5" customFormat="false" ht="54" hidden="false" customHeight="true" outlineLevel="0" collapsed="false">
      <c r="A5" s="3" t="s">
        <v>3</v>
      </c>
      <c r="B5" s="3" t="s">
        <v>4</v>
      </c>
      <c r="C5" s="3" t="s">
        <v>5</v>
      </c>
      <c r="D5" s="3" t="s">
        <v>6</v>
      </c>
      <c r="E5" s="3" t="s">
        <v>7</v>
      </c>
      <c r="F5" s="3" t="s">
        <v>8</v>
      </c>
      <c r="G5" s="3" t="s">
        <v>9</v>
      </c>
      <c r="H5" s="3" t="s">
        <v>10</v>
      </c>
      <c r="I5" s="3" t="s">
        <v>11</v>
      </c>
      <c r="J5" s="3" t="s">
        <v>12</v>
      </c>
      <c r="K5" s="3" t="s">
        <v>13</v>
      </c>
      <c r="L5" s="3" t="s">
        <v>14</v>
      </c>
      <c r="M5" s="3" t="s">
        <v>15</v>
      </c>
      <c r="N5" s="3" t="s">
        <v>16</v>
      </c>
      <c r="O5" s="3" t="s">
        <v>17</v>
      </c>
      <c r="P5" s="3" t="s">
        <v>18</v>
      </c>
      <c r="Q5" s="3" t="s">
        <v>19</v>
      </c>
      <c r="R5" s="3" t="s">
        <v>20</v>
      </c>
      <c r="S5" s="3" t="s">
        <v>21</v>
      </c>
      <c r="T5" s="3" t="s">
        <v>22</v>
      </c>
      <c r="U5" s="3" t="s">
        <v>23</v>
      </c>
      <c r="V5" s="3" t="s">
        <v>24</v>
      </c>
      <c r="W5" s="3" t="s">
        <v>25</v>
      </c>
      <c r="X5" s="3" t="s">
        <v>26</v>
      </c>
      <c r="Y5" s="3" t="s">
        <v>27</v>
      </c>
      <c r="Z5" s="3" t="s">
        <v>28</v>
      </c>
      <c r="AA5" s="3" t="s">
        <v>29</v>
      </c>
    </row>
    <row r="6" customFormat="false" ht="23.85" hidden="false" customHeight="false" outlineLevel="0" collapsed="false">
      <c r="A6" s="4" t="n">
        <v>1</v>
      </c>
      <c r="B6" s="5" t="s">
        <v>30</v>
      </c>
      <c r="C6" s="5" t="n">
        <v>860</v>
      </c>
      <c r="D6" s="5" t="n">
        <v>300</v>
      </c>
      <c r="E6" s="5" t="n">
        <v>2.4</v>
      </c>
      <c r="F6" s="5" t="n">
        <v>100</v>
      </c>
      <c r="G6" s="5" t="n">
        <v>2460</v>
      </c>
      <c r="H6" s="5" t="n">
        <v>2000</v>
      </c>
      <c r="I6" s="5" t="n">
        <v>106</v>
      </c>
      <c r="J6" s="5" t="n">
        <v>596</v>
      </c>
      <c r="K6" s="5" t="n">
        <v>696</v>
      </c>
      <c r="L6" s="5" t="s">
        <v>31</v>
      </c>
      <c r="M6" s="5" t="n">
        <v>17.9</v>
      </c>
      <c r="N6" s="5" t="n">
        <v>21</v>
      </c>
      <c r="O6" s="6" t="n">
        <v>0.22</v>
      </c>
      <c r="P6" s="5" t="n">
        <v>2.44</v>
      </c>
      <c r="Q6" s="5" t="n">
        <v>295</v>
      </c>
      <c r="R6" s="5" t="n">
        <v>40</v>
      </c>
      <c r="S6" s="5" t="n">
        <v>20</v>
      </c>
      <c r="T6" s="7" t="n">
        <f aca="false">C6*1000</f>
        <v>860000</v>
      </c>
      <c r="U6" s="8" t="n">
        <f aca="false">D6/3.6</f>
        <v>83.3333333333333</v>
      </c>
      <c r="V6" s="8" t="n">
        <f aca="false">(F6/3.6)/E6</f>
        <v>11.5740740740741</v>
      </c>
      <c r="W6" s="7" t="n">
        <f aca="false">I6*3600000</f>
        <v>381600000</v>
      </c>
      <c r="X6" s="8" t="n">
        <f aca="false">IF(COUNT(J6,K6)&lt;2,"",AVERAGE(J6,K6))</f>
        <v>646</v>
      </c>
      <c r="Y6" s="8" t="n">
        <f aca="false">IF(COUNT(M6,N6)&lt;2,"",AVERAGE(M6,N6))</f>
        <v>19.45</v>
      </c>
      <c r="Z6" s="8" t="n">
        <f aca="false">IF(Y6="","",Y6/100*3600)</f>
        <v>700.2</v>
      </c>
      <c r="AA6" s="9" t="n">
        <f aca="false">IF(COUNT(Q6,R6,S6)&lt;3,"",(S6*25.4/2+Q6*R6/100)/1000)</f>
        <v>0.372</v>
      </c>
    </row>
    <row r="7" customFormat="false" ht="15" hidden="false" customHeight="false" outlineLevel="0" collapsed="false">
      <c r="A7" s="10" t="n">
        <v>2</v>
      </c>
      <c r="B7" s="11" t="s">
        <v>32</v>
      </c>
      <c r="C7" s="11" t="n">
        <v>760</v>
      </c>
      <c r="D7" s="11" t="n">
        <v>305</v>
      </c>
      <c r="E7" s="11" t="n">
        <v>2.2</v>
      </c>
      <c r="F7" s="11" t="n">
        <v>100</v>
      </c>
      <c r="G7" s="11" t="n">
        <v>2220</v>
      </c>
      <c r="H7" s="11" t="n">
        <v>1240</v>
      </c>
      <c r="I7" s="11" t="n">
        <v>97</v>
      </c>
      <c r="J7" s="11" t="n">
        <v>538</v>
      </c>
      <c r="K7" s="11" t="n">
        <v>555</v>
      </c>
      <c r="L7" s="11" t="s">
        <v>31</v>
      </c>
      <c r="M7" s="11" t="n">
        <v>20.6</v>
      </c>
      <c r="N7" s="11" t="n">
        <v>21.3</v>
      </c>
      <c r="O7" s="12" t="n">
        <v>0.31</v>
      </c>
      <c r="P7" s="11" t="n">
        <v>2.35</v>
      </c>
      <c r="Q7" s="11" t="n">
        <v>305</v>
      </c>
      <c r="R7" s="11" t="n">
        <v>30</v>
      </c>
      <c r="S7" s="11" t="n">
        <v>21</v>
      </c>
      <c r="T7" s="13" t="n">
        <f aca="false">C7*1000</f>
        <v>760000</v>
      </c>
      <c r="U7" s="14" t="n">
        <f aca="false">D7/3.6</f>
        <v>84.7222222222222</v>
      </c>
      <c r="V7" s="14" t="n">
        <f aca="false">(F7/3.6)/E7</f>
        <v>12.6262626262626</v>
      </c>
      <c r="W7" s="13" t="n">
        <f aca="false">I7*3600000</f>
        <v>349200000</v>
      </c>
      <c r="X7" s="14" t="n">
        <f aca="false">IF(COUNT(J7,K7)&lt;2,"",AVERAGE(J7,K7))</f>
        <v>546.5</v>
      </c>
      <c r="Y7" s="14" t="n">
        <f aca="false">IF(COUNT(M7,N7)&lt;2,"",AVERAGE(M7,N7))</f>
        <v>20.95</v>
      </c>
      <c r="Z7" s="14" t="n">
        <f aca="false">IF(Y7="","",Y7/100*3600)</f>
        <v>754.2</v>
      </c>
      <c r="AA7" s="15" t="n">
        <f aca="false">IF(COUNT(Q7,R7,S7)&lt;3,"",(S7*25.4/2+Q7*R7/100)/1000)</f>
        <v>0.3582</v>
      </c>
    </row>
    <row r="8" customFormat="false" ht="15" hidden="false" customHeight="false" outlineLevel="0" collapsed="false">
      <c r="A8" s="10" t="n">
        <v>3</v>
      </c>
      <c r="B8" s="11" t="s">
        <v>33</v>
      </c>
      <c r="C8" s="11" t="n">
        <v>680</v>
      </c>
      <c r="D8" s="11" t="n">
        <v>250</v>
      </c>
      <c r="E8" s="11" t="n">
        <v>2.5</v>
      </c>
      <c r="F8" s="11" t="n">
        <v>100</v>
      </c>
      <c r="G8" s="11" t="n">
        <v>2320</v>
      </c>
      <c r="H8" s="11" t="n">
        <v>1027</v>
      </c>
      <c r="I8" s="11" t="n">
        <v>97</v>
      </c>
      <c r="J8" s="11" t="n">
        <v>533</v>
      </c>
      <c r="K8" s="11" t="n">
        <v>592</v>
      </c>
      <c r="L8" s="11" t="s">
        <v>31</v>
      </c>
      <c r="M8" s="11" t="n">
        <v>18.7</v>
      </c>
      <c r="N8" s="11" t="n">
        <v>20.8</v>
      </c>
      <c r="O8" s="12" t="n">
        <v>0.26</v>
      </c>
      <c r="P8" s="11" t="n">
        <v>2.35</v>
      </c>
      <c r="Q8" s="11" t="n">
        <v>285</v>
      </c>
      <c r="R8" s="11" t="n">
        <v>40</v>
      </c>
      <c r="S8" s="11" t="n">
        <v>20</v>
      </c>
      <c r="T8" s="13" t="n">
        <f aca="false">C8*1000</f>
        <v>680000</v>
      </c>
      <c r="U8" s="14" t="n">
        <f aca="false">D8/3.6</f>
        <v>69.4444444444444</v>
      </c>
      <c r="V8" s="14" t="n">
        <f aca="false">(F8/3.6)/E8</f>
        <v>11.1111111111111</v>
      </c>
      <c r="W8" s="13" t="n">
        <f aca="false">I8*3600000</f>
        <v>349200000</v>
      </c>
      <c r="X8" s="14" t="n">
        <f aca="false">IF(COUNT(J8,K8)&lt;2,"",AVERAGE(J8,K8))</f>
        <v>562.5</v>
      </c>
      <c r="Y8" s="14" t="n">
        <f aca="false">IF(COUNT(M8,N8)&lt;2,"",AVERAGE(M8,N8))</f>
        <v>19.75</v>
      </c>
      <c r="Z8" s="14" t="n">
        <f aca="false">IF(Y8="","",Y8/100*3600)</f>
        <v>711</v>
      </c>
      <c r="AA8" s="15" t="n">
        <f aca="false">IF(COUNT(Q8,R8,S8)&lt;3,"",(S8*25.4/2+Q8*R8/100)/1000)</f>
        <v>0.368</v>
      </c>
    </row>
    <row r="9" customFormat="false" ht="15" hidden="false" customHeight="false" outlineLevel="0" collapsed="false">
      <c r="A9" s="10" t="n">
        <v>4</v>
      </c>
      <c r="B9" s="11" t="s">
        <v>34</v>
      </c>
      <c r="C9" s="11" t="n">
        <v>675</v>
      </c>
      <c r="D9" s="11" t="n">
        <v>256</v>
      </c>
      <c r="E9" s="11" t="n">
        <v>2.78</v>
      </c>
      <c r="F9" s="11" t="n">
        <v>100</v>
      </c>
      <c r="G9" s="11" t="n">
        <v>2565</v>
      </c>
      <c r="H9" s="11" t="n">
        <v>985</v>
      </c>
      <c r="I9" s="11" t="n">
        <v>102</v>
      </c>
      <c r="J9" s="11" t="n">
        <v>435</v>
      </c>
      <c r="K9" s="11" t="n">
        <v>485</v>
      </c>
      <c r="L9" s="11" t="s">
        <v>31</v>
      </c>
      <c r="M9" s="11"/>
      <c r="N9" s="11"/>
      <c r="O9" s="12"/>
      <c r="P9" s="11"/>
      <c r="Q9" s="11"/>
      <c r="R9" s="11"/>
      <c r="S9" s="11"/>
      <c r="T9" s="13" t="n">
        <f aca="false">C9*1000</f>
        <v>675000</v>
      </c>
      <c r="U9" s="14" t="n">
        <f aca="false">D9/3.6</f>
        <v>71.1111111111111</v>
      </c>
      <c r="V9" s="14" t="n">
        <f aca="false">(F9/3.6)/E9</f>
        <v>9.99200639488409</v>
      </c>
      <c r="W9" s="13" t="n">
        <f aca="false">I9*3600000</f>
        <v>367200000</v>
      </c>
      <c r="X9" s="14" t="n">
        <f aca="false">IF(COUNT(J9,K9)&lt;2,"",AVERAGE(J9,K9))</f>
        <v>460</v>
      </c>
      <c r="Y9" s="14" t="str">
        <f aca="false">IF(COUNT(M9,N9)&lt;2,"",AVERAGE(M9,N9))</f>
        <v/>
      </c>
      <c r="Z9" s="14" t="str">
        <f aca="false">IF(Y9="","",Y9/100*3600)</f>
        <v/>
      </c>
      <c r="AA9" s="15" t="str">
        <f aca="false">IF(COUNT(Q9,R9,S9)&lt;3,"",(S9*25.4/2+Q9*R9/100)/1000)</f>
        <v/>
      </c>
    </row>
    <row r="10" customFormat="false" ht="15" hidden="false" customHeight="false" outlineLevel="0" collapsed="false">
      <c r="A10" s="10" t="n">
        <v>5</v>
      </c>
      <c r="B10" s="11" t="s">
        <v>35</v>
      </c>
      <c r="C10" s="11" t="n">
        <v>760</v>
      </c>
      <c r="D10" s="11" t="n">
        <v>322</v>
      </c>
      <c r="E10" s="11" t="n">
        <v>2.1</v>
      </c>
      <c r="F10" s="11" t="n">
        <v>100</v>
      </c>
      <c r="G10" s="11" t="n">
        <v>2178</v>
      </c>
      <c r="H10" s="11" t="n">
        <v>1420</v>
      </c>
      <c r="I10" s="11" t="n">
        <v>96</v>
      </c>
      <c r="J10" s="11" t="n">
        <v>600</v>
      </c>
      <c r="K10" s="11" t="n">
        <v>611</v>
      </c>
      <c r="L10" s="11" t="s">
        <v>31</v>
      </c>
      <c r="M10" s="11" t="n">
        <v>18</v>
      </c>
      <c r="N10" s="11" t="n">
        <v>18.7</v>
      </c>
      <c r="O10" s="12" t="n">
        <v>0.208</v>
      </c>
      <c r="P10" s="11"/>
      <c r="Q10" s="11"/>
      <c r="R10" s="11"/>
      <c r="S10" s="11"/>
      <c r="T10" s="13" t="n">
        <f aca="false">C10*1000</f>
        <v>760000</v>
      </c>
      <c r="U10" s="14" t="n">
        <f aca="false">D10/3.6</f>
        <v>89.4444444444444</v>
      </c>
      <c r="V10" s="14" t="n">
        <f aca="false">(F10/3.6)/E10</f>
        <v>13.2275132275132</v>
      </c>
      <c r="W10" s="13" t="n">
        <f aca="false">I10*3600000</f>
        <v>345600000</v>
      </c>
      <c r="X10" s="14" t="n">
        <f aca="false">IF(COUNT(J10,K10)&lt;2,"",AVERAGE(J10,K10))</f>
        <v>605.5</v>
      </c>
      <c r="Y10" s="14" t="n">
        <f aca="false">IF(COUNT(M10,N10)&lt;2,"",AVERAGE(M10,N10))</f>
        <v>18.35</v>
      </c>
      <c r="Z10" s="14" t="n">
        <f aca="false">IF(Y10="","",Y10/100*3600)</f>
        <v>660.6</v>
      </c>
      <c r="AA10" s="15" t="str">
        <f aca="false">IF(COUNT(Q10,R10,S10)&lt;3,"",(S10*25.4/2+Q10*R10/100)/1000)</f>
        <v/>
      </c>
    </row>
    <row r="11" customFormat="false" ht="15" hidden="false" customHeight="false" outlineLevel="0" collapsed="false">
      <c r="A11" s="10" t="n">
        <v>6</v>
      </c>
      <c r="B11" s="11" t="s">
        <v>36</v>
      </c>
      <c r="C11" s="11" t="n">
        <v>908</v>
      </c>
      <c r="D11" s="11" t="n">
        <v>330</v>
      </c>
      <c r="E11" s="11" t="n">
        <v>1.89</v>
      </c>
      <c r="F11" s="11" t="n">
        <v>96.56</v>
      </c>
      <c r="G11" s="11" t="n">
        <v>2420</v>
      </c>
      <c r="H11" s="11" t="n">
        <v>1940</v>
      </c>
      <c r="I11" s="11" t="n">
        <v>118</v>
      </c>
      <c r="J11" s="11" t="n">
        <v>694</v>
      </c>
      <c r="K11" s="11" t="n">
        <v>694</v>
      </c>
      <c r="L11" s="11" t="s">
        <v>31</v>
      </c>
      <c r="M11" s="11" t="n">
        <v>19.1</v>
      </c>
      <c r="N11" s="11" t="n">
        <v>19.1</v>
      </c>
      <c r="O11" s="12"/>
      <c r="P11" s="11"/>
      <c r="Q11" s="11" t="n">
        <v>295</v>
      </c>
      <c r="R11" s="11" t="n">
        <v>30</v>
      </c>
      <c r="S11" s="11" t="n">
        <v>21</v>
      </c>
      <c r="T11" s="13" t="n">
        <f aca="false">C11*1000</f>
        <v>908000</v>
      </c>
      <c r="U11" s="14" t="n">
        <f aca="false">D11/3.6</f>
        <v>91.6666666666667</v>
      </c>
      <c r="V11" s="14" t="n">
        <f aca="false">(F11/3.6)/E11</f>
        <v>14.1916519694298</v>
      </c>
      <c r="W11" s="13" t="n">
        <f aca="false">I11*3600000</f>
        <v>424800000</v>
      </c>
      <c r="X11" s="14" t="n">
        <f aca="false">IF(COUNT(J11,K11)&lt;2,"",AVERAGE(J11,K11))</f>
        <v>694</v>
      </c>
      <c r="Y11" s="14" t="n">
        <f aca="false">IF(COUNT(M11,N11)&lt;2,"",AVERAGE(M11,N11))</f>
        <v>19.1</v>
      </c>
      <c r="Z11" s="14" t="n">
        <f aca="false">IF(Y11="","",Y11/100*3600)</f>
        <v>687.6</v>
      </c>
      <c r="AA11" s="15" t="n">
        <f aca="false">IF(COUNT(Q11,R11,S11)&lt;3,"",(S11*25.4/2+Q11*R11/100)/1000)</f>
        <v>0.3552</v>
      </c>
    </row>
    <row r="12" customFormat="false" ht="15" hidden="false" customHeight="false" outlineLevel="0" collapsed="false">
      <c r="A12" s="10" t="n">
        <v>7</v>
      </c>
      <c r="B12" s="11" t="s">
        <v>37</v>
      </c>
      <c r="C12" s="11" t="n">
        <v>1138</v>
      </c>
      <c r="D12" s="11" t="n">
        <v>350</v>
      </c>
      <c r="E12" s="11" t="n">
        <v>1.98</v>
      </c>
      <c r="F12" s="11" t="n">
        <v>100</v>
      </c>
      <c r="G12" s="11" t="n">
        <v>2360</v>
      </c>
      <c r="H12" s="11" t="n">
        <v>1770</v>
      </c>
      <c r="I12" s="11" t="n">
        <v>93.7</v>
      </c>
      <c r="J12" s="11" t="n">
        <v>555</v>
      </c>
      <c r="K12" s="11" t="n">
        <v>630</v>
      </c>
      <c r="L12" s="11" t="s">
        <v>38</v>
      </c>
      <c r="M12" s="11" t="n">
        <v>16.5</v>
      </c>
      <c r="N12" s="11" t="n">
        <v>16.5</v>
      </c>
      <c r="O12" s="12"/>
      <c r="P12" s="11"/>
      <c r="Q12" s="11"/>
      <c r="R12" s="11"/>
      <c r="S12" s="11"/>
      <c r="T12" s="13" t="n">
        <f aca="false">C12*1000</f>
        <v>1138000</v>
      </c>
      <c r="U12" s="14" t="n">
        <f aca="false">D12/3.6</f>
        <v>97.2222222222222</v>
      </c>
      <c r="V12" s="14" t="n">
        <f aca="false">(F12/3.6)/E12</f>
        <v>14.0291806958474</v>
      </c>
      <c r="W12" s="13" t="n">
        <f aca="false">I12*3600000</f>
        <v>337320000</v>
      </c>
      <c r="X12" s="14" t="n">
        <f aca="false">IF(COUNT(J12,K12)&lt;2,"",AVERAGE(J12,K12))</f>
        <v>592.5</v>
      </c>
      <c r="Y12" s="14" t="n">
        <f aca="false">IF(COUNT(M12,N12)&lt;2,"",AVERAGE(M12,N12))</f>
        <v>16.5</v>
      </c>
      <c r="Z12" s="14" t="n">
        <f aca="false">IF(Y12="","",Y12/100*3600)</f>
        <v>594</v>
      </c>
      <c r="AA12" s="15" t="str">
        <f aca="false">IF(COUNT(Q12,R12,S12)&lt;3,"",(S12*25.4/2+Q12*R12/100)/1000)</f>
        <v/>
      </c>
    </row>
    <row r="13" customFormat="false" ht="15" hidden="false" customHeight="false" outlineLevel="0" collapsed="false">
      <c r="A13" s="10" t="n">
        <v>8</v>
      </c>
      <c r="B13" s="11" t="s">
        <v>39</v>
      </c>
      <c r="C13" s="11" t="n">
        <v>960</v>
      </c>
      <c r="D13" s="11" t="n">
        <v>309</v>
      </c>
      <c r="E13" s="11" t="n">
        <v>2.36</v>
      </c>
      <c r="F13" s="11" t="n">
        <v>100</v>
      </c>
      <c r="G13" s="11" t="n">
        <v>2475</v>
      </c>
      <c r="H13" s="11" t="n">
        <v>1680</v>
      </c>
      <c r="I13" s="11" t="n">
        <v>80</v>
      </c>
      <c r="J13" s="11" t="n">
        <v>450</v>
      </c>
      <c r="K13" s="11" t="n">
        <v>450</v>
      </c>
      <c r="L13" s="11" t="s">
        <v>38</v>
      </c>
      <c r="M13" s="11"/>
      <c r="N13" s="11"/>
      <c r="O13" s="12"/>
      <c r="P13" s="11"/>
      <c r="Q13" s="11"/>
      <c r="R13" s="11"/>
      <c r="S13" s="11"/>
      <c r="T13" s="13" t="n">
        <f aca="false">C13*1000</f>
        <v>960000</v>
      </c>
      <c r="U13" s="14" t="n">
        <f aca="false">D13/3.6</f>
        <v>85.8333333333333</v>
      </c>
      <c r="V13" s="14" t="n">
        <f aca="false">(F13/3.6)/E13</f>
        <v>11.7702448210923</v>
      </c>
      <c r="W13" s="13" t="n">
        <f aca="false">I13*3600000</f>
        <v>288000000</v>
      </c>
      <c r="X13" s="14" t="n">
        <f aca="false">IF(COUNT(J13,K13)&lt;2,"",AVERAGE(J13,K13))</f>
        <v>450</v>
      </c>
      <c r="Y13" s="14" t="str">
        <f aca="false">IF(COUNT(M13,N13)&lt;2,"",AVERAGE(M13,N13))</f>
        <v/>
      </c>
      <c r="Z13" s="14" t="str">
        <f aca="false">IF(Y13="","",Y13/100*3600)</f>
        <v/>
      </c>
      <c r="AA13" s="15" t="str">
        <f aca="false">IF(COUNT(Q13,R13,S13)&lt;3,"",(S13*25.4/2+Q13*R13/100)/1000)</f>
        <v/>
      </c>
    </row>
    <row r="14" customFormat="false" ht="15" hidden="false" customHeight="false" outlineLevel="0" collapsed="false">
      <c r="A14" s="10" t="n">
        <v>9</v>
      </c>
      <c r="B14" s="11" t="s">
        <v>40</v>
      </c>
      <c r="C14" s="11" t="n">
        <v>1408</v>
      </c>
      <c r="D14" s="11" t="n">
        <v>412</v>
      </c>
      <c r="E14" s="11" t="n">
        <v>1.81</v>
      </c>
      <c r="F14" s="11" t="n">
        <v>100</v>
      </c>
      <c r="G14" s="11" t="n">
        <v>2300</v>
      </c>
      <c r="H14" s="11" t="n">
        <v>2340</v>
      </c>
      <c r="I14" s="11" t="n">
        <v>120</v>
      </c>
      <c r="J14" s="11" t="n">
        <v>489</v>
      </c>
      <c r="K14" s="11" t="n">
        <v>489</v>
      </c>
      <c r="L14" s="11" t="s">
        <v>31</v>
      </c>
      <c r="M14" s="11" t="n">
        <v>30</v>
      </c>
      <c r="N14" s="11" t="n">
        <v>30</v>
      </c>
      <c r="O14" s="12" t="n">
        <v>0.3</v>
      </c>
      <c r="P14" s="11"/>
      <c r="Q14" s="11" t="n">
        <v>315</v>
      </c>
      <c r="R14" s="11" t="n">
        <v>35</v>
      </c>
      <c r="S14" s="11" t="n">
        <v>20</v>
      </c>
      <c r="T14" s="13" t="n">
        <f aca="false">C14*1000</f>
        <v>1408000</v>
      </c>
      <c r="U14" s="14" t="n">
        <f aca="false">D14/3.6</f>
        <v>114.444444444444</v>
      </c>
      <c r="V14" s="14" t="n">
        <f aca="false">(F14/3.6)/E14</f>
        <v>15.3468385512584</v>
      </c>
      <c r="W14" s="13" t="n">
        <f aca="false">I14*3600000</f>
        <v>432000000</v>
      </c>
      <c r="X14" s="14" t="n">
        <f aca="false">IF(COUNT(J14,K14)&lt;2,"",AVERAGE(J14,K14))</f>
        <v>489</v>
      </c>
      <c r="Y14" s="14" t="n">
        <f aca="false">IF(COUNT(M14,N14)&lt;2,"",AVERAGE(M14,N14))</f>
        <v>30</v>
      </c>
      <c r="Z14" s="14" t="n">
        <f aca="false">IF(Y14="","",Y14/100*3600)</f>
        <v>1080</v>
      </c>
      <c r="AA14" s="15" t="n">
        <f aca="false">IF(COUNT(Q14,R14,S14)&lt;3,"",(S14*25.4/2+Q14*R14/100)/1000)</f>
        <v>0.36425</v>
      </c>
    </row>
    <row r="15" customFormat="false" ht="15" hidden="false" customHeight="false" outlineLevel="0" collapsed="false">
      <c r="A15" s="10" t="n">
        <v>10</v>
      </c>
      <c r="B15" s="11" t="s">
        <v>41</v>
      </c>
      <c r="C15" s="11" t="n">
        <v>560</v>
      </c>
      <c r="D15" s="11" t="n">
        <v>325</v>
      </c>
      <c r="E15" s="11" t="n">
        <v>2.7</v>
      </c>
      <c r="F15" s="11" t="n">
        <v>100</v>
      </c>
      <c r="G15" s="11" t="n">
        <v>2260</v>
      </c>
      <c r="H15" s="11" t="n">
        <v>1350</v>
      </c>
      <c r="I15" s="11" t="n">
        <v>83</v>
      </c>
      <c r="J15" s="11" t="n">
        <v>450</v>
      </c>
      <c r="K15" s="11" t="n">
        <v>459</v>
      </c>
      <c r="L15" s="11" t="s">
        <v>31</v>
      </c>
      <c r="M15" s="11" t="n">
        <v>21.9</v>
      </c>
      <c r="N15" s="11" t="n">
        <v>22.3</v>
      </c>
      <c r="O15" s="12"/>
      <c r="P15" s="11"/>
      <c r="Q15" s="11"/>
      <c r="R15" s="11"/>
      <c r="S15" s="11"/>
      <c r="T15" s="13" t="n">
        <f aca="false">C15*1000</f>
        <v>560000</v>
      </c>
      <c r="U15" s="14" t="n">
        <f aca="false">D15/3.6</f>
        <v>90.2777777777778</v>
      </c>
      <c r="V15" s="14" t="n">
        <f aca="false">(F15/3.6)/E15</f>
        <v>10.2880658436214</v>
      </c>
      <c r="W15" s="13" t="n">
        <f aca="false">I15*3600000</f>
        <v>298800000</v>
      </c>
      <c r="X15" s="14" t="n">
        <f aca="false">IF(COUNT(J15,K15)&lt;2,"",AVERAGE(J15,K15))</f>
        <v>454.5</v>
      </c>
      <c r="Y15" s="14" t="n">
        <f aca="false">IF(COUNT(M15,N15)&lt;2,"",AVERAGE(M15,N15))</f>
        <v>22.1</v>
      </c>
      <c r="Z15" s="14" t="n">
        <f aca="false">IF(Y15="","",Y15/100*3600)</f>
        <v>795.6</v>
      </c>
      <c r="AA15" s="15" t="str">
        <f aca="false">IF(COUNT(Q15,R15,S15)&lt;3,"",(S15*25.4/2+Q15*R15/100)/1000)</f>
        <v/>
      </c>
    </row>
    <row r="16" customFormat="false" ht="15" hidden="false" customHeight="false" outlineLevel="0" collapsed="false">
      <c r="B16" s="16" t="s">
        <v>42</v>
      </c>
      <c r="C16" s="17" t="n">
        <f aca="false">AVERAGE(C6:C15)</f>
        <v>870.9</v>
      </c>
      <c r="D16" s="17" t="n">
        <f aca="false">AVERAGE(D6:D15)</f>
        <v>315.9</v>
      </c>
      <c r="E16" s="17" t="n">
        <f aca="false">AVERAGE(E6:E15)</f>
        <v>2.272</v>
      </c>
      <c r="F16" s="17" t="n">
        <f aca="false">AVERAGE(F6:F15)</f>
        <v>99.656</v>
      </c>
      <c r="G16" s="17" t="n">
        <f aca="false">AVERAGE(G6:G15)</f>
        <v>2355.8</v>
      </c>
      <c r="H16" s="17" t="n">
        <f aca="false">AVERAGE(H6:H15)</f>
        <v>1575.2</v>
      </c>
      <c r="I16" s="17" t="n">
        <f aca="false">AVERAGE(I6:I15)</f>
        <v>99.27</v>
      </c>
      <c r="J16" s="17" t="n">
        <f aca="false">AVERAGEIF(L6:L15,"WLTP",J6:J15)</f>
        <v>541.875</v>
      </c>
      <c r="K16" s="17" t="n">
        <f aca="false">AVERAGEIF(L6:L15,"WLTP",K6:K15)</f>
        <v>572.625</v>
      </c>
      <c r="M16" s="17" t="n">
        <f aca="false">AVERAGEIF(L6:L15,"WLTP",M6:M15)</f>
        <v>20.8857142857143</v>
      </c>
      <c r="N16" s="17" t="n">
        <f aca="false">AVERAGEIF(L6:L15,"WLTP",N6:N15)</f>
        <v>21.8857142857143</v>
      </c>
      <c r="O16" s="18" t="n">
        <f aca="false">AVERAGE(O6:O15)</f>
        <v>0.2596</v>
      </c>
      <c r="P16" s="17" t="n">
        <f aca="false">AVERAGE(P6:P15)</f>
        <v>2.38</v>
      </c>
      <c r="Q16" s="17" t="n">
        <f aca="false">AVERAGE(Q6:Q15)</f>
        <v>299</v>
      </c>
      <c r="R16" s="17" t="n">
        <f aca="false">AVERAGE(R6:R15)</f>
        <v>35</v>
      </c>
      <c r="S16" s="17" t="n">
        <f aca="false">AVERAGE(S6:S15)</f>
        <v>20.4</v>
      </c>
      <c r="T16" s="19" t="n">
        <f aca="false">AVERAGE(T6:T15)</f>
        <v>870900</v>
      </c>
      <c r="U16" s="20" t="n">
        <f aca="false">AVERAGE(U6:U15)</f>
        <v>87.75</v>
      </c>
      <c r="V16" s="20" t="n">
        <f aca="false">AVERAGE(V6:V15)</f>
        <v>12.4156949315094</v>
      </c>
      <c r="W16" s="19" t="n">
        <f aca="false">AVERAGE(W6:W15)</f>
        <v>357372000</v>
      </c>
      <c r="X16" s="20" t="n">
        <f aca="false">AVERAGEIF(L6:L15,"WLTP",X6:X15)</f>
        <v>557.25</v>
      </c>
      <c r="Y16" s="20" t="n">
        <f aca="false">AVERAGEIF(L6:L15,"WLTP",Y6:Y15)</f>
        <v>21.3857142857143</v>
      </c>
      <c r="Z16" s="20" t="n">
        <f aca="false">AVERAGEIF(L6:L15,"WLTP",Z6:Z15)</f>
        <v>769.885714285714</v>
      </c>
      <c r="AA16" s="18" t="n">
        <f aca="false">AVERAGE(AA6:AA15)</f>
        <v>0.36353</v>
      </c>
    </row>
    <row r="17" customFormat="false" ht="15" hidden="false" customHeight="false" outlineLevel="0" collapsed="false">
      <c r="B17" s="2" t="s">
        <v>43</v>
      </c>
      <c r="C17" s="21" t="n">
        <f aca="false">COUNT(C6:C15)</f>
        <v>10</v>
      </c>
      <c r="D17" s="21" t="n">
        <f aca="false">COUNT(D6:D15)</f>
        <v>10</v>
      </c>
      <c r="E17" s="21" t="n">
        <f aca="false">COUNT(E6:E15)</f>
        <v>10</v>
      </c>
      <c r="F17" s="21" t="n">
        <f aca="false">COUNT(F6:F15)</f>
        <v>10</v>
      </c>
      <c r="G17" s="21" t="n">
        <f aca="false">COUNT(G6:G15)</f>
        <v>10</v>
      </c>
      <c r="H17" s="21" t="n">
        <f aca="false">COUNT(H6:H15)</f>
        <v>10</v>
      </c>
      <c r="I17" s="21" t="n">
        <f aca="false">COUNT(I6:I15)</f>
        <v>10</v>
      </c>
      <c r="J17" s="21" t="n">
        <f aca="false">COUNTIFS(L6:L15,"WLTP",J6:J15,"&gt;=0")</f>
        <v>8</v>
      </c>
      <c r="K17" s="21" t="n">
        <f aca="false">COUNTIFS(L6:L15,"WLTP",K6:K15,"&gt;=0")</f>
        <v>8</v>
      </c>
      <c r="M17" s="21" t="n">
        <f aca="false">COUNTIFS(L6:L15,"WLTP",M6:M15,"&gt;=0")</f>
        <v>7</v>
      </c>
      <c r="N17" s="21" t="n">
        <f aca="false">COUNTIFS(L6:L15,"WLTP",N6:N15,"&gt;=0")</f>
        <v>7</v>
      </c>
      <c r="O17" s="21" t="n">
        <f aca="false">COUNT(O6:O15)</f>
        <v>5</v>
      </c>
      <c r="P17" s="21" t="n">
        <f aca="false">COUNT(P6:P15)</f>
        <v>3</v>
      </c>
      <c r="Q17" s="21" t="n">
        <f aca="false">COUNT(Q6:Q15)</f>
        <v>5</v>
      </c>
      <c r="R17" s="21" t="n">
        <f aca="false">COUNT(R6:R15)</f>
        <v>5</v>
      </c>
      <c r="S17" s="21" t="n">
        <f aca="false">COUNT(S6:S15)</f>
        <v>5</v>
      </c>
      <c r="T17" s="21" t="n">
        <f aca="false">COUNT(T6:T15)</f>
        <v>10</v>
      </c>
      <c r="U17" s="21" t="n">
        <f aca="false">COUNT(U6:U15)</f>
        <v>10</v>
      </c>
      <c r="V17" s="21" t="n">
        <f aca="false">COUNT(V6:V15)</f>
        <v>10</v>
      </c>
      <c r="W17" s="21" t="n">
        <f aca="false">COUNT(W6:W15)</f>
        <v>10</v>
      </c>
      <c r="X17" s="21" t="n">
        <f aca="false">COUNTIFS(L6:L15,"WLTP",X6:X15,"&gt;=0")</f>
        <v>8</v>
      </c>
      <c r="Y17" s="21" t="n">
        <f aca="false">COUNTIFS(L6:L15,"WLTP",Y6:Y15,"&gt;=0")</f>
        <v>7</v>
      </c>
      <c r="Z17" s="21" t="n">
        <f aca="false">COUNTIFS(L6:L15,"WLTP",Z6:Z15,"&gt;=0")</f>
        <v>7</v>
      </c>
      <c r="AA17" s="21" t="n">
        <f aca="false">COUNT(AA6:AA15)</f>
        <v>5</v>
      </c>
    </row>
    <row r="19" customFormat="false" ht="15" hidden="false" customHeight="false" outlineLevel="0" collapsed="false">
      <c r="B19" s="2" t="s">
        <v>44</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52"/>
    <col collapsed="false" customWidth="true" hidden="false" outlineLevel="0" max="3" min="3" style="0" width="12"/>
    <col collapsed="false" customWidth="true" hidden="false" outlineLevel="0" max="5" min="4" style="0" width="16"/>
  </cols>
  <sheetData>
    <row r="1" customFormat="false" ht="17.35" hidden="false" customHeight="false" outlineLevel="0" collapsed="false">
      <c r="A1" s="1" t="s">
        <v>45</v>
      </c>
    </row>
    <row r="2" customFormat="false" ht="15" hidden="false" customHeight="false" outlineLevel="0" collapsed="false">
      <c r="A2" s="2" t="s">
        <v>46</v>
      </c>
    </row>
    <row r="4" customFormat="false" ht="15" hidden="false" customHeight="false" outlineLevel="0" collapsed="false">
      <c r="A4" s="3" t="s">
        <v>47</v>
      </c>
      <c r="B4" s="3" t="s">
        <v>48</v>
      </c>
      <c r="C4" s="3" t="s">
        <v>49</v>
      </c>
      <c r="D4" s="3" t="s">
        <v>50</v>
      </c>
      <c r="E4" s="3" t="s">
        <v>51</v>
      </c>
    </row>
    <row r="5" customFormat="false" ht="15" hidden="false" customHeight="false" outlineLevel="0" collapsed="false">
      <c r="A5" s="22" t="s">
        <v>52</v>
      </c>
      <c r="B5" s="23" t="s">
        <v>53</v>
      </c>
      <c r="C5" s="23" t="s">
        <v>54</v>
      </c>
      <c r="D5" s="24" t="str">
        <f aca="false">"MCA – sincronă cu magneți permanenți"</f>
        <v>MCA – sincronă cu magneți permanenți</v>
      </c>
      <c r="E5" s="24" t="str">
        <f aca="false">"MCA – sincronă cu magneți permanenți"</f>
        <v>MCA – sincronă cu magneți permanenți</v>
      </c>
    </row>
    <row r="6" customFormat="false" ht="15" hidden="false" customHeight="false" outlineLevel="0" collapsed="false">
      <c r="A6" s="22"/>
      <c r="B6" s="23" t="s">
        <v>55</v>
      </c>
      <c r="C6" s="23" t="s">
        <v>56</v>
      </c>
      <c r="D6" s="25" t="n">
        <f aca="false">'P2 Putere'!E51</f>
        <v>518.751919191919</v>
      </c>
      <c r="E6" s="25" t="n">
        <f aca="false">'P2 Putere'!F51</f>
        <v>541.69696969697</v>
      </c>
    </row>
    <row r="7" customFormat="false" ht="15" hidden="false" customHeight="false" outlineLevel="0" collapsed="false">
      <c r="A7" s="22"/>
      <c r="B7" s="23" t="s">
        <v>57</v>
      </c>
      <c r="C7" s="23" t="s">
        <v>56</v>
      </c>
      <c r="D7" s="25" t="n">
        <f aca="false">'P2 Putere'!E52</f>
        <v>299.248628721612</v>
      </c>
      <c r="E7" s="25" t="n">
        <f aca="false">'P2 Putere'!F52</f>
        <v>229.270381593715</v>
      </c>
    </row>
    <row r="8" customFormat="false" ht="15" hidden="false" customHeight="false" outlineLevel="0" collapsed="false">
      <c r="A8" s="22"/>
      <c r="B8" s="23" t="s">
        <v>58</v>
      </c>
      <c r="C8" s="23" t="s">
        <v>59</v>
      </c>
      <c r="D8" s="25" t="n">
        <f aca="false">'P2 Putere'!E40</f>
        <v>1043.2525749987</v>
      </c>
      <c r="E8" s="25" t="n">
        <f aca="false">'P2 Putere'!F40</f>
        <v>1034.56500462208</v>
      </c>
    </row>
    <row r="9" customFormat="false" ht="15" hidden="false" customHeight="false" outlineLevel="0" collapsed="false">
      <c r="A9" s="22"/>
      <c r="B9" s="23" t="s">
        <v>60</v>
      </c>
      <c r="C9" s="23" t="s">
        <v>61</v>
      </c>
      <c r="D9" s="26" t="n">
        <f aca="false">'P2 Putere'!E39</f>
        <v>4748.33808167142</v>
      </c>
      <c r="E9" s="26" t="n">
        <f aca="false">'P2 Putere'!F39</f>
        <v>5000</v>
      </c>
    </row>
    <row r="10" customFormat="false" ht="15" hidden="false" customHeight="false" outlineLevel="0" collapsed="false">
      <c r="A10" s="22"/>
      <c r="B10" s="23" t="s">
        <v>62</v>
      </c>
      <c r="C10" s="23" t="s">
        <v>61</v>
      </c>
      <c r="D10" s="26" t="n">
        <f aca="false">c_n_max</f>
        <v>15000</v>
      </c>
      <c r="E10" s="26" t="n">
        <f aca="false">c_n_max</f>
        <v>15000</v>
      </c>
    </row>
    <row r="11" customFormat="false" ht="15" hidden="false" customHeight="false" outlineLevel="0" collapsed="false">
      <c r="A11" s="22" t="s">
        <v>63</v>
      </c>
      <c r="B11" s="23" t="s">
        <v>64</v>
      </c>
      <c r="C11" s="23" t="s">
        <v>54</v>
      </c>
      <c r="D11" s="27" t="n">
        <f aca="false">'P2 Putere'!E36</f>
        <v>0.159609671500729</v>
      </c>
      <c r="E11" s="27" t="n">
        <f aca="false">'P2 Putere'!F36</f>
        <v>0.151576136277996</v>
      </c>
    </row>
    <row r="12" customFormat="false" ht="15" hidden="false" customHeight="false" outlineLevel="0" collapsed="false">
      <c r="A12" s="22"/>
      <c r="B12" s="23" t="s">
        <v>65</v>
      </c>
      <c r="C12" s="23" t="s">
        <v>54</v>
      </c>
      <c r="D12" s="28" t="n">
        <f aca="false">'P2 Putere'!E37</f>
        <v>6.26528449433862</v>
      </c>
      <c r="E12" s="28" t="n">
        <f aca="false">'P2 Putere'!F37</f>
        <v>6.59734457253857</v>
      </c>
    </row>
    <row r="13" customFormat="false" ht="15" hidden="false" customHeight="false" outlineLevel="0" collapsed="false">
      <c r="A13" s="22" t="s">
        <v>4</v>
      </c>
      <c r="B13" s="23" t="s">
        <v>66</v>
      </c>
      <c r="C13" s="23" t="s">
        <v>67</v>
      </c>
      <c r="D13" s="28" t="n">
        <f aca="false">'P2 Putere'!E24</f>
        <v>7.58964017652257</v>
      </c>
      <c r="E13" s="28" t="n">
        <f aca="false">'P2 Putere'!F24</f>
        <v>7.61161686841313</v>
      </c>
    </row>
    <row r="14" customFormat="false" ht="15" hidden="false" customHeight="false" outlineLevel="0" collapsed="false">
      <c r="A14" s="22"/>
      <c r="B14" s="23" t="s">
        <v>68</v>
      </c>
      <c r="C14" s="23" t="s">
        <v>69</v>
      </c>
      <c r="D14" s="29" t="n">
        <f aca="false">'P2 Putere'!E26</f>
        <v>3.6599597782915</v>
      </c>
      <c r="E14" s="29" t="n">
        <f aca="false">'P2 Putere'!F26</f>
        <v>3.64939253485691</v>
      </c>
    </row>
    <row r="15" customFormat="false" ht="15" hidden="false" customHeight="false" outlineLevel="0" collapsed="false">
      <c r="A15" s="22" t="s">
        <v>70</v>
      </c>
      <c r="B15" s="23" t="s">
        <v>71</v>
      </c>
      <c r="C15" s="23" t="s">
        <v>72</v>
      </c>
      <c r="D15" s="29" t="n">
        <f aca="false">'P3 Energie'!E54</f>
        <v>104.379362092775</v>
      </c>
      <c r="E15" s="29" t="n">
        <f aca="false">'P3 Energie'!F54</f>
        <v>122.018532417807</v>
      </c>
    </row>
    <row r="16" customFormat="false" ht="15" hidden="false" customHeight="false" outlineLevel="0" collapsed="false">
      <c r="A16" s="22"/>
      <c r="B16" s="23" t="s">
        <v>73</v>
      </c>
      <c r="C16" s="23" t="s">
        <v>74</v>
      </c>
      <c r="D16" s="29" t="n">
        <f aca="false">'P3 Energie'!E56</f>
        <v>13.111808607437</v>
      </c>
      <c r="E16" s="29" t="n">
        <f aca="false">'P3 Energie'!F56</f>
        <v>13.2218223982143</v>
      </c>
    </row>
    <row r="17" customFormat="false" ht="15" hidden="false" customHeight="false" outlineLevel="0" collapsed="false">
      <c r="A17" s="22"/>
      <c r="B17" s="23" t="s">
        <v>75</v>
      </c>
      <c r="C17" s="23" t="s">
        <v>54</v>
      </c>
      <c r="D17" s="24" t="str">
        <f aca="false">TEXT(Baterie!E12,"0")&amp;"s × "&amp;TEXT(Baterie!E21,"0")&amp;"p = "&amp;TEXT(Baterie!E22,"0")</f>
        <v>202s × 29p = 5858</v>
      </c>
      <c r="E17" s="24" t="str">
        <f aca="false">TEXT(Baterie!F12,"0")&amp;"s × "&amp;TEXT(Baterie!F21,"0")&amp;"p = "&amp;TEXT(Baterie!F22,"0")</f>
        <v>202s × 34p = 6868</v>
      </c>
    </row>
    <row r="18" customFormat="false" ht="15" hidden="false" customHeight="false" outlineLevel="0" collapsed="false">
      <c r="A18" s="22"/>
      <c r="B18" s="23" t="s">
        <v>76</v>
      </c>
      <c r="C18" s="23" t="s">
        <v>72</v>
      </c>
      <c r="D18" s="29" t="n">
        <f aca="false">Baterie!E23</f>
        <v>105.444</v>
      </c>
      <c r="E18" s="29" t="n">
        <f aca="false">Baterie!F23</f>
        <v>123.624</v>
      </c>
    </row>
    <row r="19" customFormat="false" ht="15" hidden="false" customHeight="false" outlineLevel="0" collapsed="false">
      <c r="A19" s="22"/>
      <c r="B19" s="23" t="s">
        <v>77</v>
      </c>
      <c r="C19" s="23" t="s">
        <v>78</v>
      </c>
      <c r="D19" s="24" t="str">
        <f aca="false">TEXT(Baterie!E13,"0")&amp;" ("&amp;TEXT(Baterie!E15,"0")&amp;" – "&amp;TEXT(Baterie!E14,"0")&amp;")"</f>
        <v>727 (505 – 848)</v>
      </c>
      <c r="E19" s="24" t="str">
        <f aca="false">TEXT(Baterie!F13,"0")&amp;" ("&amp;TEXT(Baterie!F15,"0")&amp;" – "&amp;TEXT(Baterie!F14,"0")&amp;")"</f>
        <v>727 (505 – 848)</v>
      </c>
    </row>
    <row r="20" customFormat="false" ht="15" hidden="false" customHeight="false" outlineLevel="0" collapsed="false">
      <c r="A20" s="22"/>
      <c r="B20" s="23" t="s">
        <v>79</v>
      </c>
      <c r="C20" s="23" t="s">
        <v>80</v>
      </c>
      <c r="D20" s="24" t="str">
        <f aca="false">TEXT(Baterie!E31,"0")&amp;" / "&amp;TEXT(Baterie!E32,"0")</f>
        <v>416 / 660</v>
      </c>
      <c r="E20" s="24" t="str">
        <f aca="false">TEXT(Baterie!F31,"0")&amp;" / "&amp;TEXT(Baterie!F32,"0")</f>
        <v>488 / 774</v>
      </c>
    </row>
    <row r="21" customFormat="false" ht="15" hidden="false" customHeight="false" outlineLevel="0" collapsed="false">
      <c r="A21" s="22" t="s">
        <v>81</v>
      </c>
      <c r="B21" s="23" t="s">
        <v>82</v>
      </c>
      <c r="C21" s="23" t="s">
        <v>54</v>
      </c>
      <c r="D21" s="24" t="str">
        <f aca="false">"invertor trifazat (DC-AC)"</f>
        <v>invertor trifazat (DC-AC)</v>
      </c>
      <c r="E21" s="24" t="str">
        <f aca="false">"invertor trifazat (DC-AC)"</f>
        <v>invertor trifazat (DC-AC)</v>
      </c>
    </row>
    <row r="22" customFormat="false" ht="15" hidden="false" customHeight="false" outlineLevel="0" collapsed="false">
      <c r="A22" s="22"/>
      <c r="B22" s="23" t="s">
        <v>83</v>
      </c>
      <c r="C22" s="23" t="s">
        <v>84</v>
      </c>
      <c r="D22" s="24" t="str">
        <f aca="false">TEXT(Baterie!E18,"0")&amp;" / "&amp;TEXT(Baterie!E19,"0")</f>
        <v>892 / 1284</v>
      </c>
      <c r="E22" s="24" t="str">
        <f aca="false">TEXT(Baterie!F18,"0")&amp;" / "&amp;TEXT(Baterie!F19,"0")</f>
        <v>931 / 1341</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52"/>
    <col collapsed="false" customWidth="true" hidden="false" outlineLevel="0" max="3" min="3" style="0" width="12"/>
    <col collapsed="false" customWidth="true" hidden="false" outlineLevel="0" max="4" min="4" style="0" width="10"/>
    <col collapsed="false" customWidth="true" hidden="false" outlineLevel="0" max="5" min="5" style="0" width="70"/>
  </cols>
  <sheetData>
    <row r="1" customFormat="false" ht="17.35" hidden="false" customHeight="false" outlineLevel="0" collapsed="false">
      <c r="A1" s="1" t="s">
        <v>85</v>
      </c>
    </row>
    <row r="2" customFormat="false" ht="15" hidden="false" customHeight="false" outlineLevel="0" collapsed="false">
      <c r="A2" s="2" t="s">
        <v>86</v>
      </c>
    </row>
    <row r="4" customFormat="false" ht="15" hidden="false" customHeight="false" outlineLevel="0" collapsed="false">
      <c r="A4" s="3" t="s">
        <v>87</v>
      </c>
      <c r="B4" s="3" t="s">
        <v>48</v>
      </c>
      <c r="C4" s="3" t="s">
        <v>88</v>
      </c>
      <c r="D4" s="3" t="s">
        <v>49</v>
      </c>
      <c r="E4" s="3" t="s">
        <v>89</v>
      </c>
    </row>
    <row r="5" customFormat="false" ht="15" hidden="false" customHeight="false" outlineLevel="0" collapsed="false">
      <c r="A5" s="21" t="s">
        <v>90</v>
      </c>
      <c r="B5" s="23" t="s">
        <v>91</v>
      </c>
      <c r="C5" s="30" t="n">
        <v>9.81</v>
      </c>
      <c r="D5" s="23" t="s">
        <v>67</v>
      </c>
      <c r="E5" s="23" t="s">
        <v>92</v>
      </c>
    </row>
    <row r="6" customFormat="false" ht="15" hidden="false" customHeight="false" outlineLevel="0" collapsed="false">
      <c r="A6" s="21" t="s">
        <v>93</v>
      </c>
      <c r="B6" s="23" t="s">
        <v>94</v>
      </c>
      <c r="C6" s="30" t="n">
        <v>1.293</v>
      </c>
      <c r="D6" s="23" t="s">
        <v>95</v>
      </c>
      <c r="E6" s="23" t="s">
        <v>96</v>
      </c>
    </row>
    <row r="7" customFormat="false" ht="15" hidden="false" customHeight="false" outlineLevel="0" collapsed="false">
      <c r="A7" s="21" t="s">
        <v>97</v>
      </c>
      <c r="B7" s="23" t="s">
        <v>98</v>
      </c>
      <c r="C7" s="30" t="n">
        <v>0.013</v>
      </c>
      <c r="D7" s="23" t="s">
        <v>54</v>
      </c>
      <c r="E7" s="23" t="s">
        <v>99</v>
      </c>
    </row>
    <row r="8" customFormat="false" ht="15" hidden="false" customHeight="false" outlineLevel="0" collapsed="false">
      <c r="A8" s="21" t="s">
        <v>100</v>
      </c>
      <c r="B8" s="23" t="s">
        <v>101</v>
      </c>
      <c r="C8" s="30" t="n">
        <v>0.8</v>
      </c>
      <c r="D8" s="23" t="s">
        <v>54</v>
      </c>
      <c r="E8" s="23" t="s">
        <v>102</v>
      </c>
    </row>
    <row r="9" customFormat="false" ht="15" hidden="false" customHeight="false" outlineLevel="0" collapsed="false">
      <c r="A9" s="21" t="s">
        <v>103</v>
      </c>
      <c r="B9" s="23" t="s">
        <v>104</v>
      </c>
      <c r="C9" s="30" t="n">
        <v>0</v>
      </c>
      <c r="D9" s="23" t="s">
        <v>105</v>
      </c>
      <c r="E9" s="23" t="s">
        <v>106</v>
      </c>
    </row>
    <row r="10" customFormat="false" ht="15" hidden="false" customHeight="false" outlineLevel="0" collapsed="false">
      <c r="A10" s="21" t="s">
        <v>107</v>
      </c>
      <c r="B10" s="23" t="s">
        <v>108</v>
      </c>
      <c r="C10" s="30" t="n">
        <v>0</v>
      </c>
      <c r="D10" s="23" t="s">
        <v>109</v>
      </c>
      <c r="E10" s="23" t="s">
        <v>110</v>
      </c>
    </row>
    <row r="11" customFormat="false" ht="15" hidden="false" customHeight="false" outlineLevel="0" collapsed="false">
      <c r="A11" s="21" t="s">
        <v>111</v>
      </c>
      <c r="B11" s="23" t="s">
        <v>112</v>
      </c>
      <c r="C11" s="30" t="n">
        <v>0.35</v>
      </c>
      <c r="D11" s="23" t="s">
        <v>113</v>
      </c>
      <c r="E11" s="23" t="s">
        <v>114</v>
      </c>
    </row>
    <row r="12" customFormat="false" ht="15" hidden="false" customHeight="false" outlineLevel="0" collapsed="false">
      <c r="A12" s="21" t="s">
        <v>115</v>
      </c>
      <c r="B12" s="23" t="s">
        <v>116</v>
      </c>
      <c r="C12" s="30" t="n">
        <v>0.01</v>
      </c>
      <c r="D12" s="23" t="s">
        <v>54</v>
      </c>
      <c r="E12" s="23" t="s">
        <v>117</v>
      </c>
    </row>
    <row r="13" customFormat="false" ht="15" hidden="false" customHeight="false" outlineLevel="0" collapsed="false">
      <c r="A13" s="21" t="s">
        <v>118</v>
      </c>
      <c r="B13" s="23" t="s">
        <v>119</v>
      </c>
      <c r="C13" s="30" t="n">
        <v>100</v>
      </c>
      <c r="D13" s="23" t="s">
        <v>120</v>
      </c>
      <c r="E13" s="23" t="s">
        <v>121</v>
      </c>
    </row>
    <row r="14" customFormat="false" ht="15" hidden="false" customHeight="false" outlineLevel="0" collapsed="false">
      <c r="A14" s="21" t="s">
        <v>122</v>
      </c>
      <c r="B14" s="23" t="s">
        <v>123</v>
      </c>
      <c r="C14" s="30" t="n">
        <v>15000</v>
      </c>
      <c r="D14" s="23" t="s">
        <v>61</v>
      </c>
      <c r="E14" s="23" t="s">
        <v>124</v>
      </c>
    </row>
    <row r="15" customFormat="false" ht="15" hidden="false" customHeight="false" outlineLevel="0" collapsed="false">
      <c r="A15" s="21" t="s">
        <v>125</v>
      </c>
      <c r="B15" s="23" t="s">
        <v>126</v>
      </c>
      <c r="C15" s="30" t="n">
        <v>50</v>
      </c>
      <c r="D15" s="23" t="s">
        <v>120</v>
      </c>
      <c r="E15" s="23" t="s">
        <v>127</v>
      </c>
    </row>
    <row r="16" customFormat="false" ht="15" hidden="false" customHeight="false" outlineLevel="0" collapsed="false">
      <c r="A16" s="21" t="s">
        <v>128</v>
      </c>
      <c r="B16" s="23" t="s">
        <v>129</v>
      </c>
      <c r="C16" s="30" t="n">
        <v>0.8</v>
      </c>
      <c r="D16" s="23" t="s">
        <v>54</v>
      </c>
      <c r="E16" s="23" t="s">
        <v>130</v>
      </c>
    </row>
    <row r="17" customFormat="false" ht="15" hidden="false" customHeight="false" outlineLevel="0" collapsed="false">
      <c r="A17" s="21" t="s">
        <v>131</v>
      </c>
      <c r="B17" s="23" t="s">
        <v>132</v>
      </c>
      <c r="C17" s="30" t="n">
        <v>0.3</v>
      </c>
      <c r="D17" s="23" t="s">
        <v>54</v>
      </c>
      <c r="E17" s="23" t="s">
        <v>133</v>
      </c>
    </row>
    <row r="18" customFormat="false" ht="15" hidden="false" customHeight="false" outlineLevel="0" collapsed="false">
      <c r="A18" s="21" t="s">
        <v>134</v>
      </c>
      <c r="B18" s="23" t="s">
        <v>135</v>
      </c>
      <c r="C18" s="30" t="n">
        <v>850</v>
      </c>
      <c r="D18" s="23" t="s">
        <v>78</v>
      </c>
      <c r="E18" s="23" t="s">
        <v>136</v>
      </c>
    </row>
    <row r="19" customFormat="false" ht="15" hidden="false" customHeight="false" outlineLevel="0" collapsed="false">
      <c r="A19" s="21" t="s">
        <v>137</v>
      </c>
      <c r="B19" s="23" t="s">
        <v>138</v>
      </c>
      <c r="C19" s="30" t="n">
        <v>0.3</v>
      </c>
      <c r="D19" s="23" t="s">
        <v>54</v>
      </c>
      <c r="E19" s="23" t="s">
        <v>139</v>
      </c>
    </row>
    <row r="21" customFormat="false" ht="15" hidden="false" customHeight="false" outlineLevel="0" collapsed="false">
      <c r="B21" s="16" t="s">
        <v>140</v>
      </c>
      <c r="E21" s="31" t="s">
        <v>141</v>
      </c>
    </row>
    <row r="22" customFormat="false" ht="15" hidden="false" customHeight="false" outlineLevel="0" collapsed="false">
      <c r="A22" s="21" t="s">
        <v>142</v>
      </c>
      <c r="B22" s="23" t="s">
        <v>143</v>
      </c>
      <c r="C22" s="30" t="n">
        <v>3.6</v>
      </c>
      <c r="D22" s="23" t="s">
        <v>78</v>
      </c>
      <c r="E22" s="23" t="s">
        <v>144</v>
      </c>
    </row>
    <row r="23" customFormat="false" ht="15" hidden="false" customHeight="false" outlineLevel="0" collapsed="false">
      <c r="A23" s="21" t="s">
        <v>145</v>
      </c>
      <c r="B23" s="23" t="s">
        <v>146</v>
      </c>
      <c r="C23" s="30" t="n">
        <v>4.2</v>
      </c>
      <c r="D23" s="23" t="s">
        <v>78</v>
      </c>
      <c r="E23" s="23" t="s">
        <v>147</v>
      </c>
    </row>
    <row r="24" customFormat="false" ht="15" hidden="false" customHeight="false" outlineLevel="0" collapsed="false">
      <c r="A24" s="21" t="s">
        <v>148</v>
      </c>
      <c r="B24" s="23" t="s">
        <v>149</v>
      </c>
      <c r="C24" s="30" t="n">
        <v>2.5</v>
      </c>
      <c r="D24" s="23" t="s">
        <v>78</v>
      </c>
      <c r="E24" s="23" t="s">
        <v>150</v>
      </c>
    </row>
    <row r="25" customFormat="false" ht="15" hidden="false" customHeight="false" outlineLevel="0" collapsed="false">
      <c r="A25" s="21" t="s">
        <v>151</v>
      </c>
      <c r="B25" s="23" t="s">
        <v>152</v>
      </c>
      <c r="C25" s="30" t="n">
        <v>5</v>
      </c>
      <c r="D25" s="23" t="s">
        <v>153</v>
      </c>
      <c r="E25" s="23" t="s">
        <v>154</v>
      </c>
    </row>
    <row r="26" customFormat="false" ht="15" hidden="false" customHeight="false" outlineLevel="0" collapsed="false">
      <c r="A26" s="21" t="s">
        <v>155</v>
      </c>
      <c r="B26" s="23" t="s">
        <v>156</v>
      </c>
      <c r="C26" s="30" t="n">
        <v>0.071</v>
      </c>
      <c r="D26" s="23" t="s">
        <v>80</v>
      </c>
      <c r="E26" s="23" t="s">
        <v>157</v>
      </c>
    </row>
    <row r="27" customFormat="false" ht="15" hidden="false" customHeight="false" outlineLevel="0" collapsed="false">
      <c r="A27" s="21" t="s">
        <v>158</v>
      </c>
      <c r="B27" s="23" t="s">
        <v>159</v>
      </c>
      <c r="C27" s="30" t="n">
        <v>60</v>
      </c>
      <c r="D27" s="23" t="s">
        <v>84</v>
      </c>
      <c r="E27" s="23" t="s">
        <v>160</v>
      </c>
    </row>
    <row r="28" customFormat="false" ht="15" hidden="false" customHeight="false" outlineLevel="0" collapsed="false">
      <c r="A28" s="21" t="s">
        <v>161</v>
      </c>
      <c r="B28" s="23" t="s">
        <v>162</v>
      </c>
      <c r="C28" s="30" t="n">
        <v>0.63</v>
      </c>
      <c r="D28" s="23" t="s">
        <v>54</v>
      </c>
      <c r="E28" s="23" t="s">
        <v>163</v>
      </c>
    </row>
  </sheetData>
  <hyperlinks>
    <hyperlink ref="E21" r:id="rId1" display="https://www.molicel.com/wp-content/uploads/4.TR%E7%B0%A1%E6%98%93%E8%A6%8F%E6%A0%BC_INR21700P50B_1.1_Product-Data-Sheet-of-INR-21700-P50B-80122.pdf"/>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6"/>
    <col collapsed="false" customWidth="true" hidden="false" outlineLevel="0" max="3" min="3" style="0" width="13"/>
    <col collapsed="false" customWidth="true" hidden="false" outlineLevel="0" max="4" min="4" style="0" width="9"/>
    <col collapsed="false" customWidth="true" hidden="false" outlineLevel="0" max="6" min="5" style="0" width="16"/>
    <col collapsed="false" customWidth="true" hidden="false" outlineLevel="0" max="7" min="7" style="0" width="70"/>
  </cols>
  <sheetData>
    <row r="1" customFormat="false" ht="17.35" hidden="false" customHeight="false" outlineLevel="0" collapsed="false">
      <c r="A1" s="1" t="s">
        <v>164</v>
      </c>
    </row>
    <row r="2" customFormat="false" ht="15" hidden="false" customHeight="false" outlineLevel="0" collapsed="false">
      <c r="A2" s="2" t="s">
        <v>165</v>
      </c>
    </row>
    <row r="4" customFormat="false" ht="15" hidden="false" customHeight="false" outlineLevel="0" collapsed="false">
      <c r="A4" s="3" t="s">
        <v>166</v>
      </c>
      <c r="B4" s="3" t="s">
        <v>48</v>
      </c>
      <c r="C4" s="3" t="s">
        <v>167</v>
      </c>
      <c r="D4" s="3" t="s">
        <v>49</v>
      </c>
      <c r="E4" s="3" t="s">
        <v>50</v>
      </c>
      <c r="F4" s="3" t="s">
        <v>51</v>
      </c>
      <c r="G4" s="3" t="s">
        <v>168</v>
      </c>
    </row>
    <row r="5" customFormat="false" ht="15" hidden="false" customHeight="false" outlineLevel="0" collapsed="false">
      <c r="A5" s="16" t="s">
        <v>169</v>
      </c>
    </row>
    <row r="6" customFormat="false" ht="15" hidden="false" customHeight="false" outlineLevel="0" collapsed="false">
      <c r="A6" s="10"/>
      <c r="B6" s="10" t="s">
        <v>170</v>
      </c>
      <c r="C6" s="10" t="s">
        <v>171</v>
      </c>
      <c r="D6" s="10" t="s">
        <v>80</v>
      </c>
      <c r="E6" s="32" t="n">
        <f aca="false">'Date documentare'!G16</f>
        <v>2355.8</v>
      </c>
      <c r="F6" s="32" t="n">
        <f aca="false">'Date documentare'!G6</f>
        <v>2460</v>
      </c>
      <c r="G6" s="33" t="s">
        <v>172</v>
      </c>
    </row>
    <row r="7" customFormat="false" ht="15" hidden="false" customHeight="false" outlineLevel="0" collapsed="false">
      <c r="A7" s="10"/>
      <c r="B7" s="10" t="s">
        <v>173</v>
      </c>
      <c r="C7" s="10" t="s">
        <v>17</v>
      </c>
      <c r="D7" s="10" t="s">
        <v>54</v>
      </c>
      <c r="E7" s="34" t="n">
        <f aca="false">'Date documentare'!O16</f>
        <v>0.2596</v>
      </c>
      <c r="F7" s="34" t="n">
        <f aca="false">'Date documentare'!O6</f>
        <v>0.22</v>
      </c>
      <c r="G7" s="33"/>
    </row>
    <row r="8" customFormat="false" ht="15" hidden="false" customHeight="false" outlineLevel="0" collapsed="false">
      <c r="A8" s="10"/>
      <c r="B8" s="10" t="s">
        <v>174</v>
      </c>
      <c r="C8" s="10" t="s">
        <v>175</v>
      </c>
      <c r="D8" s="10" t="s">
        <v>176</v>
      </c>
      <c r="E8" s="15" t="n">
        <f aca="false">'Date documentare'!P16</f>
        <v>2.38</v>
      </c>
      <c r="F8" s="15" t="n">
        <f aca="false">'Date documentare'!P6</f>
        <v>2.44</v>
      </c>
      <c r="G8" s="33"/>
    </row>
    <row r="9" customFormat="false" ht="15" hidden="false" customHeight="false" outlineLevel="0" collapsed="false">
      <c r="A9" s="10"/>
      <c r="B9" s="10" t="s">
        <v>177</v>
      </c>
      <c r="C9" s="10" t="s">
        <v>178</v>
      </c>
      <c r="D9" s="10" t="s">
        <v>109</v>
      </c>
      <c r="E9" s="15" t="n">
        <f aca="false">'Date documentare'!U16</f>
        <v>87.75</v>
      </c>
      <c r="F9" s="15" t="n">
        <f aca="false">'Date documentare'!U6</f>
        <v>83.3333333333333</v>
      </c>
      <c r="G9" s="33"/>
    </row>
    <row r="10" customFormat="false" ht="15" hidden="false" customHeight="false" outlineLevel="0" collapsed="false">
      <c r="A10" s="10"/>
      <c r="B10" s="10" t="s">
        <v>179</v>
      </c>
      <c r="C10" s="10" t="s">
        <v>180</v>
      </c>
      <c r="D10" s="10" t="s">
        <v>67</v>
      </c>
      <c r="E10" s="15" t="n">
        <f aca="false">'Date documentare'!V16</f>
        <v>12.4156949315094</v>
      </c>
      <c r="F10" s="15" t="n">
        <f aca="false">'Date documentare'!V6</f>
        <v>11.5740740740741</v>
      </c>
      <c r="G10" s="33"/>
    </row>
    <row r="11" customFormat="false" ht="15" hidden="false" customHeight="false" outlineLevel="0" collapsed="false">
      <c r="A11" s="10"/>
      <c r="B11" s="10" t="s">
        <v>181</v>
      </c>
      <c r="C11" s="10" t="s">
        <v>182</v>
      </c>
      <c r="D11" s="10" t="s">
        <v>183</v>
      </c>
      <c r="E11" s="35" t="n">
        <f aca="false">'Date documentare'!T16</f>
        <v>870900</v>
      </c>
      <c r="F11" s="35" t="n">
        <f aca="false">'Date documentare'!T6</f>
        <v>860000</v>
      </c>
      <c r="G11" s="33"/>
    </row>
    <row r="12" customFormat="false" ht="15" hidden="false" customHeight="false" outlineLevel="0" collapsed="false">
      <c r="A12" s="10"/>
      <c r="B12" s="10" t="s">
        <v>184</v>
      </c>
      <c r="C12" s="10" t="s">
        <v>185</v>
      </c>
      <c r="D12" s="10" t="s">
        <v>113</v>
      </c>
      <c r="E12" s="15" t="n">
        <f aca="false">c_r</f>
        <v>0.35</v>
      </c>
      <c r="F12" s="15" t="n">
        <f aca="false">c_r</f>
        <v>0.35</v>
      </c>
      <c r="G12" s="33" t="s">
        <v>186</v>
      </c>
    </row>
    <row r="13" customFormat="false" ht="15" hidden="false" customHeight="false" outlineLevel="0" collapsed="false">
      <c r="A13" s="16" t="s">
        <v>187</v>
      </c>
    </row>
    <row r="14" customFormat="false" ht="15" hidden="false" customHeight="false" outlineLevel="0" collapsed="false">
      <c r="A14" s="10" t="s">
        <v>188</v>
      </c>
      <c r="B14" s="10" t="s">
        <v>119</v>
      </c>
      <c r="C14" s="10" t="s">
        <v>189</v>
      </c>
      <c r="D14" s="10" t="s">
        <v>109</v>
      </c>
      <c r="E14" s="15" t="n">
        <f aca="false">c_Va_kmh/3.6</f>
        <v>27.7777777777778</v>
      </c>
      <c r="F14" s="15" t="n">
        <f aca="false">c_Va_kmh/3.6</f>
        <v>27.7777777777778</v>
      </c>
      <c r="G14" s="33" t="s">
        <v>190</v>
      </c>
    </row>
    <row r="15" customFormat="false" ht="15" hidden="false" customHeight="false" outlineLevel="0" collapsed="false">
      <c r="A15" s="10" t="s">
        <v>191</v>
      </c>
      <c r="B15" s="10" t="s">
        <v>192</v>
      </c>
      <c r="C15" s="10" t="s">
        <v>193</v>
      </c>
      <c r="D15" s="10" t="s">
        <v>69</v>
      </c>
      <c r="E15" s="15" t="n">
        <f aca="false">E14/E10</f>
        <v>2.23731155855653</v>
      </c>
      <c r="F15" s="15" t="n">
        <f aca="false">F14/F10</f>
        <v>2.4</v>
      </c>
      <c r="G15" s="33" t="s">
        <v>194</v>
      </c>
    </row>
    <row r="16" customFormat="false" ht="15" hidden="false" customHeight="false" outlineLevel="0" collapsed="false">
      <c r="A16" s="10" t="s">
        <v>195</v>
      </c>
      <c r="B16" s="10" t="s">
        <v>196</v>
      </c>
      <c r="C16" s="10" t="s">
        <v>197</v>
      </c>
      <c r="D16" s="10" t="s">
        <v>198</v>
      </c>
      <c r="E16" s="14" t="n">
        <f aca="false">c_mu_f*E6*c_g*COS(c_alpha)</f>
        <v>300.435174</v>
      </c>
      <c r="F16" s="14" t="n">
        <f aca="false">c_mu_f*F6*c_g*COS(c_alpha)</f>
        <v>313.7238</v>
      </c>
      <c r="G16" s="33" t="s">
        <v>199</v>
      </c>
    </row>
    <row r="17" customFormat="false" ht="15" hidden="false" customHeight="false" outlineLevel="0" collapsed="false">
      <c r="A17" s="10" t="s">
        <v>195</v>
      </c>
      <c r="B17" s="10" t="s">
        <v>200</v>
      </c>
      <c r="C17" s="10" t="s">
        <v>201</v>
      </c>
      <c r="D17" s="10" t="s">
        <v>198</v>
      </c>
      <c r="E17" s="14" t="n">
        <f aca="false">0.5*c_rho*E8*E7*(E14-c_Vv)^2</f>
        <v>308.208898148148</v>
      </c>
      <c r="F17" s="14" t="n">
        <f aca="false">0.5*c_rho*F8*F7*(F14-c_Vv)^2</f>
        <v>267.778703703704</v>
      </c>
      <c r="G17" s="33" t="s">
        <v>202</v>
      </c>
    </row>
    <row r="18" customFormat="false" ht="15" hidden="false" customHeight="false" outlineLevel="0" collapsed="false">
      <c r="A18" s="10" t="s">
        <v>195</v>
      </c>
      <c r="B18" s="10" t="s">
        <v>203</v>
      </c>
      <c r="C18" s="10" t="s">
        <v>204</v>
      </c>
      <c r="D18" s="10" t="s">
        <v>198</v>
      </c>
      <c r="E18" s="14" t="n">
        <f aca="false">E6*c_g*SIN(c_alpha)</f>
        <v>0</v>
      </c>
      <c r="F18" s="14" t="n">
        <f aca="false">F6*c_g*SIN(c_alpha)</f>
        <v>0</v>
      </c>
      <c r="G18" s="33" t="s">
        <v>205</v>
      </c>
    </row>
    <row r="19" customFormat="false" ht="15" hidden="false" customHeight="false" outlineLevel="0" collapsed="false">
      <c r="A19" s="10" t="s">
        <v>195</v>
      </c>
      <c r="B19" s="10" t="s">
        <v>206</v>
      </c>
      <c r="C19" s="10" t="s">
        <v>207</v>
      </c>
      <c r="D19" s="10" t="s">
        <v>198</v>
      </c>
      <c r="E19" s="14" t="n">
        <f aca="false">E6*E10</f>
        <v>29248.8941196499</v>
      </c>
      <c r="F19" s="14" t="n">
        <f aca="false">F6*F10</f>
        <v>28472.2222222222</v>
      </c>
      <c r="G19" s="33"/>
    </row>
    <row r="20" customFormat="false" ht="15" hidden="false" customHeight="false" outlineLevel="0" collapsed="false">
      <c r="A20" s="10" t="s">
        <v>195</v>
      </c>
      <c r="B20" s="10" t="s">
        <v>208</v>
      </c>
      <c r="C20" s="10" t="s">
        <v>209</v>
      </c>
      <c r="D20" s="10" t="s">
        <v>198</v>
      </c>
      <c r="E20" s="14" t="n">
        <f aca="false">E17+E16+E18+E19</f>
        <v>29857.5381917981</v>
      </c>
      <c r="F20" s="14" t="n">
        <f aca="false">F17+F16+F18+F19</f>
        <v>29053.7247259259</v>
      </c>
      <c r="G20" s="33" t="s">
        <v>210</v>
      </c>
    </row>
    <row r="21" customFormat="false" ht="15" hidden="false" customHeight="false" outlineLevel="0" collapsed="false">
      <c r="A21" s="10" t="s">
        <v>211</v>
      </c>
      <c r="B21" s="10" t="s">
        <v>212</v>
      </c>
      <c r="C21" s="10" t="s">
        <v>213</v>
      </c>
      <c r="D21" s="10" t="s">
        <v>198</v>
      </c>
      <c r="E21" s="14" t="n">
        <f aca="false">c_mu_a*E6*c_g*COS(c_alpha)</f>
        <v>18488.3184</v>
      </c>
      <c r="F21" s="14" t="n">
        <f aca="false">c_mu_a*F6*c_g*COS(c_alpha)</f>
        <v>19306.08</v>
      </c>
      <c r="G21" s="33" t="s">
        <v>214</v>
      </c>
    </row>
    <row r="22" customFormat="false" ht="15" hidden="false" customHeight="false" outlineLevel="0" collapsed="false">
      <c r="A22" s="10" t="s">
        <v>211</v>
      </c>
      <c r="B22" s="10" t="s">
        <v>215</v>
      </c>
      <c r="C22" s="10" t="s">
        <v>216</v>
      </c>
      <c r="D22" s="10" t="s">
        <v>54</v>
      </c>
      <c r="E22" s="15" t="n">
        <f aca="false">E20/(E6*c_g*COS(c_alpha))</f>
        <v>1.29195257441253</v>
      </c>
      <c r="F22" s="15" t="n">
        <f aca="false">F20/(F6*c_g*COS(c_alpha))</f>
        <v>1.20392020445066</v>
      </c>
      <c r="G22" s="33" t="s">
        <v>217</v>
      </c>
    </row>
    <row r="23" customFormat="false" ht="15" hidden="false" customHeight="false" outlineLevel="0" collapsed="false">
      <c r="A23" s="10" t="s">
        <v>211</v>
      </c>
      <c r="B23" s="10" t="s">
        <v>218</v>
      </c>
      <c r="C23" s="10"/>
      <c r="D23" s="10"/>
      <c r="E23" s="36" t="str">
        <f aca="false">IF(E20&lt;=E21,"DA","NU")</f>
        <v>NU</v>
      </c>
      <c r="F23" s="36" t="str">
        <f aca="false">IF(F20&lt;=F21,"DA","NU")</f>
        <v>NU</v>
      </c>
      <c r="G23" s="33" t="s">
        <v>219</v>
      </c>
    </row>
    <row r="24" customFormat="false" ht="15" hidden="false" customHeight="false" outlineLevel="0" collapsed="false">
      <c r="A24" s="10" t="s">
        <v>211</v>
      </c>
      <c r="B24" s="10" t="s">
        <v>220</v>
      </c>
      <c r="C24" s="10" t="s">
        <v>221</v>
      </c>
      <c r="D24" s="10" t="s">
        <v>67</v>
      </c>
      <c r="E24" s="37" t="n">
        <f aca="false">IF(E20&lt;=E21,E10,(E21-E17-E16-E18)/E6)</f>
        <v>7.58964017652257</v>
      </c>
      <c r="F24" s="37" t="n">
        <f aca="false">IF(F20&lt;=F21,F10,(F21-F17-F16-F18)/F6)</f>
        <v>7.61161686841313</v>
      </c>
      <c r="G24" s="33" t="s">
        <v>222</v>
      </c>
    </row>
    <row r="25" customFormat="false" ht="15" hidden="false" customHeight="false" outlineLevel="0" collapsed="false">
      <c r="A25" s="10" t="s">
        <v>211</v>
      </c>
      <c r="B25" s="10" t="s">
        <v>223</v>
      </c>
      <c r="C25" s="10" t="s">
        <v>209</v>
      </c>
      <c r="D25" s="10" t="s">
        <v>198</v>
      </c>
      <c r="E25" s="14" t="n">
        <f aca="false">IF(E20&lt;=E21,E20,E21)</f>
        <v>18488.3184</v>
      </c>
      <c r="F25" s="14" t="n">
        <f aca="false">IF(F20&lt;=F21,F20,F21)</f>
        <v>19306.08</v>
      </c>
      <c r="G25" s="33"/>
    </row>
    <row r="26" customFormat="false" ht="15" hidden="false" customHeight="false" outlineLevel="0" collapsed="false">
      <c r="A26" s="10" t="s">
        <v>211</v>
      </c>
      <c r="B26" s="10" t="s">
        <v>68</v>
      </c>
      <c r="C26" s="10" t="s">
        <v>193</v>
      </c>
      <c r="D26" s="10" t="s">
        <v>69</v>
      </c>
      <c r="E26" s="15" t="n">
        <f aca="false">E14/E24</f>
        <v>3.6599597782915</v>
      </c>
      <c r="F26" s="15" t="n">
        <f aca="false">F14/F24</f>
        <v>3.64939253485691</v>
      </c>
      <c r="G26" s="33"/>
    </row>
    <row r="27" customFormat="false" ht="15" hidden="false" customHeight="false" outlineLevel="0" collapsed="false">
      <c r="A27" s="16" t="s">
        <v>224</v>
      </c>
    </row>
    <row r="28" customFormat="false" ht="15" hidden="false" customHeight="false" outlineLevel="0" collapsed="false">
      <c r="A28" s="10" t="s">
        <v>225</v>
      </c>
      <c r="B28" s="10" t="s">
        <v>226</v>
      </c>
      <c r="C28" s="10" t="s">
        <v>227</v>
      </c>
      <c r="D28" s="10" t="s">
        <v>228</v>
      </c>
      <c r="E28" s="15" t="n">
        <f aca="false">E14/E12</f>
        <v>79.3650793650794</v>
      </c>
      <c r="F28" s="15" t="n">
        <f aca="false">F14/F12</f>
        <v>79.3650793650794</v>
      </c>
      <c r="G28" s="33" t="s">
        <v>229</v>
      </c>
    </row>
    <row r="29" customFormat="false" ht="15" hidden="false" customHeight="false" outlineLevel="0" collapsed="false">
      <c r="A29" s="10" t="s">
        <v>225</v>
      </c>
      <c r="B29" s="10" t="s">
        <v>230</v>
      </c>
      <c r="C29" s="10" t="s">
        <v>231</v>
      </c>
      <c r="D29" s="10" t="s">
        <v>59</v>
      </c>
      <c r="E29" s="32" t="n">
        <f aca="false">E12*E25</f>
        <v>6470.91144</v>
      </c>
      <c r="F29" s="32" t="n">
        <f aca="false">F12*F25</f>
        <v>6757.128</v>
      </c>
      <c r="G29" s="33" t="s">
        <v>232</v>
      </c>
    </row>
    <row r="30" customFormat="false" ht="15" hidden="false" customHeight="false" outlineLevel="0" collapsed="false">
      <c r="A30" s="10" t="s">
        <v>225</v>
      </c>
      <c r="B30" s="10" t="s">
        <v>233</v>
      </c>
      <c r="C30" s="10" t="s">
        <v>234</v>
      </c>
      <c r="D30" s="10" t="s">
        <v>183</v>
      </c>
      <c r="E30" s="35" t="n">
        <f aca="false">E29*E28</f>
        <v>513564.4</v>
      </c>
      <c r="F30" s="35" t="n">
        <f aca="false">F29*F28</f>
        <v>536280</v>
      </c>
      <c r="G30" s="33" t="s">
        <v>235</v>
      </c>
    </row>
    <row r="31" customFormat="false" ht="15" hidden="false" customHeight="false" outlineLevel="0" collapsed="false">
      <c r="A31" s="10" t="s">
        <v>225</v>
      </c>
      <c r="B31" s="10" t="s">
        <v>236</v>
      </c>
      <c r="C31" s="10" t="s">
        <v>237</v>
      </c>
      <c r="D31" s="10" t="s">
        <v>183</v>
      </c>
      <c r="E31" s="38" t="n">
        <f aca="false">E30/(1-c_pp)</f>
        <v>518751.919191919</v>
      </c>
      <c r="F31" s="38" t="n">
        <f aca="false">F30/(1-c_pp)</f>
        <v>541696.96969697</v>
      </c>
      <c r="G31" s="33" t="s">
        <v>238</v>
      </c>
    </row>
    <row r="32" customFormat="false" ht="15" hidden="false" customHeight="false" outlineLevel="0" collapsed="false">
      <c r="A32" s="10" t="s">
        <v>225</v>
      </c>
      <c r="B32" s="10" t="s">
        <v>239</v>
      </c>
      <c r="C32" s="10" t="s">
        <v>240</v>
      </c>
      <c r="D32" s="10" t="s">
        <v>183</v>
      </c>
      <c r="E32" s="35" t="n">
        <f aca="false">E31-E30</f>
        <v>5187.51919191919</v>
      </c>
      <c r="F32" s="35" t="n">
        <f aca="false">F31-F30</f>
        <v>5416.96969696973</v>
      </c>
      <c r="G32" s="33"/>
    </row>
    <row r="33" customFormat="false" ht="15" hidden="false" customHeight="false" outlineLevel="0" collapsed="false">
      <c r="A33" s="16" t="s">
        <v>241</v>
      </c>
    </row>
    <row r="34" customFormat="false" ht="15" hidden="false" customHeight="false" outlineLevel="0" collapsed="false">
      <c r="A34" s="10" t="s">
        <v>242</v>
      </c>
      <c r="B34" s="10" t="s">
        <v>243</v>
      </c>
      <c r="C34" s="10" t="s">
        <v>244</v>
      </c>
      <c r="D34" s="10" t="s">
        <v>228</v>
      </c>
      <c r="E34" s="15" t="n">
        <f aca="false">E9/E12</f>
        <v>250.714285714286</v>
      </c>
      <c r="F34" s="15" t="n">
        <f aca="false">F9/F12</f>
        <v>238.095238095238</v>
      </c>
      <c r="G34" s="33"/>
    </row>
    <row r="35" customFormat="false" ht="15" hidden="false" customHeight="false" outlineLevel="0" collapsed="false">
      <c r="A35" s="10" t="s">
        <v>242</v>
      </c>
      <c r="B35" s="10" t="s">
        <v>245</v>
      </c>
      <c r="C35" s="10" t="s">
        <v>246</v>
      </c>
      <c r="D35" s="10" t="s">
        <v>228</v>
      </c>
      <c r="E35" s="15" t="n">
        <f aca="false">c_n_max*2*PI()/60</f>
        <v>1570.7963267949</v>
      </c>
      <c r="F35" s="15" t="n">
        <f aca="false">c_n_max*2*PI()/60</f>
        <v>1570.7963267949</v>
      </c>
      <c r="G35" s="33" t="s">
        <v>247</v>
      </c>
    </row>
    <row r="36" customFormat="false" ht="15" hidden="false" customHeight="false" outlineLevel="0" collapsed="false">
      <c r="A36" s="10" t="s">
        <v>242</v>
      </c>
      <c r="B36" s="10" t="s">
        <v>248</v>
      </c>
      <c r="C36" s="10" t="s">
        <v>249</v>
      </c>
      <c r="D36" s="10" t="s">
        <v>54</v>
      </c>
      <c r="E36" s="39" t="n">
        <f aca="false">E34/E35</f>
        <v>0.159609671500729</v>
      </c>
      <c r="F36" s="39" t="n">
        <f aca="false">F34/F35</f>
        <v>0.151576136277996</v>
      </c>
      <c r="G36" s="33" t="s">
        <v>250</v>
      </c>
    </row>
    <row r="37" customFormat="false" ht="15" hidden="false" customHeight="false" outlineLevel="0" collapsed="false">
      <c r="A37" s="10" t="s">
        <v>242</v>
      </c>
      <c r="B37" s="10" t="s">
        <v>251</v>
      </c>
      <c r="C37" s="10" t="s">
        <v>252</v>
      </c>
      <c r="D37" s="10" t="s">
        <v>54</v>
      </c>
      <c r="E37" s="15" t="n">
        <f aca="false">1/E36</f>
        <v>6.26528449433862</v>
      </c>
      <c r="F37" s="15" t="n">
        <f aca="false">1/F36</f>
        <v>6.59734457253857</v>
      </c>
      <c r="G37" s="33"/>
    </row>
    <row r="38" customFormat="false" ht="15" hidden="false" customHeight="false" outlineLevel="0" collapsed="false">
      <c r="A38" s="10" t="s">
        <v>242</v>
      </c>
      <c r="B38" s="10" t="s">
        <v>253</v>
      </c>
      <c r="C38" s="10" t="s">
        <v>254</v>
      </c>
      <c r="D38" s="10" t="s">
        <v>228</v>
      </c>
      <c r="E38" s="15" t="n">
        <f aca="false">E28/E36</f>
        <v>497.244801137986</v>
      </c>
      <c r="F38" s="15" t="n">
        <f aca="false">F28/F36</f>
        <v>523.598775598299</v>
      </c>
      <c r="G38" s="33"/>
    </row>
    <row r="39" customFormat="false" ht="15" hidden="false" customHeight="false" outlineLevel="0" collapsed="false">
      <c r="A39" s="10" t="s">
        <v>242</v>
      </c>
      <c r="B39" s="10" t="s">
        <v>255</v>
      </c>
      <c r="C39" s="10" t="s">
        <v>256</v>
      </c>
      <c r="D39" s="10" t="s">
        <v>61</v>
      </c>
      <c r="E39" s="35" t="n">
        <f aca="false">E38*60/(2*PI())</f>
        <v>4748.33808167142</v>
      </c>
      <c r="F39" s="35" t="n">
        <f aca="false">F38*60/(2*PI())</f>
        <v>5000</v>
      </c>
      <c r="G39" s="33"/>
    </row>
    <row r="40" customFormat="false" ht="15" hidden="false" customHeight="false" outlineLevel="0" collapsed="false">
      <c r="A40" s="10" t="s">
        <v>242</v>
      </c>
      <c r="B40" s="10" t="s">
        <v>257</v>
      </c>
      <c r="C40" s="10" t="s">
        <v>258</v>
      </c>
      <c r="D40" s="10" t="s">
        <v>59</v>
      </c>
      <c r="E40" s="40" t="n">
        <f aca="false">E31/E38</f>
        <v>1043.2525749987</v>
      </c>
      <c r="F40" s="40" t="n">
        <f aca="false">F31/F38</f>
        <v>1034.56500462208</v>
      </c>
      <c r="G40" s="33" t="s">
        <v>259</v>
      </c>
    </row>
    <row r="41" customFormat="false" ht="15" hidden="false" customHeight="false" outlineLevel="0" collapsed="false">
      <c r="A41" s="16" t="s">
        <v>260</v>
      </c>
    </row>
    <row r="42" customFormat="false" ht="15" hidden="false" customHeight="false" outlineLevel="0" collapsed="false">
      <c r="A42" s="10" t="s">
        <v>261</v>
      </c>
      <c r="B42" s="10" t="s">
        <v>262</v>
      </c>
      <c r="C42" s="10" t="s">
        <v>201</v>
      </c>
      <c r="D42" s="10" t="s">
        <v>198</v>
      </c>
      <c r="E42" s="14" t="n">
        <f aca="false">0.5*c_rho*E8*E7*(E9-c_Vv)^2</f>
        <v>3075.70320132075</v>
      </c>
      <c r="F42" s="14" t="n">
        <f aca="false">0.5*c_rho*F8*F7*(F9-c_Vv)^2</f>
        <v>2410.00833333333</v>
      </c>
      <c r="G42" s="33"/>
    </row>
    <row r="43" customFormat="false" ht="15" hidden="false" customHeight="false" outlineLevel="0" collapsed="false">
      <c r="A43" s="10" t="s">
        <v>261</v>
      </c>
      <c r="B43" s="10" t="s">
        <v>263</v>
      </c>
      <c r="C43" s="10" t="s">
        <v>209</v>
      </c>
      <c r="D43" s="10" t="s">
        <v>198</v>
      </c>
      <c r="E43" s="14" t="n">
        <f aca="false">E42+E16+E18</f>
        <v>3376.13837532075</v>
      </c>
      <c r="F43" s="14" t="n">
        <f aca="false">F42+F16+F18</f>
        <v>2723.73213333333</v>
      </c>
      <c r="G43" s="33" t="s">
        <v>264</v>
      </c>
    </row>
    <row r="44" customFormat="false" ht="15" hidden="false" customHeight="false" outlineLevel="0" collapsed="false">
      <c r="A44" s="10" t="s">
        <v>265</v>
      </c>
      <c r="B44" s="10" t="s">
        <v>266</v>
      </c>
      <c r="C44" s="10"/>
      <c r="D44" s="10"/>
      <c r="E44" s="36" t="str">
        <f aca="false">IF(E43&lt;=E21,"DA","NU")</f>
        <v>DA</v>
      </c>
      <c r="F44" s="36" t="str">
        <f aca="false">IF(F43&lt;=F21,"DA","NU")</f>
        <v>DA</v>
      </c>
      <c r="G44" s="33" t="s">
        <v>267</v>
      </c>
    </row>
    <row r="45" customFormat="false" ht="15" hidden="false" customHeight="false" outlineLevel="0" collapsed="false">
      <c r="A45" s="10" t="s">
        <v>265</v>
      </c>
      <c r="B45" s="10" t="s">
        <v>268</v>
      </c>
      <c r="C45" s="10" t="s">
        <v>178</v>
      </c>
      <c r="D45" s="10" t="s">
        <v>109</v>
      </c>
      <c r="E45" s="15" t="n">
        <f aca="false">IF(E43&lt;=E21,E9,SQRT((E21-E16-E18)/(0.5*c_rho*E8*E7))+c_Vv)</f>
        <v>87.75</v>
      </c>
      <c r="F45" s="15" t="n">
        <f aca="false">IF(F43&lt;=F21,F9,SQRT((F21-F16-F18)/(0.5*c_rho*F8*F7))+c_Vv)</f>
        <v>83.3333333333333</v>
      </c>
      <c r="G45" s="33"/>
    </row>
    <row r="46" customFormat="false" ht="15" hidden="false" customHeight="false" outlineLevel="0" collapsed="false">
      <c r="A46" s="10" t="s">
        <v>265</v>
      </c>
      <c r="B46" s="10" t="s">
        <v>269</v>
      </c>
      <c r="C46" s="10" t="s">
        <v>209</v>
      </c>
      <c r="D46" s="10" t="s">
        <v>198</v>
      </c>
      <c r="E46" s="14" t="n">
        <f aca="false">IF(E43&lt;=E21,E43,E21)</f>
        <v>3376.13837532075</v>
      </c>
      <c r="F46" s="14" t="n">
        <f aca="false">IF(F43&lt;=F21,F43,F21)</f>
        <v>2723.73213333333</v>
      </c>
      <c r="G46" s="33"/>
    </row>
    <row r="47" customFormat="false" ht="15" hidden="false" customHeight="false" outlineLevel="0" collapsed="false">
      <c r="A47" s="10" t="s">
        <v>265</v>
      </c>
      <c r="B47" s="10" t="s">
        <v>270</v>
      </c>
      <c r="C47" s="10" t="s">
        <v>231</v>
      </c>
      <c r="D47" s="10" t="s">
        <v>59</v>
      </c>
      <c r="E47" s="32" t="n">
        <f aca="false">E12*E46</f>
        <v>1181.64843136226</v>
      </c>
      <c r="F47" s="32" t="n">
        <f aca="false">F12*F46</f>
        <v>953.306246666666</v>
      </c>
      <c r="G47" s="33"/>
    </row>
    <row r="48" customFormat="false" ht="15" hidden="false" customHeight="false" outlineLevel="0" collapsed="false">
      <c r="A48" s="10" t="s">
        <v>265</v>
      </c>
      <c r="B48" s="10" t="s">
        <v>271</v>
      </c>
      <c r="C48" s="10" t="s">
        <v>234</v>
      </c>
      <c r="D48" s="10" t="s">
        <v>183</v>
      </c>
      <c r="E48" s="35" t="n">
        <f aca="false">E46*E45</f>
        <v>296256.142434396</v>
      </c>
      <c r="F48" s="35" t="n">
        <f aca="false">F46*F45</f>
        <v>226977.677777778</v>
      </c>
      <c r="G48" s="33"/>
    </row>
    <row r="49" customFormat="false" ht="15" hidden="false" customHeight="false" outlineLevel="0" collapsed="false">
      <c r="A49" s="10" t="s">
        <v>265</v>
      </c>
      <c r="B49" s="10" t="s">
        <v>272</v>
      </c>
      <c r="C49" s="10" t="s">
        <v>237</v>
      </c>
      <c r="D49" s="10" t="s">
        <v>183</v>
      </c>
      <c r="E49" s="38" t="n">
        <f aca="false">E48/(1-c_pp)</f>
        <v>299248.628721612</v>
      </c>
      <c r="F49" s="38" t="n">
        <f aca="false">F48/(1-c_pp)</f>
        <v>229270.381593715</v>
      </c>
      <c r="G49" s="33"/>
    </row>
    <row r="50" customFormat="false" ht="15" hidden="false" customHeight="false" outlineLevel="0" collapsed="false">
      <c r="A50" s="10" t="s">
        <v>265</v>
      </c>
      <c r="B50" s="10" t="s">
        <v>273</v>
      </c>
      <c r="C50" s="10" t="s">
        <v>258</v>
      </c>
      <c r="D50" s="10" t="s">
        <v>59</v>
      </c>
      <c r="E50" s="32" t="n">
        <f aca="false">E49/E35</f>
        <v>190.507593898063</v>
      </c>
      <c r="F50" s="32" t="n">
        <f aca="false">F49/F35</f>
        <v>145.958058140819</v>
      </c>
      <c r="G50" s="33"/>
    </row>
    <row r="51" customFormat="false" ht="15" hidden="false" customHeight="false" outlineLevel="0" collapsed="false">
      <c r="A51" s="10" t="s">
        <v>274</v>
      </c>
      <c r="B51" s="10" t="s">
        <v>275</v>
      </c>
      <c r="C51" s="10" t="s">
        <v>276</v>
      </c>
      <c r="D51" s="10" t="s">
        <v>56</v>
      </c>
      <c r="E51" s="40" t="n">
        <f aca="false">E31/1000</f>
        <v>518.751919191919</v>
      </c>
      <c r="F51" s="40" t="n">
        <f aca="false">F31/1000</f>
        <v>541.69696969697</v>
      </c>
      <c r="G51" s="33" t="s">
        <v>277</v>
      </c>
    </row>
    <row r="52" customFormat="false" ht="15" hidden="false" customHeight="false" outlineLevel="0" collapsed="false">
      <c r="A52" s="10" t="s">
        <v>274</v>
      </c>
      <c r="B52" s="10" t="s">
        <v>278</v>
      </c>
      <c r="C52" s="10" t="s">
        <v>279</v>
      </c>
      <c r="D52" s="10" t="s">
        <v>56</v>
      </c>
      <c r="E52" s="40" t="n">
        <f aca="false">E49/1000</f>
        <v>299.248628721612</v>
      </c>
      <c r="F52" s="40" t="n">
        <f aca="false">F49/1000</f>
        <v>229.270381593715</v>
      </c>
      <c r="G52" s="33" t="s">
        <v>280</v>
      </c>
    </row>
    <row r="53" customFormat="false" ht="15" hidden="false" customHeight="false" outlineLevel="0" collapsed="false">
      <c r="A53" s="16" t="s">
        <v>281</v>
      </c>
    </row>
    <row r="54" customFormat="false" ht="15" hidden="false" customHeight="false" outlineLevel="0" collapsed="false">
      <c r="A54" s="10"/>
      <c r="B54" s="10" t="s">
        <v>282</v>
      </c>
      <c r="C54" s="10"/>
      <c r="D54" s="10" t="s">
        <v>56</v>
      </c>
      <c r="E54" s="32" t="n">
        <f aca="false">E20*E14/(1-c_pp)/1000</f>
        <v>837.753596851798</v>
      </c>
      <c r="F54" s="32" t="n">
        <f aca="false">F20*F14/(1-c_pp)/1000</f>
        <v>815.199908134847</v>
      </c>
      <c r="G54" s="33" t="s">
        <v>283</v>
      </c>
    </row>
    <row r="55" customFormat="false" ht="15" hidden="false" customHeight="false" outlineLevel="0" collapsed="false">
      <c r="A55" s="10"/>
      <c r="B55" s="10" t="s">
        <v>284</v>
      </c>
      <c r="C55" s="10"/>
      <c r="D55" s="10" t="s">
        <v>56</v>
      </c>
      <c r="E55" s="32" t="n">
        <f aca="false">E11/1000</f>
        <v>870.9</v>
      </c>
      <c r="F55" s="32" t="n">
        <f aca="false">F11/1000</f>
        <v>860</v>
      </c>
      <c r="G55" s="33"/>
    </row>
    <row r="56" customFormat="false" ht="23.85" hidden="false" customHeight="false" outlineLevel="0" collapsed="false">
      <c r="A56" s="10"/>
      <c r="B56" s="10" t="s">
        <v>285</v>
      </c>
      <c r="C56" s="10"/>
      <c r="D56" s="10" t="s">
        <v>59</v>
      </c>
      <c r="E56" s="32" t="n">
        <f aca="false">E54*1000/E38</f>
        <v>1684.79106254008</v>
      </c>
      <c r="F56" s="32" t="n">
        <f aca="false">F54*1000/F38</f>
        <v>1556.91713985264</v>
      </c>
      <c r="G56" s="33" t="s">
        <v>283</v>
      </c>
    </row>
    <row r="57" customFormat="false" ht="15" hidden="false" customHeight="false" outlineLevel="0" collapsed="false">
      <c r="A57" s="10"/>
      <c r="B57" s="10" t="s">
        <v>286</v>
      </c>
      <c r="C57" s="10"/>
      <c r="D57" s="10" t="s">
        <v>59</v>
      </c>
      <c r="E57" s="32" t="n">
        <f aca="false">'Date documentare'!H16</f>
        <v>1575.2</v>
      </c>
      <c r="F57" s="32" t="n">
        <f aca="false">'Date documentare'!H6</f>
        <v>2000</v>
      </c>
      <c r="G57" s="33"/>
    </row>
    <row r="58" customFormat="false" ht="15" hidden="false" customHeight="false" outlineLevel="0" collapsed="false">
      <c r="A58" s="10"/>
      <c r="B58" s="10" t="s">
        <v>287</v>
      </c>
      <c r="C58" s="10"/>
      <c r="D58" s="10" t="s">
        <v>54</v>
      </c>
      <c r="E58" s="14" t="n">
        <f aca="false">E45/E14</f>
        <v>3.159</v>
      </c>
      <c r="F58" s="14" t="n">
        <f aca="false">F45/F14</f>
        <v>3</v>
      </c>
      <c r="G58" s="33"/>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6"/>
    <col collapsed="false" customWidth="true" hidden="false" outlineLevel="0" max="3" min="3" style="0" width="13"/>
    <col collapsed="false" customWidth="true" hidden="false" outlineLevel="0" max="4" min="4" style="0" width="9"/>
    <col collapsed="false" customWidth="true" hidden="false" outlineLevel="0" max="6" min="5" style="0" width="16"/>
    <col collapsed="false" customWidth="true" hidden="false" outlineLevel="0" max="7" min="7" style="0" width="70"/>
  </cols>
  <sheetData>
    <row r="1" customFormat="false" ht="17.35" hidden="false" customHeight="false" outlineLevel="0" collapsed="false">
      <c r="A1" s="1" t="s">
        <v>288</v>
      </c>
    </row>
    <row r="2" customFormat="false" ht="15" hidden="false" customHeight="false" outlineLevel="0" collapsed="false">
      <c r="A2" s="2" t="s">
        <v>289</v>
      </c>
    </row>
    <row r="4" customFormat="false" ht="15" hidden="false" customHeight="false" outlineLevel="0" collapsed="false">
      <c r="A4" s="3" t="s">
        <v>166</v>
      </c>
      <c r="B4" s="3" t="s">
        <v>48</v>
      </c>
      <c r="C4" s="3" t="s">
        <v>167</v>
      </c>
      <c r="D4" s="3" t="s">
        <v>49</v>
      </c>
      <c r="E4" s="3" t="s">
        <v>50</v>
      </c>
      <c r="F4" s="3" t="s">
        <v>51</v>
      </c>
      <c r="G4" s="3" t="s">
        <v>168</v>
      </c>
    </row>
    <row r="5" customFormat="false" ht="15" hidden="false" customHeight="false" outlineLevel="0" collapsed="false">
      <c r="A5" s="16" t="s">
        <v>290</v>
      </c>
    </row>
    <row r="6" customFormat="false" ht="15" hidden="false" customHeight="false" outlineLevel="0" collapsed="false">
      <c r="A6" s="10"/>
      <c r="B6" s="10" t="s">
        <v>170</v>
      </c>
      <c r="C6" s="10" t="s">
        <v>171</v>
      </c>
      <c r="D6" s="10" t="s">
        <v>80</v>
      </c>
      <c r="E6" s="32" t="n">
        <f aca="false">'Date documentare'!G16</f>
        <v>2355.8</v>
      </c>
      <c r="F6" s="32" t="n">
        <f aca="false">'Date documentare'!G6</f>
        <v>2460</v>
      </c>
      <c r="G6" s="33"/>
    </row>
    <row r="7" customFormat="false" ht="15" hidden="false" customHeight="false" outlineLevel="0" collapsed="false">
      <c r="A7" s="10"/>
      <c r="B7" s="10" t="s">
        <v>173</v>
      </c>
      <c r="C7" s="10" t="s">
        <v>17</v>
      </c>
      <c r="D7" s="10" t="s">
        <v>54</v>
      </c>
      <c r="E7" s="34" t="n">
        <f aca="false">'Date documentare'!O16</f>
        <v>0.2596</v>
      </c>
      <c r="F7" s="34" t="n">
        <f aca="false">'Date documentare'!O6</f>
        <v>0.22</v>
      </c>
      <c r="G7" s="33"/>
    </row>
    <row r="8" customFormat="false" ht="15" hidden="false" customHeight="false" outlineLevel="0" collapsed="false">
      <c r="A8" s="10"/>
      <c r="B8" s="10" t="s">
        <v>174</v>
      </c>
      <c r="C8" s="10" t="s">
        <v>175</v>
      </c>
      <c r="D8" s="10" t="s">
        <v>176</v>
      </c>
      <c r="E8" s="15" t="n">
        <f aca="false">'Date documentare'!P16</f>
        <v>2.38</v>
      </c>
      <c r="F8" s="15" t="n">
        <f aca="false">'Date documentare'!P6</f>
        <v>2.44</v>
      </c>
      <c r="G8" s="33"/>
    </row>
    <row r="9" customFormat="false" ht="15" hidden="false" customHeight="false" outlineLevel="0" collapsed="false">
      <c r="A9" s="10"/>
      <c r="B9" s="10" t="s">
        <v>291</v>
      </c>
      <c r="C9" s="10" t="s">
        <v>292</v>
      </c>
      <c r="D9" s="10" t="s">
        <v>113</v>
      </c>
      <c r="E9" s="35" t="n">
        <f aca="false">'Date documentare'!X16*1000</f>
        <v>557250</v>
      </c>
      <c r="F9" s="35" t="n">
        <f aca="false">'Date documentare'!X6*1000</f>
        <v>646000</v>
      </c>
      <c r="G9" s="33" t="s">
        <v>293</v>
      </c>
    </row>
    <row r="10" customFormat="false" ht="15" hidden="false" customHeight="false" outlineLevel="0" collapsed="false">
      <c r="A10" s="10" t="s">
        <v>191</v>
      </c>
      <c r="B10" s="10" t="s">
        <v>294</v>
      </c>
      <c r="C10" s="10" t="s">
        <v>221</v>
      </c>
      <c r="D10" s="10" t="s">
        <v>67</v>
      </c>
      <c r="E10" s="15" t="n">
        <f aca="false">'P2 Putere'!E10</f>
        <v>12.4156949315094</v>
      </c>
      <c r="F10" s="15" t="n">
        <f aca="false">'P2 Putere'!F10</f>
        <v>11.5740740740741</v>
      </c>
      <c r="G10" s="33" t="s">
        <v>295</v>
      </c>
    </row>
    <row r="11" customFormat="false" ht="15" hidden="false" customHeight="false" outlineLevel="0" collapsed="false">
      <c r="A11" s="16" t="s">
        <v>296</v>
      </c>
    </row>
    <row r="12" customFormat="false" ht="15" hidden="false" customHeight="false" outlineLevel="0" collapsed="false">
      <c r="A12" s="10" t="s">
        <v>297</v>
      </c>
      <c r="B12" s="10" t="s">
        <v>298</v>
      </c>
      <c r="C12" s="10" t="s">
        <v>299</v>
      </c>
      <c r="D12" s="10" t="s">
        <v>109</v>
      </c>
      <c r="E12" s="34" t="n">
        <f aca="false">c_V1_kmh/3.6</f>
        <v>13.8888888888889</v>
      </c>
      <c r="F12" s="34" t="n">
        <f aca="false">c_V1_kmh/3.6</f>
        <v>13.8888888888889</v>
      </c>
      <c r="G12" s="33" t="s">
        <v>300</v>
      </c>
    </row>
    <row r="13" customFormat="false" ht="15" hidden="false" customHeight="false" outlineLevel="0" collapsed="false">
      <c r="A13" s="10" t="s">
        <v>195</v>
      </c>
      <c r="B13" s="10" t="s">
        <v>196</v>
      </c>
      <c r="C13" s="10" t="s">
        <v>197</v>
      </c>
      <c r="D13" s="10" t="s">
        <v>198</v>
      </c>
      <c r="E13" s="15" t="n">
        <f aca="false">c_mu_f*E6*c_g*COS(c_alpha)</f>
        <v>300.435174</v>
      </c>
      <c r="F13" s="15" t="n">
        <f aca="false">c_mu_f*F6*c_g*COS(c_alpha)</f>
        <v>313.7238</v>
      </c>
      <c r="G13" s="33"/>
    </row>
    <row r="14" customFormat="false" ht="15" hidden="false" customHeight="false" outlineLevel="0" collapsed="false">
      <c r="A14" s="10" t="s">
        <v>195</v>
      </c>
      <c r="B14" s="10" t="s">
        <v>301</v>
      </c>
      <c r="C14" s="10" t="s">
        <v>201</v>
      </c>
      <c r="D14" s="10" t="s">
        <v>198</v>
      </c>
      <c r="E14" s="15" t="n">
        <f aca="false">0.5*c_rho*E8*E7*(E12-c_Vv)^2</f>
        <v>77.0522245370371</v>
      </c>
      <c r="F14" s="15" t="n">
        <f aca="false">0.5*c_rho*F8*F7*(F12-c_Vv)^2</f>
        <v>66.9446759259259</v>
      </c>
      <c r="G14" s="33"/>
    </row>
    <row r="15" customFormat="false" ht="15" hidden="false" customHeight="false" outlineLevel="0" collapsed="false">
      <c r="A15" s="10" t="s">
        <v>195</v>
      </c>
      <c r="B15" s="10" t="s">
        <v>203</v>
      </c>
      <c r="C15" s="10" t="s">
        <v>204</v>
      </c>
      <c r="D15" s="10" t="s">
        <v>198</v>
      </c>
      <c r="E15" s="15" t="n">
        <f aca="false">E6*c_g*SIN(c_alpha)</f>
        <v>0</v>
      </c>
      <c r="F15" s="15" t="n">
        <f aca="false">F6*c_g*SIN(c_alpha)</f>
        <v>0</v>
      </c>
      <c r="G15" s="33"/>
    </row>
    <row r="16" customFormat="false" ht="15" hidden="false" customHeight="false" outlineLevel="0" collapsed="false">
      <c r="A16" s="10" t="s">
        <v>211</v>
      </c>
      <c r="B16" s="10" t="s">
        <v>212</v>
      </c>
      <c r="C16" s="10" t="s">
        <v>213</v>
      </c>
      <c r="D16" s="10" t="s">
        <v>198</v>
      </c>
      <c r="E16" s="14" t="n">
        <f aca="false">c_mu_a*E6*c_g*COS(c_alpha)</f>
        <v>18488.3184</v>
      </c>
      <c r="F16" s="14" t="n">
        <f aca="false">c_mu_a*F6*c_g*COS(c_alpha)</f>
        <v>19306.08</v>
      </c>
      <c r="G16" s="33"/>
    </row>
    <row r="17" customFormat="false" ht="15" hidden="false" customHeight="false" outlineLevel="0" collapsed="false">
      <c r="A17" s="10" t="s">
        <v>195</v>
      </c>
      <c r="B17" s="10" t="s">
        <v>302</v>
      </c>
      <c r="C17" s="10" t="s">
        <v>303</v>
      </c>
      <c r="D17" s="10" t="s">
        <v>198</v>
      </c>
      <c r="E17" s="14" t="n">
        <f aca="false">E14+E13+E15+E6*E10</f>
        <v>29626.381518187</v>
      </c>
      <c r="F17" s="14" t="n">
        <f aca="false">F14+F13+F15+F6*F10</f>
        <v>28852.8906981482</v>
      </c>
      <c r="G17" s="33"/>
    </row>
    <row r="18" customFormat="false" ht="15" hidden="false" customHeight="false" outlineLevel="0" collapsed="false">
      <c r="A18" s="10" t="s">
        <v>211</v>
      </c>
      <c r="B18" s="10" t="s">
        <v>304</v>
      </c>
      <c r="C18" s="10"/>
      <c r="D18" s="10"/>
      <c r="E18" s="36" t="str">
        <f aca="false">IF(E17&lt;=E16,"DA","NU")</f>
        <v>NU</v>
      </c>
      <c r="F18" s="36" t="str">
        <f aca="false">IF(F17&lt;=F16,"DA","NU")</f>
        <v>NU</v>
      </c>
      <c r="G18" s="33"/>
    </row>
    <row r="19" customFormat="false" ht="15" hidden="false" customHeight="false" outlineLevel="0" collapsed="false">
      <c r="A19" s="10" t="s">
        <v>211</v>
      </c>
      <c r="B19" s="10" t="s">
        <v>305</v>
      </c>
      <c r="C19" s="10" t="s">
        <v>221</v>
      </c>
      <c r="D19" s="10" t="s">
        <v>67</v>
      </c>
      <c r="E19" s="15" t="n">
        <f aca="false">IF(E17&lt;=E16,E10,(E16-E14-E13-E15)/E6)</f>
        <v>7.68776254413064</v>
      </c>
      <c r="F19" s="15" t="n">
        <f aca="false">IF(F17&lt;=F16,F10,(F16-F14-F13-F15)/F6)</f>
        <v>7.69325671710328</v>
      </c>
      <c r="G19" s="33"/>
    </row>
    <row r="20" customFormat="false" ht="15" hidden="false" customHeight="false" outlineLevel="0" collapsed="false">
      <c r="A20" s="10" t="s">
        <v>195</v>
      </c>
      <c r="B20" s="10" t="s">
        <v>306</v>
      </c>
      <c r="C20" s="10" t="s">
        <v>303</v>
      </c>
      <c r="D20" s="10" t="s">
        <v>198</v>
      </c>
      <c r="E20" s="14" t="n">
        <f aca="false">E14+E13+E15+E6*E19</f>
        <v>18488.3184</v>
      </c>
      <c r="F20" s="14" t="n">
        <f aca="false">F14+F13+F15+F6*F19</f>
        <v>19306.08</v>
      </c>
      <c r="G20" s="33" t="s">
        <v>307</v>
      </c>
    </row>
    <row r="21" customFormat="false" ht="15" hidden="false" customHeight="false" outlineLevel="0" collapsed="false">
      <c r="A21" s="10" t="s">
        <v>195</v>
      </c>
      <c r="B21" s="10" t="s">
        <v>308</v>
      </c>
      <c r="C21" s="10" t="s">
        <v>309</v>
      </c>
      <c r="D21" s="10" t="s">
        <v>183</v>
      </c>
      <c r="E21" s="40" t="n">
        <f aca="false">E20*E12</f>
        <v>256782.2</v>
      </c>
      <c r="F21" s="40" t="n">
        <f aca="false">F20*F12</f>
        <v>268140</v>
      </c>
      <c r="G21" s="33" t="s">
        <v>310</v>
      </c>
    </row>
    <row r="22" customFormat="false" ht="15" hidden="false" customHeight="false" outlineLevel="0" collapsed="false">
      <c r="A22" s="10" t="s">
        <v>225</v>
      </c>
      <c r="B22" s="10" t="s">
        <v>311</v>
      </c>
      <c r="C22" s="10" t="s">
        <v>312</v>
      </c>
      <c r="D22" s="10" t="s">
        <v>198</v>
      </c>
      <c r="E22" s="15" t="n">
        <f aca="false">E14+E13+E15</f>
        <v>377.487398537037</v>
      </c>
      <c r="F22" s="15" t="n">
        <f aca="false">F14+F13+F15</f>
        <v>380.668475925926</v>
      </c>
      <c r="G22" s="33" t="s">
        <v>313</v>
      </c>
    </row>
    <row r="23" customFormat="false" ht="15" hidden="false" customHeight="false" outlineLevel="0" collapsed="false">
      <c r="A23" s="10" t="s">
        <v>225</v>
      </c>
      <c r="B23" s="10" t="s">
        <v>314</v>
      </c>
      <c r="C23" s="10" t="s">
        <v>315</v>
      </c>
      <c r="D23" s="10" t="s">
        <v>183</v>
      </c>
      <c r="E23" s="41" t="n">
        <f aca="false">E22*E12</f>
        <v>5242.88053523663</v>
      </c>
      <c r="F23" s="41" t="n">
        <f aca="false">F22*F12</f>
        <v>5287.06216563786</v>
      </c>
      <c r="G23" s="33" t="s">
        <v>316</v>
      </c>
    </row>
    <row r="24" customFormat="false" ht="15" hidden="false" customHeight="false" outlineLevel="0" collapsed="false">
      <c r="A24" s="10" t="s">
        <v>242</v>
      </c>
      <c r="B24" s="10" t="s">
        <v>317</v>
      </c>
      <c r="C24" s="10" t="s">
        <v>318</v>
      </c>
      <c r="D24" s="10" t="s">
        <v>69</v>
      </c>
      <c r="E24" s="39" t="n">
        <f aca="false">E12/E19</f>
        <v>1.80662303357595</v>
      </c>
      <c r="F24" s="39" t="n">
        <f aca="false">F12/F19</f>
        <v>1.80533282582548</v>
      </c>
      <c r="G24" s="33" t="s">
        <v>319</v>
      </c>
    </row>
    <row r="25" customFormat="false" ht="15" hidden="false" customHeight="false" outlineLevel="0" collapsed="false">
      <c r="A25" s="16" t="s">
        <v>320</v>
      </c>
    </row>
    <row r="26" customFormat="false" ht="15" hidden="false" customHeight="false" outlineLevel="0" collapsed="false">
      <c r="A26" s="10" t="s">
        <v>261</v>
      </c>
      <c r="B26" s="10" t="s">
        <v>321</v>
      </c>
      <c r="C26" s="10" t="s">
        <v>322</v>
      </c>
      <c r="D26" s="10" t="s">
        <v>183</v>
      </c>
      <c r="E26" s="32" t="n">
        <f aca="false">(0+E21)/2</f>
        <v>128391.1</v>
      </c>
      <c r="F26" s="32" t="n">
        <f aca="false">(0+F21)/2</f>
        <v>134070</v>
      </c>
      <c r="G26" s="33" t="s">
        <v>323</v>
      </c>
    </row>
    <row r="27" customFormat="false" ht="15" hidden="false" customHeight="false" outlineLevel="0" collapsed="false">
      <c r="A27" s="10" t="s">
        <v>261</v>
      </c>
      <c r="B27" s="10" t="s">
        <v>324</v>
      </c>
      <c r="C27" s="10" t="s">
        <v>325</v>
      </c>
      <c r="D27" s="10" t="s">
        <v>183</v>
      </c>
      <c r="E27" s="32" t="n">
        <f aca="false">'P3 n=100'!C4</f>
        <v>126839.673307936</v>
      </c>
      <c r="F27" s="32" t="n">
        <f aca="false">'P3 n=100'!H4</f>
        <v>132496.87645327</v>
      </c>
      <c r="G27" s="33" t="s">
        <v>326</v>
      </c>
    </row>
    <row r="28" customFormat="false" ht="15" hidden="false" customHeight="false" outlineLevel="0" collapsed="false">
      <c r="A28" s="10" t="s">
        <v>265</v>
      </c>
      <c r="B28" s="10" t="s">
        <v>327</v>
      </c>
      <c r="C28" s="10" t="s">
        <v>328</v>
      </c>
      <c r="D28" s="10" t="s">
        <v>329</v>
      </c>
      <c r="E28" s="32" t="n">
        <f aca="false">E27*E24</f>
        <v>229151.475369365</v>
      </c>
      <c r="F28" s="32" t="n">
        <f aca="false">F27*F24</f>
        <v>239200.96038043</v>
      </c>
      <c r="G28" s="33" t="s">
        <v>330</v>
      </c>
    </row>
    <row r="29" customFormat="false" ht="15" hidden="false" customHeight="false" outlineLevel="0" collapsed="false">
      <c r="A29" s="10" t="s">
        <v>265</v>
      </c>
      <c r="B29" s="10" t="s">
        <v>331</v>
      </c>
      <c r="C29" s="10" t="s">
        <v>332</v>
      </c>
      <c r="D29" s="10" t="s">
        <v>329</v>
      </c>
      <c r="E29" s="32" t="n">
        <f aca="false">'P3 n=100'!C5</f>
        <v>233790.561740688</v>
      </c>
      <c r="F29" s="32" t="n">
        <f aca="false">'P3 n=100'!H5</f>
        <v>244041.779819599</v>
      </c>
      <c r="G29" s="33" t="s">
        <v>333</v>
      </c>
    </row>
    <row r="30" customFormat="false" ht="15" hidden="false" customHeight="false" outlineLevel="0" collapsed="false">
      <c r="A30" s="10" t="s">
        <v>261</v>
      </c>
      <c r="B30" s="10" t="s">
        <v>334</v>
      </c>
      <c r="C30" s="10" t="s">
        <v>325</v>
      </c>
      <c r="D30" s="10" t="s">
        <v>183</v>
      </c>
      <c r="E30" s="32" t="n">
        <f aca="false">'P3 n=1000'!C4</f>
        <v>127995.166721233</v>
      </c>
      <c r="F30" s="32" t="n">
        <f aca="false">'P3 n=1000'!H4</f>
        <v>133703.483441037</v>
      </c>
      <c r="G30" s="33" t="s">
        <v>335</v>
      </c>
    </row>
    <row r="31" customFormat="false" ht="15" hidden="false" customHeight="false" outlineLevel="0" collapsed="false">
      <c r="A31" s="10" t="s">
        <v>265</v>
      </c>
      <c r="B31" s="10" t="s">
        <v>336</v>
      </c>
      <c r="C31" s="10" t="s">
        <v>328</v>
      </c>
      <c r="D31" s="10" t="s">
        <v>329</v>
      </c>
      <c r="E31" s="32" t="n">
        <f aca="false">E30*E24</f>
        <v>231239.016384974</v>
      </c>
      <c r="F31" s="32" t="n">
        <f aca="false">F30*F24</f>
        <v>241379.287583318</v>
      </c>
      <c r="G31" s="33" t="s">
        <v>330</v>
      </c>
    </row>
    <row r="32" customFormat="false" ht="15" hidden="false" customHeight="false" outlineLevel="0" collapsed="false">
      <c r="A32" s="10" t="s">
        <v>265</v>
      </c>
      <c r="B32" s="10" t="s">
        <v>337</v>
      </c>
      <c r="C32" s="10" t="s">
        <v>332</v>
      </c>
      <c r="D32" s="10" t="s">
        <v>329</v>
      </c>
      <c r="E32" s="32" t="n">
        <f aca="false">'P3 n=1000'!C5</f>
        <v>231702.925022107</v>
      </c>
      <c r="F32" s="32" t="n">
        <f aca="false">'P3 n=1000'!H5</f>
        <v>241863.369527234</v>
      </c>
      <c r="G32" s="33" t="s">
        <v>333</v>
      </c>
    </row>
    <row r="33" customFormat="false" ht="15" hidden="false" customHeight="false" outlineLevel="0" collapsed="false">
      <c r="A33" s="10" t="s">
        <v>265</v>
      </c>
      <c r="B33" s="10" t="s">
        <v>338</v>
      </c>
      <c r="C33" s="10" t="s">
        <v>332</v>
      </c>
      <c r="D33" s="10" t="s">
        <v>329</v>
      </c>
      <c r="E33" s="32" t="n">
        <f aca="false">(E13+E15+E6*E19)*E19*E24^2/2+0.5*c_rho*E8*E7*E19^3*E24^4/4</f>
        <v>231470.970220192</v>
      </c>
      <c r="F33" s="32" t="n">
        <f aca="false">(F13+F15+F6*F19)*F19*F24^2/2+0.5*c_rho*F8*F7*F19^3*F24^4/4</f>
        <v>241621.328135632</v>
      </c>
      <c r="G33" s="33" t="s">
        <v>339</v>
      </c>
    </row>
    <row r="34" customFormat="false" ht="15" hidden="false" customHeight="false" outlineLevel="0" collapsed="false">
      <c r="A34" s="10" t="s">
        <v>265</v>
      </c>
      <c r="B34" s="10" t="s">
        <v>340</v>
      </c>
      <c r="C34" s="10"/>
      <c r="D34" s="10" t="s">
        <v>341</v>
      </c>
      <c r="E34" s="34" t="n">
        <f aca="false">(E28-E33)/E33*100</f>
        <v>-1.0020672780783</v>
      </c>
      <c r="F34" s="34" t="n">
        <f aca="false">(F28-F33)/F33*100</f>
        <v>-1.00171941520132</v>
      </c>
      <c r="G34" s="33" t="s">
        <v>342</v>
      </c>
    </row>
    <row r="35" customFormat="false" ht="15" hidden="false" customHeight="false" outlineLevel="0" collapsed="false">
      <c r="A35" s="10" t="s">
        <v>265</v>
      </c>
      <c r="B35" s="10" t="s">
        <v>343</v>
      </c>
      <c r="C35" s="10"/>
      <c r="D35" s="10" t="s">
        <v>341</v>
      </c>
      <c r="E35" s="34" t="n">
        <f aca="false">(E29-E33)/E33*100</f>
        <v>1.00210904127183</v>
      </c>
      <c r="F35" s="34" t="n">
        <f aca="false">(F29-F33)/F33*100</f>
        <v>1.00175415086196</v>
      </c>
      <c r="G35" s="33" t="s">
        <v>344</v>
      </c>
    </row>
    <row r="36" customFormat="false" ht="15" hidden="false" customHeight="false" outlineLevel="0" collapsed="false">
      <c r="A36" s="10" t="s">
        <v>265</v>
      </c>
      <c r="B36" s="10" t="s">
        <v>345</v>
      </c>
      <c r="C36" s="10"/>
      <c r="D36" s="10" t="s">
        <v>341</v>
      </c>
      <c r="E36" s="34" t="n">
        <f aca="false">(E31-E33)/E33*100</f>
        <v>-0.100208607151525</v>
      </c>
      <c r="F36" s="34" t="n">
        <f aca="false">(F31-F33)/F33*100</f>
        <v>-0.100173504624875</v>
      </c>
      <c r="G36" s="33" t="s">
        <v>342</v>
      </c>
    </row>
    <row r="37" customFormat="false" ht="15" hidden="false" customHeight="false" outlineLevel="0" collapsed="false">
      <c r="A37" s="10" t="s">
        <v>265</v>
      </c>
      <c r="B37" s="10" t="s">
        <v>346</v>
      </c>
      <c r="C37" s="10"/>
      <c r="D37" s="10" t="s">
        <v>341</v>
      </c>
      <c r="E37" s="34" t="n">
        <f aca="false">(E32-E33)/E33*100</f>
        <v>0.100209024783493</v>
      </c>
      <c r="F37" s="34" t="n">
        <f aca="false">(F32-F33)/F33*100</f>
        <v>0.100173851981471</v>
      </c>
      <c r="G37" s="33" t="s">
        <v>344</v>
      </c>
    </row>
    <row r="38" customFormat="false" ht="15" hidden="false" customHeight="false" outlineLevel="0" collapsed="false">
      <c r="A38" s="10" t="s">
        <v>265</v>
      </c>
      <c r="B38" s="10" t="s">
        <v>347</v>
      </c>
      <c r="C38" s="10" t="s">
        <v>348</v>
      </c>
      <c r="D38" s="10" t="s">
        <v>329</v>
      </c>
      <c r="E38" s="32" t="n">
        <f aca="false">E26*E24</f>
        <v>231954.318566154</v>
      </c>
      <c r="F38" s="32" t="n">
        <f aca="false">F26*F24</f>
        <v>242040.971958422</v>
      </c>
      <c r="G38" s="33" t="s">
        <v>349</v>
      </c>
    </row>
    <row r="39" customFormat="false" ht="15" hidden="false" customHeight="false" outlineLevel="0" collapsed="false">
      <c r="A39" s="10" t="s">
        <v>265</v>
      </c>
      <c r="B39" s="10" t="s">
        <v>350</v>
      </c>
      <c r="C39" s="10" t="s">
        <v>328</v>
      </c>
      <c r="D39" s="10" t="s">
        <v>329</v>
      </c>
      <c r="E39" s="32" t="n">
        <f aca="false">E31</f>
        <v>231239.016384974</v>
      </c>
      <c r="F39" s="32" t="n">
        <f aca="false">F31</f>
        <v>241379.287583318</v>
      </c>
      <c r="G39" s="33"/>
    </row>
    <row r="40" customFormat="false" ht="15" hidden="false" customHeight="false" outlineLevel="0" collapsed="false">
      <c r="A40" s="10" t="s">
        <v>265</v>
      </c>
      <c r="B40" s="10" t="s">
        <v>351</v>
      </c>
      <c r="C40" s="10" t="s">
        <v>332</v>
      </c>
      <c r="D40" s="10" t="s">
        <v>329</v>
      </c>
      <c r="E40" s="40" t="n">
        <f aca="false">E32</f>
        <v>231702.925022107</v>
      </c>
      <c r="F40" s="40" t="n">
        <f aca="false">F32</f>
        <v>241863.369527234</v>
      </c>
      <c r="G40" s="33"/>
    </row>
    <row r="41" customFormat="false" ht="15" hidden="false" customHeight="false" outlineLevel="0" collapsed="false">
      <c r="A41" s="16" t="s">
        <v>352</v>
      </c>
    </row>
    <row r="42" customFormat="false" ht="15" hidden="false" customHeight="false" outlineLevel="0" collapsed="false">
      <c r="A42" s="10" t="s">
        <v>274</v>
      </c>
      <c r="B42" s="10" t="s">
        <v>353</v>
      </c>
      <c r="C42" s="10" t="s">
        <v>354</v>
      </c>
      <c r="D42" s="10" t="s">
        <v>113</v>
      </c>
      <c r="E42" s="34" t="n">
        <f aca="false">E12*E24/2</f>
        <v>12.5459932887219</v>
      </c>
      <c r="F42" s="34" t="n">
        <f aca="false">F12*F24/2</f>
        <v>12.5370335126769</v>
      </c>
      <c r="G42" s="33" t="s">
        <v>355</v>
      </c>
    </row>
    <row r="43" customFormat="false" ht="15" hidden="false" customHeight="false" outlineLevel="0" collapsed="false">
      <c r="A43" s="10" t="s">
        <v>356</v>
      </c>
      <c r="B43" s="10" t="s">
        <v>357</v>
      </c>
      <c r="C43" s="10" t="s">
        <v>358</v>
      </c>
      <c r="D43" s="10" t="s">
        <v>113</v>
      </c>
      <c r="E43" s="34" t="n">
        <f aca="false">E42</f>
        <v>12.5459932887219</v>
      </c>
      <c r="F43" s="34" t="n">
        <f aca="false">F42</f>
        <v>12.5370335126769</v>
      </c>
      <c r="G43" s="33" t="s">
        <v>359</v>
      </c>
    </row>
    <row r="44" customFormat="false" ht="15" hidden="false" customHeight="false" outlineLevel="0" collapsed="false">
      <c r="A44" s="10" t="s">
        <v>356</v>
      </c>
      <c r="B44" s="10" t="s">
        <v>360</v>
      </c>
      <c r="C44" s="10" t="s">
        <v>361</v>
      </c>
      <c r="D44" s="10" t="s">
        <v>113</v>
      </c>
      <c r="E44" s="15" t="n">
        <f aca="false">E9-E42-E43</f>
        <v>557224.908013423</v>
      </c>
      <c r="F44" s="15" t="n">
        <f aca="false">F9-F42-F43</f>
        <v>645974.925932975</v>
      </c>
      <c r="G44" s="33" t="s">
        <v>362</v>
      </c>
    </row>
    <row r="45" customFormat="false" ht="15" hidden="false" customHeight="false" outlineLevel="0" collapsed="false">
      <c r="A45" s="10" t="s">
        <v>356</v>
      </c>
      <c r="B45" s="10" t="s">
        <v>363</v>
      </c>
      <c r="C45" s="10" t="s">
        <v>364</v>
      </c>
      <c r="D45" s="10" t="s">
        <v>69</v>
      </c>
      <c r="E45" s="14" t="n">
        <f aca="false">E44/E12</f>
        <v>40120.1933769664</v>
      </c>
      <c r="F45" s="14" t="n">
        <f aca="false">F44/F12</f>
        <v>46510.1946671742</v>
      </c>
      <c r="G45" s="33" t="s">
        <v>365</v>
      </c>
    </row>
    <row r="46" customFormat="false" ht="15" hidden="false" customHeight="false" outlineLevel="0" collapsed="false">
      <c r="A46" s="10" t="s">
        <v>356</v>
      </c>
      <c r="B46" s="10" t="s">
        <v>366</v>
      </c>
      <c r="C46" s="10" t="s">
        <v>367</v>
      </c>
      <c r="D46" s="10" t="s">
        <v>69</v>
      </c>
      <c r="E46" s="14" t="n">
        <f aca="false">E24+E45</f>
        <v>40122</v>
      </c>
      <c r="F46" s="14" t="n">
        <f aca="false">F24+F45</f>
        <v>46512</v>
      </c>
      <c r="G46" s="33"/>
    </row>
    <row r="47" customFormat="false" ht="15" hidden="false" customHeight="false" outlineLevel="0" collapsed="false">
      <c r="A47" s="10" t="s">
        <v>356</v>
      </c>
      <c r="B47" s="10" t="s">
        <v>368</v>
      </c>
      <c r="C47" s="10" t="s">
        <v>369</v>
      </c>
      <c r="D47" s="10" t="s">
        <v>69</v>
      </c>
      <c r="E47" s="14" t="n">
        <f aca="false">E46+E24</f>
        <v>40123.8066230336</v>
      </c>
      <c r="F47" s="14" t="n">
        <f aca="false">F46+F24</f>
        <v>46513.8053328258</v>
      </c>
      <c r="G47" s="33" t="s">
        <v>370</v>
      </c>
    </row>
    <row r="48" customFormat="false" ht="15" hidden="false" customHeight="false" outlineLevel="0" collapsed="false">
      <c r="A48" s="10" t="s">
        <v>371</v>
      </c>
      <c r="B48" s="10" t="s">
        <v>372</v>
      </c>
      <c r="C48" s="10" t="s">
        <v>373</v>
      </c>
      <c r="D48" s="10" t="s">
        <v>329</v>
      </c>
      <c r="E48" s="42" t="n">
        <f aca="false">E23*E45</f>
        <v>210345380.926027</v>
      </c>
      <c r="F48" s="42" t="n">
        <f aca="false">F23*F45</f>
        <v>245902290.541268</v>
      </c>
      <c r="G48" s="33" t="s">
        <v>374</v>
      </c>
    </row>
    <row r="49" customFormat="false" ht="15" hidden="false" customHeight="false" outlineLevel="0" collapsed="false">
      <c r="A49" s="10" t="s">
        <v>375</v>
      </c>
      <c r="B49" s="10" t="s">
        <v>376</v>
      </c>
      <c r="C49" s="10" t="s">
        <v>377</v>
      </c>
      <c r="D49" s="10" t="s">
        <v>329</v>
      </c>
      <c r="E49" s="32" t="n">
        <f aca="false">E40</f>
        <v>231702.925022107</v>
      </c>
      <c r="F49" s="32" t="n">
        <f aca="false">F40</f>
        <v>241863.369527234</v>
      </c>
      <c r="G49" s="33" t="s">
        <v>378</v>
      </c>
    </row>
    <row r="50" customFormat="false" ht="15" hidden="false" customHeight="false" outlineLevel="0" collapsed="false">
      <c r="A50" s="10" t="s">
        <v>375</v>
      </c>
      <c r="B50" s="10" t="s">
        <v>379</v>
      </c>
      <c r="C50" s="10" t="s">
        <v>380</v>
      </c>
      <c r="D50" s="10" t="s">
        <v>329</v>
      </c>
      <c r="E50" s="13" t="n">
        <f aca="false">E40+E48-E49</f>
        <v>210345380.926027</v>
      </c>
      <c r="F50" s="13" t="n">
        <f aca="false">F40+F48-F49</f>
        <v>245902290.541268</v>
      </c>
      <c r="G50" s="33" t="s">
        <v>381</v>
      </c>
    </row>
    <row r="51" customFormat="false" ht="15" hidden="false" customHeight="false" outlineLevel="0" collapsed="false">
      <c r="A51" s="16" t="s">
        <v>382</v>
      </c>
    </row>
    <row r="52" customFormat="false" ht="15" hidden="false" customHeight="false" outlineLevel="0" collapsed="false">
      <c r="A52" s="10" t="s">
        <v>383</v>
      </c>
      <c r="B52" s="10" t="s">
        <v>384</v>
      </c>
      <c r="C52" s="10" t="s">
        <v>385</v>
      </c>
      <c r="D52" s="10" t="s">
        <v>329</v>
      </c>
      <c r="E52" s="42" t="n">
        <f aca="false">E40/c_eta+E48/c_eta-c_eta*E49</f>
        <v>263035992.473793</v>
      </c>
      <c r="F52" s="42" t="n">
        <f aca="false">F40/c_eta+F48/c_eta-c_eta*F49</f>
        <v>307486701.692873</v>
      </c>
      <c r="G52" s="33" t="s">
        <v>386</v>
      </c>
    </row>
    <row r="53" customFormat="false" ht="15" hidden="false" customHeight="false" outlineLevel="0" collapsed="false">
      <c r="A53" s="10" t="s">
        <v>387</v>
      </c>
      <c r="B53" s="10" t="s">
        <v>388</v>
      </c>
      <c r="C53" s="10" t="s">
        <v>389</v>
      </c>
      <c r="D53" s="10" t="s">
        <v>329</v>
      </c>
      <c r="E53" s="42" t="n">
        <f aca="false">E52/(1-c_rez)</f>
        <v>375765703.53399</v>
      </c>
      <c r="F53" s="42" t="n">
        <f aca="false">F52/(1-c_rez)</f>
        <v>439266716.704104</v>
      </c>
      <c r="G53" s="33" t="s">
        <v>390</v>
      </c>
    </row>
    <row r="54" customFormat="false" ht="15" hidden="false" customHeight="false" outlineLevel="0" collapsed="false">
      <c r="A54" s="10" t="s">
        <v>387</v>
      </c>
      <c r="B54" s="10" t="s">
        <v>391</v>
      </c>
      <c r="C54" s="10" t="s">
        <v>389</v>
      </c>
      <c r="D54" s="10" t="s">
        <v>72</v>
      </c>
      <c r="E54" s="37" t="n">
        <f aca="false">E53/3600000</f>
        <v>104.379362092775</v>
      </c>
      <c r="F54" s="37" t="n">
        <f aca="false">F53/3600000</f>
        <v>122.018532417807</v>
      </c>
      <c r="G54" s="33"/>
    </row>
    <row r="55" customFormat="false" ht="15" hidden="false" customHeight="false" outlineLevel="0" collapsed="false">
      <c r="A55" s="10"/>
      <c r="B55" s="10" t="s">
        <v>392</v>
      </c>
      <c r="C55" s="10"/>
      <c r="D55" s="10" t="s">
        <v>72</v>
      </c>
      <c r="E55" s="15" t="n">
        <f aca="false">E52/3600000</f>
        <v>73.0655534649426</v>
      </c>
      <c r="F55" s="15" t="n">
        <f aca="false">F52/3600000</f>
        <v>85.4129726924646</v>
      </c>
      <c r="G55" s="33"/>
    </row>
    <row r="56" customFormat="false" ht="23.85" hidden="false" customHeight="false" outlineLevel="0" collapsed="false">
      <c r="A56" s="10"/>
      <c r="B56" s="10" t="s">
        <v>393</v>
      </c>
      <c r="C56" s="10"/>
      <c r="D56" s="10" t="s">
        <v>74</v>
      </c>
      <c r="E56" s="14" t="n">
        <f aca="false">E52/E9*100/3600</f>
        <v>13.111808607437</v>
      </c>
      <c r="F56" s="14" t="n">
        <f aca="false">F52/F9*100/3600</f>
        <v>13.2218223982143</v>
      </c>
      <c r="G56" s="33"/>
    </row>
    <row r="57" customFormat="false" ht="23.85" hidden="false" customHeight="false" outlineLevel="0" collapsed="false">
      <c r="A57" s="10"/>
      <c r="B57" s="10" t="s">
        <v>394</v>
      </c>
      <c r="C57" s="10"/>
      <c r="D57" s="10" t="s">
        <v>74</v>
      </c>
      <c r="E57" s="14" t="n">
        <f aca="false">'Date documentare'!Y16</f>
        <v>21.3857142857143</v>
      </c>
      <c r="F57" s="14" t="n">
        <f aca="false">'Date documentare'!Y6</f>
        <v>19.45</v>
      </c>
      <c r="G57" s="33" t="s">
        <v>395</v>
      </c>
    </row>
    <row r="58" customFormat="false" ht="15" hidden="false" customHeight="false" outlineLevel="0" collapsed="false">
      <c r="A58" s="10"/>
      <c r="B58" s="10" t="s">
        <v>396</v>
      </c>
      <c r="C58" s="10"/>
      <c r="D58" s="10" t="s">
        <v>72</v>
      </c>
      <c r="E58" s="32" t="n">
        <f aca="false">'Date documentare'!I16</f>
        <v>99.27</v>
      </c>
      <c r="F58" s="32" t="n">
        <f aca="false">'Date documentare'!I6</f>
        <v>106</v>
      </c>
      <c r="G58" s="33"/>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0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4" min="2" style="0" width="12"/>
    <col collapsed="false" customWidth="true" hidden="false" outlineLevel="0" max="5" min="5" style="0" width="13"/>
    <col collapsed="false" customWidth="true" hidden="false" outlineLevel="0" max="6" min="6" style="0" width="7"/>
    <col collapsed="false" customWidth="true" hidden="false" outlineLevel="0" max="9" min="7" style="0" width="12"/>
    <col collapsed="false" customWidth="true" hidden="false" outlineLevel="0" max="10" min="10" style="0" width="13"/>
  </cols>
  <sheetData>
    <row r="1" customFormat="false" ht="17.35" hidden="false" customHeight="false" outlineLevel="0" collapsed="false">
      <c r="A1" s="1" t="s">
        <v>397</v>
      </c>
    </row>
    <row r="2" customFormat="false" ht="15" hidden="false" customHeight="false" outlineLevel="0" collapsed="false">
      <c r="A2" s="2" t="s">
        <v>398</v>
      </c>
    </row>
    <row r="3" customFormat="false" ht="15" hidden="false" customHeight="false" outlineLevel="0" collapsed="false">
      <c r="A3" s="16" t="s">
        <v>50</v>
      </c>
      <c r="F3" s="16" t="s">
        <v>399</v>
      </c>
    </row>
    <row r="4" customFormat="false" ht="15" hidden="false" customHeight="false" outlineLevel="0" collapsed="false">
      <c r="B4" s="16" t="s">
        <v>400</v>
      </c>
      <c r="C4" s="43" t="n">
        <f aca="false">SUM(E9:E108)/100</f>
        <v>126839.673307936</v>
      </c>
      <c r="G4" s="16" t="s">
        <v>400</v>
      </c>
      <c r="H4" s="43" t="n">
        <f aca="false">SUM(J9:J108)/100</f>
        <v>132496.87645327</v>
      </c>
    </row>
    <row r="5" customFormat="false" ht="15" hidden="false" customHeight="false" outlineLevel="0" collapsed="false">
      <c r="B5" s="16" t="s">
        <v>401</v>
      </c>
      <c r="C5" s="43" t="n">
        <f aca="false">SUM(E9:E109)*C6</f>
        <v>233790.561740688</v>
      </c>
      <c r="G5" s="16" t="s">
        <v>401</v>
      </c>
      <c r="H5" s="43" t="n">
        <f aca="false">SUM(J9:J109)*H6</f>
        <v>244041.779819599</v>
      </c>
    </row>
    <row r="6" customFormat="false" ht="15" hidden="false" customHeight="false" outlineLevel="0" collapsed="false">
      <c r="B6" s="16" t="s">
        <v>402</v>
      </c>
      <c r="C6" s="44" t="n">
        <f aca="false">'P3 Energie'!E24/100</f>
        <v>0.0180662303357595</v>
      </c>
      <c r="G6" s="16" t="s">
        <v>402</v>
      </c>
      <c r="H6" s="44" t="n">
        <f aca="false">'P3 Energie'!F24/100</f>
        <v>0.0180533282582548</v>
      </c>
    </row>
    <row r="7" customFormat="false" ht="15" hidden="false" customHeight="false" outlineLevel="0" collapsed="false">
      <c r="B7" s="16" t="s">
        <v>403</v>
      </c>
      <c r="C7" s="44" t="n">
        <f aca="false">'P3 Energie'!E19</f>
        <v>7.68776254413064</v>
      </c>
      <c r="G7" s="16" t="s">
        <v>403</v>
      </c>
      <c r="H7" s="44" t="n">
        <f aca="false">'P3 Energie'!F19</f>
        <v>7.69325671710328</v>
      </c>
    </row>
    <row r="8" customFormat="false" ht="15" hidden="false" customHeight="false" outlineLevel="0" collapsed="false">
      <c r="A8" s="45" t="s">
        <v>404</v>
      </c>
      <c r="B8" s="45" t="s">
        <v>405</v>
      </c>
      <c r="C8" s="45" t="s">
        <v>406</v>
      </c>
      <c r="D8" s="45" t="s">
        <v>407</v>
      </c>
      <c r="E8" s="45" t="s">
        <v>408</v>
      </c>
      <c r="F8" s="45" t="s">
        <v>404</v>
      </c>
      <c r="G8" s="45" t="s">
        <v>405</v>
      </c>
      <c r="H8" s="45" t="s">
        <v>406</v>
      </c>
      <c r="I8" s="45" t="s">
        <v>407</v>
      </c>
      <c r="J8" s="45" t="s">
        <v>408</v>
      </c>
    </row>
    <row r="9" customFormat="false" ht="15" hidden="false" customHeight="false" outlineLevel="0" collapsed="false">
      <c r="A9" s="46" t="n">
        <v>1</v>
      </c>
      <c r="B9" s="47" t="n">
        <f aca="false">(A9-1)*$C$6</f>
        <v>0</v>
      </c>
      <c r="C9" s="48" t="n">
        <f aca="false">$C$7*B9</f>
        <v>0</v>
      </c>
      <c r="D9" s="49" t="n">
        <f aca="false">0.5*c_rho*'P3 Energie'!E8*'P3 Energie'!E7*(C9-c_Vv)^2+'P3 Energie'!E13+'P3 Energie'!E15+'P3 Energie'!E6*$C$7</f>
        <v>18411.266175463</v>
      </c>
      <c r="E9" s="50" t="n">
        <f aca="false">D9*C9</f>
        <v>0</v>
      </c>
      <c r="F9" s="46" t="n">
        <v>1</v>
      </c>
      <c r="G9" s="47" t="n">
        <f aca="false">(F9-1)*$H$6</f>
        <v>0</v>
      </c>
      <c r="H9" s="48" t="n">
        <f aca="false">$H$7*G9</f>
        <v>0</v>
      </c>
      <c r="I9" s="49" t="n">
        <f aca="false">0.5*c_rho*'P3 Energie'!F8*'P3 Energie'!F7*(H9-c_Vv)^2+'P3 Energie'!F13+'P3 Energie'!F15+'P3 Energie'!F6*$H$7</f>
        <v>19239.1353240741</v>
      </c>
      <c r="J9" s="50" t="n">
        <f aca="false">I9*H9</f>
        <v>0</v>
      </c>
    </row>
    <row r="10" customFormat="false" ht="15" hidden="false" customHeight="false" outlineLevel="0" collapsed="false">
      <c r="A10" s="46" t="n">
        <v>2</v>
      </c>
      <c r="B10" s="47" t="n">
        <f aca="false">(A10-1)*$C$6</f>
        <v>0.0180662303357595</v>
      </c>
      <c r="C10" s="48" t="n">
        <f aca="false">$C$7*B10</f>
        <v>0.138888888888889</v>
      </c>
      <c r="D10" s="49" t="n">
        <f aca="false">0.5*c_rho*'P3 Energie'!E8*'P3 Energie'!E7*(C10-c_Vv)^2+'P3 Energie'!E13+'P3 Energie'!E15+'P3 Energie'!E6*$C$7</f>
        <v>18411.2738806854</v>
      </c>
      <c r="E10" s="50" t="n">
        <f aca="false">D10*C10</f>
        <v>2557.12137231742</v>
      </c>
      <c r="F10" s="46" t="n">
        <v>2</v>
      </c>
      <c r="G10" s="47" t="n">
        <f aca="false">(F10-1)*$H$6</f>
        <v>0.0180533282582548</v>
      </c>
      <c r="H10" s="48" t="n">
        <f aca="false">$H$7*G10</f>
        <v>0.138888888888889</v>
      </c>
      <c r="I10" s="49" t="n">
        <f aca="false">0.5*c_rho*'P3 Energie'!F8*'P3 Energie'!F7*(H10-c_Vv)^2+'P3 Energie'!F13+'P3 Energie'!F15+'P3 Energie'!F6*$H$7</f>
        <v>19239.1420185417</v>
      </c>
      <c r="J10" s="50" t="n">
        <f aca="false">I10*H10</f>
        <v>2672.10305813079</v>
      </c>
    </row>
    <row r="11" customFormat="false" ht="15" hidden="false" customHeight="false" outlineLevel="0" collapsed="false">
      <c r="A11" s="46" t="n">
        <v>3</v>
      </c>
      <c r="B11" s="47" t="n">
        <f aca="false">(A11-1)*$C$6</f>
        <v>0.0361324606715191</v>
      </c>
      <c r="C11" s="48" t="n">
        <f aca="false">$C$7*B11</f>
        <v>0.277777777777778</v>
      </c>
      <c r="D11" s="49" t="n">
        <f aca="false">0.5*c_rho*'P3 Energie'!E8*'P3 Energie'!E7*(C11-c_Vv)^2+'P3 Energie'!E13+'P3 Energie'!E15+'P3 Energie'!E6*$C$7</f>
        <v>18411.2969963528</v>
      </c>
      <c r="E11" s="50" t="n">
        <f aca="false">D11*C11</f>
        <v>5114.24916565355</v>
      </c>
      <c r="F11" s="46" t="n">
        <v>3</v>
      </c>
      <c r="G11" s="47" t="n">
        <f aca="false">(F11-1)*$H$6</f>
        <v>0.0361066565165095</v>
      </c>
      <c r="H11" s="48" t="n">
        <f aca="false">$H$7*G11</f>
        <v>0.277777777777778</v>
      </c>
      <c r="I11" s="49" t="n">
        <f aca="false">0.5*c_rho*'P3 Energie'!F8*'P3 Energie'!F7*(H11-c_Vv)^2+'P3 Energie'!F13+'P3 Energie'!F15+'P3 Energie'!F6*$H$7</f>
        <v>19239.1621019444</v>
      </c>
      <c r="J11" s="50" t="n">
        <f aca="false">I11*H11</f>
        <v>5344.21169498457</v>
      </c>
    </row>
    <row r="12" customFormat="false" ht="15" hidden="false" customHeight="false" outlineLevel="0" collapsed="false">
      <c r="A12" s="46" t="n">
        <v>4</v>
      </c>
      <c r="B12" s="47" t="n">
        <f aca="false">(A12-1)*$C$6</f>
        <v>0.0541986910072786</v>
      </c>
      <c r="C12" s="48" t="n">
        <f aca="false">$C$7*B12</f>
        <v>0.416666666666667</v>
      </c>
      <c r="D12" s="49" t="n">
        <f aca="false">0.5*c_rho*'P3 Energie'!E8*'P3 Energie'!E7*(C12-c_Vv)^2+'P3 Energie'!E13+'P3 Energie'!E15+'P3 Energie'!E6*$C$7</f>
        <v>18411.3355224651</v>
      </c>
      <c r="E12" s="50" t="n">
        <f aca="false">D12*C12</f>
        <v>7671.38980102711</v>
      </c>
      <c r="F12" s="46" t="n">
        <v>4</v>
      </c>
      <c r="G12" s="47" t="n">
        <f aca="false">(F12-1)*$H$6</f>
        <v>0.0541599847747643</v>
      </c>
      <c r="H12" s="48" t="n">
        <f aca="false">$H$7*G12</f>
        <v>0.416666666666667</v>
      </c>
      <c r="I12" s="49" t="n">
        <f aca="false">0.5*c_rho*'P3 Energie'!F8*'P3 Energie'!F7*(H12-c_Vv)^2+'P3 Energie'!F13+'P3 Energie'!F15+'P3 Energie'!F6*$H$7</f>
        <v>19239.1955742824</v>
      </c>
      <c r="J12" s="50" t="n">
        <f aca="false">I12*H12</f>
        <v>8016.33148928434</v>
      </c>
    </row>
    <row r="13" customFormat="false" ht="15" hidden="false" customHeight="false" outlineLevel="0" collapsed="false">
      <c r="A13" s="46" t="n">
        <v>5</v>
      </c>
      <c r="B13" s="47" t="n">
        <f aca="false">(A13-1)*$C$6</f>
        <v>0.0722649213430381</v>
      </c>
      <c r="C13" s="48" t="n">
        <f aca="false">$C$7*B13</f>
        <v>0.555555555555556</v>
      </c>
      <c r="D13" s="49" t="n">
        <f aca="false">0.5*c_rho*'P3 Energie'!E8*'P3 Energie'!E7*(C13-c_Vv)^2+'P3 Energie'!E13+'P3 Energie'!E15+'P3 Energie'!E6*$C$7</f>
        <v>18411.3894590222</v>
      </c>
      <c r="E13" s="50" t="n">
        <f aca="false">D13*C13</f>
        <v>10228.5496994568</v>
      </c>
      <c r="F13" s="46" t="n">
        <v>5</v>
      </c>
      <c r="G13" s="47" t="n">
        <f aca="false">(F13-1)*$H$6</f>
        <v>0.072213313033019</v>
      </c>
      <c r="H13" s="48" t="n">
        <f aca="false">$H$7*G13</f>
        <v>0.555555555555556</v>
      </c>
      <c r="I13" s="49" t="n">
        <f aca="false">0.5*c_rho*'P3 Energie'!F8*'P3 Energie'!F7*(H13-c_Vv)^2+'P3 Energie'!F13+'P3 Energie'!F15+'P3 Energie'!F6*$H$7</f>
        <v>19239.2424355556</v>
      </c>
      <c r="J13" s="50" t="n">
        <f aca="false">I13*H13</f>
        <v>10688.4680197531</v>
      </c>
    </row>
    <row r="14" customFormat="false" ht="15" hidden="false" customHeight="false" outlineLevel="0" collapsed="false">
      <c r="A14" s="46" t="n">
        <v>6</v>
      </c>
      <c r="B14" s="47" t="n">
        <f aca="false">(A14-1)*$C$6</f>
        <v>0.0903311516787977</v>
      </c>
      <c r="C14" s="48" t="n">
        <f aca="false">$C$7*B14</f>
        <v>0.694444444444445</v>
      </c>
      <c r="D14" s="49" t="n">
        <f aca="false">0.5*c_rho*'P3 Energie'!E8*'P3 Energie'!E7*(C14-c_Vv)^2+'P3 Energie'!E13+'P3 Energie'!E15+'P3 Energie'!E6*$C$7</f>
        <v>18411.4588060243</v>
      </c>
      <c r="E14" s="50" t="n">
        <f aca="false">D14*C14</f>
        <v>12785.7352819613</v>
      </c>
      <c r="F14" s="46" t="n">
        <v>6</v>
      </c>
      <c r="G14" s="47" t="n">
        <f aca="false">(F14-1)*$H$6</f>
        <v>0.0902666412912738</v>
      </c>
      <c r="H14" s="48" t="n">
        <f aca="false">$H$7*G14</f>
        <v>0.694444444444445</v>
      </c>
      <c r="I14" s="49" t="n">
        <f aca="false">0.5*c_rho*'P3 Energie'!F8*'P3 Energie'!F7*(H14-c_Vv)^2+'P3 Energie'!F13+'P3 Energie'!F15+'P3 Energie'!F6*$H$7</f>
        <v>19239.3026857639</v>
      </c>
      <c r="J14" s="50" t="n">
        <f aca="false">I14*H14</f>
        <v>13360.6268651138</v>
      </c>
    </row>
    <row r="15" customFormat="false" ht="15" hidden="false" customHeight="false" outlineLevel="0" collapsed="false">
      <c r="A15" s="46" t="n">
        <v>7</v>
      </c>
      <c r="B15" s="47" t="n">
        <f aca="false">(A15-1)*$C$6</f>
        <v>0.108397382014557</v>
      </c>
      <c r="C15" s="48" t="n">
        <f aca="false">$C$7*B15</f>
        <v>0.833333333333333</v>
      </c>
      <c r="D15" s="49" t="n">
        <f aca="false">0.5*c_rho*'P3 Energie'!E8*'P3 Energie'!E7*(C15-c_Vv)^2+'P3 Energie'!E13+'P3 Energie'!E15+'P3 Energie'!E6*$C$7</f>
        <v>18411.5435634713</v>
      </c>
      <c r="E15" s="50" t="n">
        <f aca="false">D15*C15</f>
        <v>15342.9529695594</v>
      </c>
      <c r="F15" s="46" t="n">
        <v>7</v>
      </c>
      <c r="G15" s="47" t="n">
        <f aca="false">(F15-1)*$H$6</f>
        <v>0.108319969549529</v>
      </c>
      <c r="H15" s="48" t="n">
        <f aca="false">$H$7*G15</f>
        <v>0.833333333333333</v>
      </c>
      <c r="I15" s="49" t="n">
        <f aca="false">0.5*c_rho*'P3 Energie'!F8*'P3 Energie'!F7*(H15-c_Vv)^2+'P3 Energie'!F13+'P3 Energie'!F15+'P3 Energie'!F6*$H$7</f>
        <v>19239.3763249074</v>
      </c>
      <c r="J15" s="50" t="n">
        <f aca="false">I15*H15</f>
        <v>16032.8136040895</v>
      </c>
    </row>
    <row r="16" customFormat="false" ht="15" hidden="false" customHeight="false" outlineLevel="0" collapsed="false">
      <c r="A16" s="46" t="n">
        <v>8</v>
      </c>
      <c r="B16" s="47" t="n">
        <f aca="false">(A16-1)*$C$6</f>
        <v>0.126463612350317</v>
      </c>
      <c r="C16" s="48" t="n">
        <f aca="false">$C$7*B16</f>
        <v>0.972222222222222</v>
      </c>
      <c r="D16" s="49" t="n">
        <f aca="false">0.5*c_rho*'P3 Energie'!E8*'P3 Energie'!E7*(C16-c_Vv)^2+'P3 Energie'!E13+'P3 Energie'!E15+'P3 Energie'!E6*$C$7</f>
        <v>18411.6437313632</v>
      </c>
      <c r="E16" s="50" t="n">
        <f aca="false">D16*C16</f>
        <v>17900.2091832698</v>
      </c>
      <c r="F16" s="46" t="n">
        <v>8</v>
      </c>
      <c r="G16" s="47" t="n">
        <f aca="false">(F16-1)*$H$6</f>
        <v>0.126373297807783</v>
      </c>
      <c r="H16" s="48" t="n">
        <f aca="false">$H$7*G16</f>
        <v>0.972222222222222</v>
      </c>
      <c r="I16" s="49" t="n">
        <f aca="false">0.5*c_rho*'P3 Energie'!F8*'P3 Energie'!F7*(H16-c_Vv)^2+'P3 Energie'!F13+'P3 Energie'!F15+'P3 Energie'!F6*$H$7</f>
        <v>19239.4633529861</v>
      </c>
      <c r="J16" s="50" t="n">
        <f aca="false">I16*H16</f>
        <v>18705.0338154032</v>
      </c>
    </row>
    <row r="17" customFormat="false" ht="15" hidden="false" customHeight="false" outlineLevel="0" collapsed="false">
      <c r="A17" s="46" t="n">
        <v>9</v>
      </c>
      <c r="B17" s="47" t="n">
        <f aca="false">(A17-1)*$C$6</f>
        <v>0.144529842686076</v>
      </c>
      <c r="C17" s="48" t="n">
        <f aca="false">$C$7*B17</f>
        <v>1.11111111111111</v>
      </c>
      <c r="D17" s="49" t="n">
        <f aca="false">0.5*c_rho*'P3 Energie'!E8*'P3 Energie'!E7*(C17-c_Vv)^2+'P3 Energie'!E13+'P3 Energie'!E15+'P3 Energie'!E6*$C$7</f>
        <v>18411.7593097</v>
      </c>
      <c r="E17" s="50" t="n">
        <f aca="false">D17*C17</f>
        <v>20457.5103441111</v>
      </c>
      <c r="F17" s="46" t="n">
        <v>9</v>
      </c>
      <c r="G17" s="47" t="n">
        <f aca="false">(F17-1)*$H$6</f>
        <v>0.144426626066038</v>
      </c>
      <c r="H17" s="48" t="n">
        <f aca="false">$H$7*G17</f>
        <v>1.11111111111111</v>
      </c>
      <c r="I17" s="49" t="n">
        <f aca="false">0.5*c_rho*'P3 Energie'!F8*'P3 Energie'!F7*(H17-c_Vv)^2+'P3 Energie'!F13+'P3 Energie'!F15+'P3 Energie'!F6*$H$7</f>
        <v>19239.56377</v>
      </c>
      <c r="J17" s="50" t="n">
        <f aca="false">I17*H17</f>
        <v>21377.2930777778</v>
      </c>
    </row>
    <row r="18" customFormat="false" ht="15" hidden="false" customHeight="false" outlineLevel="0" collapsed="false">
      <c r="A18" s="46" t="n">
        <v>10</v>
      </c>
      <c r="B18" s="47" t="n">
        <f aca="false">(A18-1)*$C$6</f>
        <v>0.162596073021836</v>
      </c>
      <c r="C18" s="48" t="n">
        <f aca="false">$C$7*B18</f>
        <v>1.25</v>
      </c>
      <c r="D18" s="49" t="n">
        <f aca="false">0.5*c_rho*'P3 Energie'!E8*'P3 Energie'!E7*(C18-c_Vv)^2+'P3 Energie'!E13+'P3 Energie'!E15+'P3 Energie'!E6*$C$7</f>
        <v>18411.8902984817</v>
      </c>
      <c r="E18" s="50" t="n">
        <f aca="false">D18*C18</f>
        <v>23014.8628731022</v>
      </c>
      <c r="F18" s="46" t="n">
        <v>10</v>
      </c>
      <c r="G18" s="47" t="n">
        <f aca="false">(F18-1)*$H$6</f>
        <v>0.162479954324293</v>
      </c>
      <c r="H18" s="48" t="n">
        <f aca="false">$H$7*G18</f>
        <v>1.25</v>
      </c>
      <c r="I18" s="49" t="n">
        <f aca="false">0.5*c_rho*'P3 Energie'!F8*'P3 Energie'!F7*(H18-c_Vv)^2+'P3 Energie'!F13+'P3 Energie'!F15+'P3 Energie'!F6*$H$7</f>
        <v>19239.6775759491</v>
      </c>
      <c r="J18" s="50" t="n">
        <f aca="false">I18*H18</f>
        <v>24049.5969699364</v>
      </c>
    </row>
    <row r="19" customFormat="false" ht="15" hidden="false" customHeight="false" outlineLevel="0" collapsed="false">
      <c r="A19" s="46" t="n">
        <v>11</v>
      </c>
      <c r="B19" s="47" t="n">
        <f aca="false">(A19-1)*$C$6</f>
        <v>0.180662303357595</v>
      </c>
      <c r="C19" s="48" t="n">
        <f aca="false">$C$7*B19</f>
        <v>1.38888888888889</v>
      </c>
      <c r="D19" s="49" t="n">
        <f aca="false">0.5*c_rho*'P3 Energie'!E8*'P3 Energie'!E7*(C19-c_Vv)^2+'P3 Energie'!E13+'P3 Energie'!E15+'P3 Energie'!E6*$C$7</f>
        <v>18412.0366977083</v>
      </c>
      <c r="E19" s="50" t="n">
        <f aca="false">D19*C19</f>
        <v>25572.2731912616</v>
      </c>
      <c r="F19" s="46" t="n">
        <v>11</v>
      </c>
      <c r="G19" s="47" t="n">
        <f aca="false">(F19-1)*$H$6</f>
        <v>0.180533282582548</v>
      </c>
      <c r="H19" s="48" t="n">
        <f aca="false">$H$7*G19</f>
        <v>1.38888888888889</v>
      </c>
      <c r="I19" s="49" t="n">
        <f aca="false">0.5*c_rho*'P3 Energie'!F8*'P3 Energie'!F7*(H19-c_Vv)^2+'P3 Energie'!F13+'P3 Energie'!F15+'P3 Energie'!F6*$H$7</f>
        <v>19239.8047708333</v>
      </c>
      <c r="J19" s="50" t="n">
        <f aca="false">I19*H19</f>
        <v>26721.9510706019</v>
      </c>
    </row>
    <row r="20" customFormat="false" ht="15" hidden="false" customHeight="false" outlineLevel="0" collapsed="false">
      <c r="A20" s="46" t="n">
        <v>12</v>
      </c>
      <c r="B20" s="47" t="n">
        <f aca="false">(A20-1)*$C$6</f>
        <v>0.198728533693355</v>
      </c>
      <c r="C20" s="48" t="n">
        <f aca="false">$C$7*B20</f>
        <v>1.52777777777778</v>
      </c>
      <c r="D20" s="49" t="n">
        <f aca="false">0.5*c_rho*'P3 Energie'!E8*'P3 Energie'!E7*(C20-c_Vv)^2+'P3 Energie'!E13+'P3 Energie'!E15+'P3 Energie'!E6*$C$7</f>
        <v>18412.1985073799</v>
      </c>
      <c r="E20" s="50" t="n">
        <f aca="false">D20*C20</f>
        <v>28129.7477196081</v>
      </c>
      <c r="F20" s="46" t="n">
        <v>12</v>
      </c>
      <c r="G20" s="47" t="n">
        <f aca="false">(F20-1)*$H$6</f>
        <v>0.198586610840802</v>
      </c>
      <c r="H20" s="48" t="n">
        <f aca="false">$H$7*G20</f>
        <v>1.52777777777778</v>
      </c>
      <c r="I20" s="49" t="n">
        <f aca="false">0.5*c_rho*'P3 Energie'!F8*'P3 Energie'!F7*(H20-c_Vv)^2+'P3 Energie'!F13+'P3 Energie'!F15+'P3 Energie'!F6*$H$7</f>
        <v>19239.9453546528</v>
      </c>
      <c r="J20" s="50" t="n">
        <f aca="false">I20*H20</f>
        <v>29394.3609584973</v>
      </c>
    </row>
    <row r="21" customFormat="false" ht="15" hidden="false" customHeight="false" outlineLevel="0" collapsed="false">
      <c r="A21" s="46" t="n">
        <v>13</v>
      </c>
      <c r="B21" s="47" t="n">
        <f aca="false">(A21-1)*$C$6</f>
        <v>0.216794764029114</v>
      </c>
      <c r="C21" s="48" t="n">
        <f aca="false">$C$7*B21</f>
        <v>1.66666666666667</v>
      </c>
      <c r="D21" s="49" t="n">
        <f aca="false">0.5*c_rho*'P3 Energie'!E8*'P3 Energie'!E7*(C21-c_Vv)^2+'P3 Energie'!E13+'P3 Energie'!E15+'P3 Energie'!E6*$C$7</f>
        <v>18412.3757274963</v>
      </c>
      <c r="E21" s="50" t="n">
        <f aca="false">D21*C21</f>
        <v>30687.2928791605</v>
      </c>
      <c r="F21" s="46" t="n">
        <v>13</v>
      </c>
      <c r="G21" s="47" t="n">
        <f aca="false">(F21-1)*$H$6</f>
        <v>0.216639939099057</v>
      </c>
      <c r="H21" s="48" t="n">
        <f aca="false">$H$7*G21</f>
        <v>1.66666666666667</v>
      </c>
      <c r="I21" s="49" t="n">
        <f aca="false">0.5*c_rho*'P3 Energie'!F8*'P3 Energie'!F7*(H21-c_Vv)^2+'P3 Energie'!F13+'P3 Energie'!F15+'P3 Energie'!F6*$H$7</f>
        <v>19240.0993274074</v>
      </c>
      <c r="J21" s="50" t="n">
        <f aca="false">I21*H21</f>
        <v>32066.8322123457</v>
      </c>
    </row>
    <row r="22" customFormat="false" ht="15" hidden="false" customHeight="false" outlineLevel="0" collapsed="false">
      <c r="A22" s="46" t="n">
        <v>14</v>
      </c>
      <c r="B22" s="47" t="n">
        <f aca="false">(A22-1)*$C$6</f>
        <v>0.234860994364874</v>
      </c>
      <c r="C22" s="48" t="n">
        <f aca="false">$C$7*B22</f>
        <v>1.80555555555556</v>
      </c>
      <c r="D22" s="49" t="n">
        <f aca="false">0.5*c_rho*'P3 Energie'!E8*'P3 Energie'!E7*(C22-c_Vv)^2+'P3 Energie'!E13+'P3 Energie'!E15+'P3 Energie'!E6*$C$7</f>
        <v>18412.5683580576</v>
      </c>
      <c r="E22" s="50" t="n">
        <f aca="false">D22*C22</f>
        <v>33244.9150909374</v>
      </c>
      <c r="F22" s="46" t="n">
        <v>14</v>
      </c>
      <c r="G22" s="47" t="n">
        <f aca="false">(F22-1)*$H$6</f>
        <v>0.234693267357312</v>
      </c>
      <c r="H22" s="48" t="n">
        <f aca="false">$H$7*G22</f>
        <v>1.80555555555556</v>
      </c>
      <c r="I22" s="49" t="n">
        <f aca="false">0.5*c_rho*'P3 Energie'!F8*'P3 Energie'!F7*(H22-c_Vv)^2+'P3 Energie'!F13+'P3 Energie'!F15+'P3 Energie'!F6*$H$7</f>
        <v>19240.2666890972</v>
      </c>
      <c r="J22" s="50" t="n">
        <f aca="false">I22*H22</f>
        <v>34739.37041087</v>
      </c>
    </row>
    <row r="23" customFormat="false" ht="15" hidden="false" customHeight="false" outlineLevel="0" collapsed="false">
      <c r="A23" s="46" t="n">
        <v>15</v>
      </c>
      <c r="B23" s="47" t="n">
        <f aca="false">(A23-1)*$C$6</f>
        <v>0.252927224700633</v>
      </c>
      <c r="C23" s="48" t="n">
        <f aca="false">$C$7*B23</f>
        <v>1.94444444444444</v>
      </c>
      <c r="D23" s="49" t="n">
        <f aca="false">0.5*c_rho*'P3 Energie'!E8*'P3 Energie'!E7*(C23-c_Vv)^2+'P3 Energie'!E13+'P3 Energie'!E15+'P3 Energie'!E6*$C$7</f>
        <v>18412.7763990639</v>
      </c>
      <c r="E23" s="50" t="n">
        <f aca="false">D23*C23</f>
        <v>35802.6207759576</v>
      </c>
      <c r="F23" s="46" t="n">
        <v>15</v>
      </c>
      <c r="G23" s="47" t="n">
        <f aca="false">(F23-1)*$H$6</f>
        <v>0.252746595615567</v>
      </c>
      <c r="H23" s="48" t="n">
        <f aca="false">$H$7*G23</f>
        <v>1.94444444444444</v>
      </c>
      <c r="I23" s="49" t="n">
        <f aca="false">0.5*c_rho*'P3 Energie'!F8*'P3 Energie'!F7*(H23-c_Vv)^2+'P3 Energie'!F13+'P3 Energie'!F15+'P3 Energie'!F6*$H$7</f>
        <v>19240.4474397222</v>
      </c>
      <c r="J23" s="50" t="n">
        <f aca="false">I23*H23</f>
        <v>37411.9811327932</v>
      </c>
    </row>
    <row r="24" customFormat="false" ht="15" hidden="false" customHeight="false" outlineLevel="0" collapsed="false">
      <c r="A24" s="46" t="n">
        <v>16</v>
      </c>
      <c r="B24" s="47" t="n">
        <f aca="false">(A24-1)*$C$6</f>
        <v>0.270993455036393</v>
      </c>
      <c r="C24" s="48" t="n">
        <f aca="false">$C$7*B24</f>
        <v>2.08333333333333</v>
      </c>
      <c r="D24" s="49" t="n">
        <f aca="false">0.5*c_rho*'P3 Energie'!E8*'P3 Energie'!E7*(C24-c_Vv)^2+'P3 Energie'!E13+'P3 Energie'!E15+'P3 Energie'!E6*$C$7</f>
        <v>18412.9998505151</v>
      </c>
      <c r="E24" s="50" t="n">
        <f aca="false">D24*C24</f>
        <v>38360.4163552397</v>
      </c>
      <c r="F24" s="46" t="n">
        <v>16</v>
      </c>
      <c r="G24" s="47" t="n">
        <f aca="false">(F24-1)*$H$6</f>
        <v>0.270799923873821</v>
      </c>
      <c r="H24" s="48" t="n">
        <f aca="false">$H$7*G24</f>
        <v>2.08333333333333</v>
      </c>
      <c r="I24" s="49" t="n">
        <f aca="false">0.5*c_rho*'P3 Energie'!F8*'P3 Energie'!F7*(H24-c_Vv)^2+'P3 Energie'!F13+'P3 Energie'!F15+'P3 Energie'!F6*$H$7</f>
        <v>19240.6415792824</v>
      </c>
      <c r="J24" s="50" t="n">
        <f aca="false">I24*H24</f>
        <v>40084.6699568384</v>
      </c>
    </row>
    <row r="25" customFormat="false" ht="15" hidden="false" customHeight="false" outlineLevel="0" collapsed="false">
      <c r="A25" s="46" t="n">
        <v>17</v>
      </c>
      <c r="B25" s="47" t="n">
        <f aca="false">(A25-1)*$C$6</f>
        <v>0.289059685372153</v>
      </c>
      <c r="C25" s="48" t="n">
        <f aca="false">$C$7*B25</f>
        <v>2.22222222222222</v>
      </c>
      <c r="D25" s="49" t="n">
        <f aca="false">0.5*c_rho*'P3 Energie'!E8*'P3 Energie'!E7*(C25-c_Vv)^2+'P3 Energie'!E13+'P3 Energie'!E15+'P3 Energie'!E6*$C$7</f>
        <v>18413.2387124111</v>
      </c>
      <c r="E25" s="50" t="n">
        <f aca="false">D25*C25</f>
        <v>40918.3082498025</v>
      </c>
      <c r="F25" s="46" t="n">
        <v>17</v>
      </c>
      <c r="G25" s="47" t="n">
        <f aca="false">(F25-1)*$H$6</f>
        <v>0.288853252132076</v>
      </c>
      <c r="H25" s="48" t="n">
        <f aca="false">$H$7*G25</f>
        <v>2.22222222222222</v>
      </c>
      <c r="I25" s="49" t="n">
        <f aca="false">0.5*c_rho*'P3 Energie'!F8*'P3 Energie'!F7*(H25-c_Vv)^2+'P3 Energie'!F13+'P3 Energie'!F15+'P3 Energie'!F6*$H$7</f>
        <v>19240.8491077778</v>
      </c>
      <c r="J25" s="50" t="n">
        <f aca="false">I25*H25</f>
        <v>42757.4424617284</v>
      </c>
    </row>
    <row r="26" customFormat="false" ht="15" hidden="false" customHeight="false" outlineLevel="0" collapsed="false">
      <c r="A26" s="46" t="n">
        <v>18</v>
      </c>
      <c r="B26" s="47" t="n">
        <f aca="false">(A26-1)*$C$6</f>
        <v>0.307125915707912</v>
      </c>
      <c r="C26" s="48" t="n">
        <f aca="false">$C$7*B26</f>
        <v>2.36111111111111</v>
      </c>
      <c r="D26" s="49" t="n">
        <f aca="false">0.5*c_rho*'P3 Energie'!E8*'P3 Energie'!E7*(C26-c_Vv)^2+'P3 Energie'!E13+'P3 Energie'!E15+'P3 Energie'!E6*$C$7</f>
        <v>18413.4929847521</v>
      </c>
      <c r="E26" s="50" t="n">
        <f aca="false">D26*C26</f>
        <v>43476.3028806647</v>
      </c>
      <c r="F26" s="46" t="n">
        <v>18</v>
      </c>
      <c r="G26" s="47" t="n">
        <f aca="false">(F26-1)*$H$6</f>
        <v>0.306906580390331</v>
      </c>
      <c r="H26" s="48" t="n">
        <f aca="false">$H$7*G26</f>
        <v>2.36111111111111</v>
      </c>
      <c r="I26" s="49" t="n">
        <f aca="false">0.5*c_rho*'P3 Energie'!F8*'P3 Energie'!F7*(H26-c_Vv)^2+'P3 Energie'!F13+'P3 Energie'!F15+'P3 Energie'!F6*$H$7</f>
        <v>19241.0700252083</v>
      </c>
      <c r="J26" s="50" t="n">
        <f aca="false">I26*H26</f>
        <v>45430.3042261863</v>
      </c>
    </row>
    <row r="27" customFormat="false" ht="15" hidden="false" customHeight="false" outlineLevel="0" collapsed="false">
      <c r="A27" s="46" t="n">
        <v>19</v>
      </c>
      <c r="B27" s="47" t="n">
        <f aca="false">(A27-1)*$C$6</f>
        <v>0.325192146043672</v>
      </c>
      <c r="C27" s="48" t="n">
        <f aca="false">$C$7*B27</f>
        <v>2.5</v>
      </c>
      <c r="D27" s="49" t="n">
        <f aca="false">0.5*c_rho*'P3 Energie'!E8*'P3 Energie'!E7*(C27-c_Vv)^2+'P3 Energie'!E13+'P3 Energie'!E15+'P3 Energie'!E6*$C$7</f>
        <v>18413.762667538</v>
      </c>
      <c r="E27" s="50" t="n">
        <f aca="false">D27*C27</f>
        <v>46034.4066688449</v>
      </c>
      <c r="F27" s="46" t="n">
        <v>19</v>
      </c>
      <c r="G27" s="47" t="n">
        <f aca="false">(F27-1)*$H$6</f>
        <v>0.324959908648586</v>
      </c>
      <c r="H27" s="48" t="n">
        <f aca="false">$H$7*G27</f>
        <v>2.5</v>
      </c>
      <c r="I27" s="49" t="n">
        <f aca="false">0.5*c_rho*'P3 Energie'!F8*'P3 Energie'!F7*(H27-c_Vv)^2+'P3 Energie'!F13+'P3 Energie'!F15+'P3 Energie'!F6*$H$7</f>
        <v>19241.3043315741</v>
      </c>
      <c r="J27" s="50" t="n">
        <f aca="false">I27*H27</f>
        <v>48103.2608289352</v>
      </c>
    </row>
    <row r="28" customFormat="false" ht="15" hidden="false" customHeight="false" outlineLevel="0" collapsed="false">
      <c r="A28" s="46" t="n">
        <v>20</v>
      </c>
      <c r="B28" s="47" t="n">
        <f aca="false">(A28-1)*$C$6</f>
        <v>0.343258376379431</v>
      </c>
      <c r="C28" s="48" t="n">
        <f aca="false">$C$7*B28</f>
        <v>2.63888888888889</v>
      </c>
      <c r="D28" s="49" t="n">
        <f aca="false">0.5*c_rho*'P3 Energie'!E8*'P3 Energie'!E7*(C28-c_Vv)^2+'P3 Energie'!E13+'P3 Energie'!E15+'P3 Energie'!E6*$C$7</f>
        <v>18414.0477607688</v>
      </c>
      <c r="E28" s="50" t="n">
        <f aca="false">D28*C28</f>
        <v>48592.626035362</v>
      </c>
      <c r="F28" s="46" t="n">
        <v>20</v>
      </c>
      <c r="G28" s="47" t="n">
        <f aca="false">(F28-1)*$H$6</f>
        <v>0.34301323690684</v>
      </c>
      <c r="H28" s="48" t="n">
        <f aca="false">$H$7*G28</f>
        <v>2.63888888888889</v>
      </c>
      <c r="I28" s="49" t="n">
        <f aca="false">0.5*c_rho*'P3 Energie'!F8*'P3 Energie'!F7*(H28-c_Vv)^2+'P3 Energie'!F13+'P3 Energie'!F15+'P3 Energie'!F6*$H$7</f>
        <v>19241.552026875</v>
      </c>
      <c r="J28" s="50" t="n">
        <f aca="false">I28*H28</f>
        <v>50776.3178486979</v>
      </c>
    </row>
    <row r="29" customFormat="false" ht="15" hidden="false" customHeight="false" outlineLevel="0" collapsed="false">
      <c r="A29" s="46" t="n">
        <v>21</v>
      </c>
      <c r="B29" s="47" t="n">
        <f aca="false">(A29-1)*$C$6</f>
        <v>0.361324606715191</v>
      </c>
      <c r="C29" s="48" t="n">
        <f aca="false">$C$7*B29</f>
        <v>2.77777777777778</v>
      </c>
      <c r="D29" s="49" t="n">
        <f aca="false">0.5*c_rho*'P3 Energie'!E8*'P3 Energie'!E7*(C29-c_Vv)^2+'P3 Energie'!E13+'P3 Energie'!E15+'P3 Energie'!E6*$C$7</f>
        <v>18414.3482644445</v>
      </c>
      <c r="E29" s="50" t="n">
        <f aca="false">D29*C29</f>
        <v>51150.9674012346</v>
      </c>
      <c r="F29" s="46" t="n">
        <v>21</v>
      </c>
      <c r="G29" s="47" t="n">
        <f aca="false">(F29-1)*$H$6</f>
        <v>0.361066565165095</v>
      </c>
      <c r="H29" s="48" t="n">
        <f aca="false">$H$7*G29</f>
        <v>2.77777777777778</v>
      </c>
      <c r="I29" s="49" t="n">
        <f aca="false">0.5*c_rho*'P3 Energie'!F8*'P3 Energie'!F7*(H29-c_Vv)^2+'P3 Energie'!F13+'P3 Energie'!F15+'P3 Energie'!F6*$H$7</f>
        <v>19241.8131111111</v>
      </c>
      <c r="J29" s="50" t="n">
        <f aca="false">I29*H29</f>
        <v>53449.4808641976</v>
      </c>
    </row>
    <row r="30" customFormat="false" ht="15" hidden="false" customHeight="false" outlineLevel="0" collapsed="false">
      <c r="A30" s="46" t="n">
        <v>22</v>
      </c>
      <c r="B30" s="47" t="n">
        <f aca="false">(A30-1)*$C$6</f>
        <v>0.37939083705095</v>
      </c>
      <c r="C30" s="48" t="n">
        <f aca="false">$C$7*B30</f>
        <v>2.91666666666667</v>
      </c>
      <c r="D30" s="49" t="n">
        <f aca="false">0.5*c_rho*'P3 Energie'!E8*'P3 Energie'!E7*(C30-c_Vv)^2+'P3 Energie'!E13+'P3 Energie'!E15+'P3 Energie'!E6*$C$7</f>
        <v>18414.6641785651</v>
      </c>
      <c r="E30" s="50" t="n">
        <f aca="false">D30*C30</f>
        <v>53709.4371874814</v>
      </c>
      <c r="F30" s="46" t="n">
        <v>22</v>
      </c>
      <c r="G30" s="47" t="n">
        <f aca="false">(F30-1)*$H$6</f>
        <v>0.37911989342335</v>
      </c>
      <c r="H30" s="48" t="n">
        <f aca="false">$H$7*G30</f>
        <v>2.91666666666667</v>
      </c>
      <c r="I30" s="49" t="n">
        <f aca="false">0.5*c_rho*'P3 Energie'!F8*'P3 Energie'!F7*(H30-c_Vv)^2+'P3 Energie'!F13+'P3 Energie'!F15+'P3 Energie'!F6*$H$7</f>
        <v>19242.0875842824</v>
      </c>
      <c r="J30" s="50" t="n">
        <f aca="false">I30*H30</f>
        <v>56122.755454157</v>
      </c>
    </row>
    <row r="31" customFormat="false" ht="15" hidden="false" customHeight="false" outlineLevel="0" collapsed="false">
      <c r="A31" s="46" t="n">
        <v>23</v>
      </c>
      <c r="B31" s="47" t="n">
        <f aca="false">(A31-1)*$C$6</f>
        <v>0.39745706738671</v>
      </c>
      <c r="C31" s="48" t="n">
        <f aca="false">$C$7*B31</f>
        <v>3.05555555555556</v>
      </c>
      <c r="D31" s="49" t="n">
        <f aca="false">0.5*c_rho*'P3 Energie'!E8*'P3 Energie'!E7*(C31-c_Vv)^2+'P3 Energie'!E13+'P3 Energie'!E15+'P3 Energie'!E6*$C$7</f>
        <v>18414.9955031306</v>
      </c>
      <c r="E31" s="50" t="n">
        <f aca="false">D31*C31</f>
        <v>56268.0418151212</v>
      </c>
      <c r="F31" s="46" t="n">
        <v>23</v>
      </c>
      <c r="G31" s="47" t="n">
        <f aca="false">(F31-1)*$H$6</f>
        <v>0.397173221681605</v>
      </c>
      <c r="H31" s="48" t="n">
        <f aca="false">$H$7*G31</f>
        <v>3.05555555555556</v>
      </c>
      <c r="I31" s="49" t="n">
        <f aca="false">0.5*c_rho*'P3 Energie'!F8*'P3 Energie'!F7*(H31-c_Vv)^2+'P3 Energie'!F13+'P3 Energie'!F15+'P3 Energie'!F6*$H$7</f>
        <v>19242.3754463889</v>
      </c>
      <c r="J31" s="50" t="n">
        <f aca="false">I31*H31</f>
        <v>58796.1471972994</v>
      </c>
    </row>
    <row r="32" customFormat="false" ht="15" hidden="false" customHeight="false" outlineLevel="0" collapsed="false">
      <c r="A32" s="46" t="n">
        <v>24</v>
      </c>
      <c r="B32" s="47" t="n">
        <f aca="false">(A32-1)*$C$6</f>
        <v>0.415523297722469</v>
      </c>
      <c r="C32" s="48" t="n">
        <f aca="false">$C$7*B32</f>
        <v>3.19444444444444</v>
      </c>
      <c r="D32" s="49" t="n">
        <f aca="false">0.5*c_rho*'P3 Energie'!E8*'P3 Energie'!E7*(C32-c_Vv)^2+'P3 Energie'!E13+'P3 Energie'!E15+'P3 Energie'!E6*$C$7</f>
        <v>18415.342238141</v>
      </c>
      <c r="E32" s="50" t="n">
        <f aca="false">D32*C32</f>
        <v>58826.7877051726</v>
      </c>
      <c r="F32" s="46" t="n">
        <v>24</v>
      </c>
      <c r="G32" s="47" t="n">
        <f aca="false">(F32-1)*$H$6</f>
        <v>0.415226549939859</v>
      </c>
      <c r="H32" s="48" t="n">
        <f aca="false">$H$7*G32</f>
        <v>3.19444444444444</v>
      </c>
      <c r="I32" s="49" t="n">
        <f aca="false">0.5*c_rho*'P3 Energie'!F8*'P3 Energie'!F7*(H32-c_Vv)^2+'P3 Energie'!F13+'P3 Energie'!F15+'P3 Energie'!F6*$H$7</f>
        <v>19242.6766974306</v>
      </c>
      <c r="J32" s="50" t="n">
        <f aca="false">I32*H32</f>
        <v>61469.6616723476</v>
      </c>
    </row>
    <row r="33" customFormat="false" ht="15" hidden="false" customHeight="false" outlineLevel="0" collapsed="false">
      <c r="A33" s="46" t="n">
        <v>25</v>
      </c>
      <c r="B33" s="47" t="n">
        <f aca="false">(A33-1)*$C$6</f>
        <v>0.433589528058229</v>
      </c>
      <c r="C33" s="48" t="n">
        <f aca="false">$C$7*B33</f>
        <v>3.33333333333333</v>
      </c>
      <c r="D33" s="49" t="n">
        <f aca="false">0.5*c_rho*'P3 Energie'!E8*'P3 Energie'!E7*(C33-c_Vv)^2+'P3 Energie'!E13+'P3 Energie'!E15+'P3 Energie'!E6*$C$7</f>
        <v>18415.7043835963</v>
      </c>
      <c r="E33" s="50" t="n">
        <f aca="false">D33*C33</f>
        <v>61385.6812786543</v>
      </c>
      <c r="F33" s="46" t="n">
        <v>25</v>
      </c>
      <c r="G33" s="47" t="n">
        <f aca="false">(F33-1)*$H$6</f>
        <v>0.433279878198114</v>
      </c>
      <c r="H33" s="48" t="n">
        <f aca="false">$H$7*G33</f>
        <v>3.33333333333333</v>
      </c>
      <c r="I33" s="49" t="n">
        <f aca="false">0.5*c_rho*'P3 Energie'!F8*'P3 Energie'!F7*(H33-c_Vv)^2+'P3 Energie'!F13+'P3 Energie'!F15+'P3 Energie'!F6*$H$7</f>
        <v>19242.9913374074</v>
      </c>
      <c r="J33" s="50" t="n">
        <f aca="false">I33*H33</f>
        <v>64143.3044580247</v>
      </c>
    </row>
    <row r="34" customFormat="false" ht="15" hidden="false" customHeight="false" outlineLevel="0" collapsed="false">
      <c r="A34" s="46" t="n">
        <v>26</v>
      </c>
      <c r="B34" s="47" t="n">
        <f aca="false">(A34-1)*$C$6</f>
        <v>0.451655758393988</v>
      </c>
      <c r="C34" s="48" t="n">
        <f aca="false">$C$7*B34</f>
        <v>3.47222222222222</v>
      </c>
      <c r="D34" s="49" t="n">
        <f aca="false">0.5*c_rho*'P3 Energie'!E8*'P3 Energie'!E7*(C34-c_Vv)^2+'P3 Energie'!E13+'P3 Energie'!E15+'P3 Energie'!E6*$C$7</f>
        <v>18416.0819394965</v>
      </c>
      <c r="E34" s="50" t="n">
        <f aca="false">D34*C34</f>
        <v>63944.7289565852</v>
      </c>
      <c r="F34" s="46" t="n">
        <v>26</v>
      </c>
      <c r="G34" s="47" t="n">
        <f aca="false">(F34-1)*$H$6</f>
        <v>0.451333206456369</v>
      </c>
      <c r="H34" s="48" t="n">
        <f aca="false">$H$7*G34</f>
        <v>3.47222222222222</v>
      </c>
      <c r="I34" s="49" t="n">
        <f aca="false">0.5*c_rho*'P3 Energie'!F8*'P3 Energie'!F7*(H34-c_Vv)^2+'P3 Energie'!F13+'P3 Energie'!F15+'P3 Energie'!F6*$H$7</f>
        <v>19243.3193663194</v>
      </c>
      <c r="J34" s="50" t="n">
        <f aca="false">I34*H34</f>
        <v>66817.0811330536</v>
      </c>
    </row>
    <row r="35" customFormat="false" ht="15" hidden="false" customHeight="false" outlineLevel="0" collapsed="false">
      <c r="A35" s="46" t="n">
        <v>27</v>
      </c>
      <c r="B35" s="47" t="n">
        <f aca="false">(A35-1)*$C$6</f>
        <v>0.469721988729748</v>
      </c>
      <c r="C35" s="48" t="n">
        <f aca="false">$C$7*B35</f>
        <v>3.61111111111111</v>
      </c>
      <c r="D35" s="49" t="n">
        <f aca="false">0.5*c_rho*'P3 Energie'!E8*'P3 Energie'!E7*(C35-c_Vv)^2+'P3 Energie'!E13+'P3 Energie'!E15+'P3 Energie'!E6*$C$7</f>
        <v>18416.4749058417</v>
      </c>
      <c r="E35" s="50" t="n">
        <f aca="false">D35*C35</f>
        <v>66503.9371599838</v>
      </c>
      <c r="F35" s="46" t="n">
        <v>27</v>
      </c>
      <c r="G35" s="47" t="n">
        <f aca="false">(F35-1)*$H$6</f>
        <v>0.469386534714624</v>
      </c>
      <c r="H35" s="48" t="n">
        <f aca="false">$H$7*G35</f>
        <v>3.61111111111111</v>
      </c>
      <c r="I35" s="49" t="n">
        <f aca="false">0.5*c_rho*'P3 Energie'!F8*'P3 Energie'!F7*(H35-c_Vv)^2+'P3 Energie'!F13+'P3 Energie'!F15+'P3 Energie'!F6*$H$7</f>
        <v>19243.6607841667</v>
      </c>
      <c r="J35" s="50" t="n">
        <f aca="false">I35*H35</f>
        <v>69490.9972761574</v>
      </c>
    </row>
    <row r="36" customFormat="false" ht="15" hidden="false" customHeight="false" outlineLevel="0" collapsed="false">
      <c r="A36" s="46" t="n">
        <v>28</v>
      </c>
      <c r="B36" s="47" t="n">
        <f aca="false">(A36-1)*$C$6</f>
        <v>0.487788219065507</v>
      </c>
      <c r="C36" s="48" t="n">
        <f aca="false">$C$7*B36</f>
        <v>3.75</v>
      </c>
      <c r="D36" s="49" t="n">
        <f aca="false">0.5*c_rho*'P3 Energie'!E8*'P3 Energie'!E7*(C36-c_Vv)^2+'P3 Energie'!E13+'P3 Energie'!E15+'P3 Energie'!E6*$C$7</f>
        <v>18416.8832826317</v>
      </c>
      <c r="E36" s="50" t="n">
        <f aca="false">D36*C36</f>
        <v>69063.312309869</v>
      </c>
      <c r="F36" s="46" t="n">
        <v>28</v>
      </c>
      <c r="G36" s="47" t="n">
        <f aca="false">(F36-1)*$H$6</f>
        <v>0.487439862972878</v>
      </c>
      <c r="H36" s="48" t="n">
        <f aca="false">$H$7*G36</f>
        <v>3.75</v>
      </c>
      <c r="I36" s="49" t="n">
        <f aca="false">0.5*c_rho*'P3 Energie'!F8*'P3 Energie'!F7*(H36-c_Vv)^2+'P3 Energie'!F13+'P3 Energie'!F15+'P3 Energie'!F6*$H$7</f>
        <v>19244.0155909491</v>
      </c>
      <c r="J36" s="50" t="n">
        <f aca="false">I36*H36</f>
        <v>72165.058466059</v>
      </c>
    </row>
    <row r="37" customFormat="false" ht="15" hidden="false" customHeight="false" outlineLevel="0" collapsed="false">
      <c r="A37" s="46" t="n">
        <v>29</v>
      </c>
      <c r="B37" s="47" t="n">
        <f aca="false">(A37-1)*$C$6</f>
        <v>0.505854449401267</v>
      </c>
      <c r="C37" s="48" t="n">
        <f aca="false">$C$7*B37</f>
        <v>3.88888888888889</v>
      </c>
      <c r="D37" s="49" t="n">
        <f aca="false">0.5*c_rho*'P3 Energie'!E8*'P3 Energie'!E7*(C37-c_Vv)^2+'P3 Energie'!E13+'P3 Energie'!E15+'P3 Energie'!E6*$C$7</f>
        <v>18417.3070698667</v>
      </c>
      <c r="E37" s="50" t="n">
        <f aca="false">D37*C37</f>
        <v>71622.8608272593</v>
      </c>
      <c r="F37" s="46" t="n">
        <v>29</v>
      </c>
      <c r="G37" s="47" t="n">
        <f aca="false">(F37-1)*$H$6</f>
        <v>0.505493191231133</v>
      </c>
      <c r="H37" s="48" t="n">
        <f aca="false">$H$7*G37</f>
        <v>3.88888888888889</v>
      </c>
      <c r="I37" s="49" t="n">
        <f aca="false">0.5*c_rho*'P3 Energie'!F8*'P3 Energie'!F7*(H37-c_Vv)^2+'P3 Energie'!F13+'P3 Energie'!F15+'P3 Energie'!F6*$H$7</f>
        <v>19244.3837866667</v>
      </c>
      <c r="J37" s="50" t="n">
        <f aca="false">I37*H37</f>
        <v>74839.2702814815</v>
      </c>
    </row>
    <row r="38" customFormat="false" ht="15" hidden="false" customHeight="false" outlineLevel="0" collapsed="false">
      <c r="A38" s="46" t="n">
        <v>30</v>
      </c>
      <c r="B38" s="47" t="n">
        <f aca="false">(A38-1)*$C$6</f>
        <v>0.523920679737027</v>
      </c>
      <c r="C38" s="48" t="n">
        <f aca="false">$C$7*B38</f>
        <v>4.02777777777778</v>
      </c>
      <c r="D38" s="49" t="n">
        <f aca="false">0.5*c_rho*'P3 Energie'!E8*'P3 Energie'!E7*(C38-c_Vv)^2+'P3 Energie'!E13+'P3 Energie'!E15+'P3 Energie'!E6*$C$7</f>
        <v>18417.7462675465</v>
      </c>
      <c r="E38" s="50" t="n">
        <f aca="false">D38*C38</f>
        <v>74182.5891331736</v>
      </c>
      <c r="F38" s="46" t="n">
        <v>30</v>
      </c>
      <c r="G38" s="47" t="n">
        <f aca="false">(F38-1)*$H$6</f>
        <v>0.523546519489388</v>
      </c>
      <c r="H38" s="48" t="n">
        <f aca="false">$H$7*G38</f>
        <v>4.02777777777778</v>
      </c>
      <c r="I38" s="49" t="n">
        <f aca="false">0.5*c_rho*'P3 Energie'!F8*'P3 Energie'!F7*(H38-c_Vv)^2+'P3 Energie'!F13+'P3 Energie'!F15+'P3 Energie'!F6*$H$7</f>
        <v>19244.7653713194</v>
      </c>
      <c r="J38" s="50" t="n">
        <f aca="false">I38*H38</f>
        <v>77513.6383011478</v>
      </c>
    </row>
    <row r="39" customFormat="false" ht="15" hidden="false" customHeight="false" outlineLevel="0" collapsed="false">
      <c r="A39" s="46" t="n">
        <v>31</v>
      </c>
      <c r="B39" s="47" t="n">
        <f aca="false">(A39-1)*$C$6</f>
        <v>0.541986910072786</v>
      </c>
      <c r="C39" s="48" t="n">
        <f aca="false">$C$7*B39</f>
        <v>4.16666666666667</v>
      </c>
      <c r="D39" s="49" t="n">
        <f aca="false">0.5*c_rho*'P3 Energie'!E8*'P3 Energie'!E7*(C39-c_Vv)^2+'P3 Energie'!E13+'P3 Energie'!E15+'P3 Energie'!E6*$C$7</f>
        <v>18418.2008756713</v>
      </c>
      <c r="E39" s="50" t="n">
        <f aca="false">D39*C39</f>
        <v>76742.5036486304</v>
      </c>
      <c r="F39" s="46" t="n">
        <v>31</v>
      </c>
      <c r="G39" s="47" t="n">
        <f aca="false">(F39-1)*$H$6</f>
        <v>0.541599847747643</v>
      </c>
      <c r="H39" s="48" t="n">
        <f aca="false">$H$7*G39</f>
        <v>4.16666666666667</v>
      </c>
      <c r="I39" s="49" t="n">
        <f aca="false">0.5*c_rho*'P3 Energie'!F8*'P3 Energie'!F7*(H39-c_Vv)^2+'P3 Energie'!F13+'P3 Energie'!F15+'P3 Energie'!F6*$H$7</f>
        <v>19245.1603449074</v>
      </c>
      <c r="J39" s="50" t="n">
        <f aca="false">I39*H39</f>
        <v>80188.1681037809</v>
      </c>
    </row>
    <row r="40" customFormat="false" ht="15" hidden="false" customHeight="false" outlineLevel="0" collapsed="false">
      <c r="A40" s="46" t="n">
        <v>32</v>
      </c>
      <c r="B40" s="47" t="n">
        <f aca="false">(A40-1)*$C$6</f>
        <v>0.560053140408546</v>
      </c>
      <c r="C40" s="48" t="n">
        <f aca="false">$C$7*B40</f>
        <v>4.30555555555556</v>
      </c>
      <c r="D40" s="49" t="n">
        <f aca="false">0.5*c_rho*'P3 Energie'!E8*'P3 Energie'!E7*(C40-c_Vv)^2+'P3 Energie'!E13+'P3 Energie'!E15+'P3 Energie'!E6*$C$7</f>
        <v>18418.670894241</v>
      </c>
      <c r="E40" s="50" t="n">
        <f aca="false">D40*C40</f>
        <v>79302.6107946487</v>
      </c>
      <c r="F40" s="46" t="n">
        <v>32</v>
      </c>
      <c r="G40" s="47" t="n">
        <f aca="false">(F40-1)*$H$6</f>
        <v>0.559653176005897</v>
      </c>
      <c r="H40" s="48" t="n">
        <f aca="false">$H$7*G40</f>
        <v>4.30555555555556</v>
      </c>
      <c r="I40" s="49" t="n">
        <f aca="false">0.5*c_rho*'P3 Energie'!F8*'P3 Energie'!F7*(H40-c_Vv)^2+'P3 Energie'!F13+'P3 Energie'!F15+'P3 Energie'!F6*$H$7</f>
        <v>19245.5687074306</v>
      </c>
      <c r="J40" s="50" t="n">
        <f aca="false">I40*H40</f>
        <v>82862.8652681038</v>
      </c>
    </row>
    <row r="41" customFormat="false" ht="15" hidden="false" customHeight="false" outlineLevel="0" collapsed="false">
      <c r="A41" s="46" t="n">
        <v>33</v>
      </c>
      <c r="B41" s="47" t="n">
        <f aca="false">(A41-1)*$C$6</f>
        <v>0.578119370744305</v>
      </c>
      <c r="C41" s="48" t="n">
        <f aca="false">$C$7*B41</f>
        <v>4.44444444444445</v>
      </c>
      <c r="D41" s="49" t="n">
        <f aca="false">0.5*c_rho*'P3 Energie'!E8*'P3 Energie'!E7*(C41-c_Vv)^2+'P3 Energie'!E13+'P3 Energie'!E15+'P3 Energie'!E6*$C$7</f>
        <v>18419.1563232556</v>
      </c>
      <c r="E41" s="50" t="n">
        <f aca="false">D41*C41</f>
        <v>81862.9169922469</v>
      </c>
      <c r="F41" s="46" t="n">
        <v>33</v>
      </c>
      <c r="G41" s="47" t="n">
        <f aca="false">(F41-1)*$H$6</f>
        <v>0.577706504264152</v>
      </c>
      <c r="H41" s="48" t="n">
        <f aca="false">$H$7*G41</f>
        <v>4.44444444444445</v>
      </c>
      <c r="I41" s="49" t="n">
        <f aca="false">0.5*c_rho*'P3 Energie'!F8*'P3 Energie'!F7*(H41-c_Vv)^2+'P3 Energie'!F13+'P3 Energie'!F15+'P3 Energie'!F6*$H$7</f>
        <v>19245.9904588889</v>
      </c>
      <c r="J41" s="50" t="n">
        <f aca="false">I41*H41</f>
        <v>85537.7353728395</v>
      </c>
    </row>
    <row r="42" customFormat="false" ht="15" hidden="false" customHeight="false" outlineLevel="0" collapsed="false">
      <c r="A42" s="46" t="n">
        <v>34</v>
      </c>
      <c r="B42" s="47" t="n">
        <f aca="false">(A42-1)*$C$6</f>
        <v>0.596185601080065</v>
      </c>
      <c r="C42" s="48" t="n">
        <f aca="false">$C$7*B42</f>
        <v>4.58333333333333</v>
      </c>
      <c r="D42" s="49" t="n">
        <f aca="false">0.5*c_rho*'P3 Energie'!E8*'P3 Energie'!E7*(C42-c_Vv)^2+'P3 Energie'!E13+'P3 Energie'!E15+'P3 Energie'!E6*$C$7</f>
        <v>18419.6571627151</v>
      </c>
      <c r="E42" s="50" t="n">
        <f aca="false">D42*C42</f>
        <v>84423.428662444</v>
      </c>
      <c r="F42" s="46" t="n">
        <v>34</v>
      </c>
      <c r="G42" s="47" t="n">
        <f aca="false">(F42-1)*$H$6</f>
        <v>0.595759832522407</v>
      </c>
      <c r="H42" s="48" t="n">
        <f aca="false">$H$7*G42</f>
        <v>4.58333333333333</v>
      </c>
      <c r="I42" s="49" t="n">
        <f aca="false">0.5*c_rho*'P3 Energie'!F8*'P3 Energie'!F7*(H42-c_Vv)^2+'P3 Energie'!F13+'P3 Energie'!F15+'P3 Energie'!F6*$H$7</f>
        <v>19246.4255992824</v>
      </c>
      <c r="J42" s="50" t="n">
        <f aca="false">I42*H42</f>
        <v>88212.7839967111</v>
      </c>
    </row>
    <row r="43" customFormat="false" ht="15" hidden="false" customHeight="false" outlineLevel="0" collapsed="false">
      <c r="A43" s="46" t="n">
        <v>35</v>
      </c>
      <c r="B43" s="47" t="n">
        <f aca="false">(A43-1)*$C$6</f>
        <v>0.614251831415824</v>
      </c>
      <c r="C43" s="48" t="n">
        <f aca="false">$C$7*B43</f>
        <v>4.72222222222222</v>
      </c>
      <c r="D43" s="49" t="n">
        <f aca="false">0.5*c_rho*'P3 Energie'!E8*'P3 Energie'!E7*(C43-c_Vv)^2+'P3 Energie'!E13+'P3 Energie'!E15+'P3 Energie'!E6*$C$7</f>
        <v>18420.1734126195</v>
      </c>
      <c r="E43" s="50" t="n">
        <f aca="false">D43*C43</f>
        <v>86984.1522262585</v>
      </c>
      <c r="F43" s="46" t="n">
        <v>35</v>
      </c>
      <c r="G43" s="47" t="n">
        <f aca="false">(F43-1)*$H$6</f>
        <v>0.613813160780662</v>
      </c>
      <c r="H43" s="48" t="n">
        <f aca="false">$H$7*G43</f>
        <v>4.72222222222222</v>
      </c>
      <c r="I43" s="49" t="n">
        <f aca="false">0.5*c_rho*'P3 Energie'!F8*'P3 Energie'!F7*(H43-c_Vv)^2+'P3 Energie'!F13+'P3 Energie'!F15+'P3 Energie'!F6*$H$7</f>
        <v>19246.8741286111</v>
      </c>
      <c r="J43" s="50" t="n">
        <f aca="false">I43*H43</f>
        <v>90888.0167184414</v>
      </c>
    </row>
    <row r="44" customFormat="false" ht="15" hidden="false" customHeight="false" outlineLevel="0" collapsed="false">
      <c r="A44" s="46" t="n">
        <v>36</v>
      </c>
      <c r="B44" s="47" t="n">
        <f aca="false">(A44-1)*$C$6</f>
        <v>0.632318061751584</v>
      </c>
      <c r="C44" s="48" t="n">
        <f aca="false">$C$7*B44</f>
        <v>4.86111111111111</v>
      </c>
      <c r="D44" s="49" t="n">
        <f aca="false">0.5*c_rho*'P3 Energie'!E8*'P3 Energie'!E7*(C44-c_Vv)^2+'P3 Energie'!E13+'P3 Energie'!E15+'P3 Energie'!E6*$C$7</f>
        <v>18420.7050729688</v>
      </c>
      <c r="E44" s="50" t="n">
        <f aca="false">D44*C44</f>
        <v>89545.0941047092</v>
      </c>
      <c r="F44" s="46" t="n">
        <v>36</v>
      </c>
      <c r="G44" s="47" t="n">
        <f aca="false">(F44-1)*$H$6</f>
        <v>0.631866489038916</v>
      </c>
      <c r="H44" s="48" t="n">
        <f aca="false">$H$7*G44</f>
        <v>4.86111111111111</v>
      </c>
      <c r="I44" s="49" t="n">
        <f aca="false">0.5*c_rho*'P3 Energie'!F8*'P3 Energie'!F7*(H44-c_Vv)^2+'P3 Energie'!F13+'P3 Energie'!F15+'P3 Energie'!F6*$H$7</f>
        <v>19247.336046875</v>
      </c>
      <c r="J44" s="50" t="n">
        <f aca="false">I44*H44</f>
        <v>93563.4391167535</v>
      </c>
    </row>
    <row r="45" customFormat="false" ht="15" hidden="false" customHeight="false" outlineLevel="0" collapsed="false">
      <c r="A45" s="46" t="n">
        <v>37</v>
      </c>
      <c r="B45" s="47" t="n">
        <f aca="false">(A45-1)*$C$6</f>
        <v>0.650384292087343</v>
      </c>
      <c r="C45" s="48" t="n">
        <f aca="false">$C$7*B45</f>
        <v>5</v>
      </c>
      <c r="D45" s="49" t="n">
        <f aca="false">0.5*c_rho*'P3 Energie'!E8*'P3 Energie'!E7*(C45-c_Vv)^2+'P3 Energie'!E13+'P3 Energie'!E15+'P3 Energie'!E6*$C$7</f>
        <v>18421.252143763</v>
      </c>
      <c r="E45" s="50" t="n">
        <f aca="false">D45*C45</f>
        <v>92106.2607188149</v>
      </c>
      <c r="F45" s="46" t="n">
        <v>37</v>
      </c>
      <c r="G45" s="47" t="n">
        <f aca="false">(F45-1)*$H$6</f>
        <v>0.649919817297171</v>
      </c>
      <c r="H45" s="48" t="n">
        <f aca="false">$H$7*G45</f>
        <v>5</v>
      </c>
      <c r="I45" s="49" t="n">
        <f aca="false">0.5*c_rho*'P3 Energie'!F8*'P3 Energie'!F7*(H45-c_Vv)^2+'P3 Energie'!F13+'P3 Energie'!F15+'P3 Energie'!F6*$H$7</f>
        <v>19247.8113540741</v>
      </c>
      <c r="J45" s="50" t="n">
        <f aca="false">I45*H45</f>
        <v>96239.0567703704</v>
      </c>
    </row>
    <row r="46" customFormat="false" ht="15" hidden="false" customHeight="false" outlineLevel="0" collapsed="false">
      <c r="A46" s="46" t="n">
        <v>38</v>
      </c>
      <c r="B46" s="47" t="n">
        <f aca="false">(A46-1)*$C$6</f>
        <v>0.668450522423103</v>
      </c>
      <c r="C46" s="48" t="n">
        <f aca="false">$C$7*B46</f>
        <v>5.13888888888889</v>
      </c>
      <c r="D46" s="49" t="n">
        <f aca="false">0.5*c_rho*'P3 Energie'!E8*'P3 Energie'!E7*(C46-c_Vv)^2+'P3 Energie'!E13+'P3 Energie'!E15+'P3 Energie'!E6*$C$7</f>
        <v>18421.8146250021</v>
      </c>
      <c r="E46" s="50" t="n">
        <f aca="false">D46*C46</f>
        <v>94667.6584895941</v>
      </c>
      <c r="F46" s="46" t="n">
        <v>38</v>
      </c>
      <c r="G46" s="47" t="n">
        <f aca="false">(F46-1)*$H$6</f>
        <v>0.667973145555426</v>
      </c>
      <c r="H46" s="48" t="n">
        <f aca="false">$H$7*G46</f>
        <v>5.13888888888889</v>
      </c>
      <c r="I46" s="49" t="n">
        <f aca="false">0.5*c_rho*'P3 Energie'!F8*'P3 Energie'!F7*(H46-c_Vv)^2+'P3 Energie'!F13+'P3 Energie'!F15+'P3 Energie'!F6*$H$7</f>
        <v>19248.3000502083</v>
      </c>
      <c r="J46" s="50" t="n">
        <f aca="false">I46*H46</f>
        <v>98914.8752580151</v>
      </c>
    </row>
    <row r="47" customFormat="false" ht="15" hidden="false" customHeight="false" outlineLevel="0" collapsed="false">
      <c r="A47" s="46" t="n">
        <v>39</v>
      </c>
      <c r="B47" s="47" t="n">
        <f aca="false">(A47-1)*$C$6</f>
        <v>0.686516752758862</v>
      </c>
      <c r="C47" s="48" t="n">
        <f aca="false">$C$7*B47</f>
        <v>5.27777777777778</v>
      </c>
      <c r="D47" s="49" t="n">
        <f aca="false">0.5*c_rho*'P3 Energie'!E8*'P3 Energie'!E7*(C47-c_Vv)^2+'P3 Energie'!E13+'P3 Energie'!E15+'P3 Energie'!E6*$C$7</f>
        <v>18422.3925166861</v>
      </c>
      <c r="E47" s="50" t="n">
        <f aca="false">D47*C47</f>
        <v>97229.2938380656</v>
      </c>
      <c r="F47" s="46" t="n">
        <v>39</v>
      </c>
      <c r="G47" s="47" t="n">
        <f aca="false">(F47-1)*$H$6</f>
        <v>0.686026473813681</v>
      </c>
      <c r="H47" s="48" t="n">
        <f aca="false">$H$7*G47</f>
        <v>5.27777777777778</v>
      </c>
      <c r="I47" s="49" t="n">
        <f aca="false">0.5*c_rho*'P3 Energie'!F8*'P3 Energie'!F7*(H47-c_Vv)^2+'P3 Energie'!F13+'P3 Energie'!F15+'P3 Energie'!F6*$H$7</f>
        <v>19248.8021352778</v>
      </c>
      <c r="J47" s="50" t="n">
        <f aca="false">I47*H47</f>
        <v>101590.900158411</v>
      </c>
    </row>
    <row r="48" customFormat="false" ht="15" hidden="false" customHeight="false" outlineLevel="0" collapsed="false">
      <c r="A48" s="46" t="n">
        <v>40</v>
      </c>
      <c r="B48" s="47" t="n">
        <f aca="false">(A48-1)*$C$6</f>
        <v>0.704582983094622</v>
      </c>
      <c r="C48" s="48" t="n">
        <f aca="false">$C$7*B48</f>
        <v>5.41666666666667</v>
      </c>
      <c r="D48" s="49" t="n">
        <f aca="false">0.5*c_rho*'P3 Energie'!E8*'P3 Energie'!E7*(C48-c_Vv)^2+'P3 Energie'!E13+'P3 Energie'!E15+'P3 Energie'!E6*$C$7</f>
        <v>18422.9858188151</v>
      </c>
      <c r="E48" s="50" t="n">
        <f aca="false">D48*C48</f>
        <v>99791.1731852482</v>
      </c>
      <c r="F48" s="46" t="n">
        <v>40</v>
      </c>
      <c r="G48" s="47" t="n">
        <f aca="false">(F48-1)*$H$6</f>
        <v>0.704079802071935</v>
      </c>
      <c r="H48" s="48" t="n">
        <f aca="false">$H$7*G48</f>
        <v>5.41666666666667</v>
      </c>
      <c r="I48" s="49" t="n">
        <f aca="false">0.5*c_rho*'P3 Energie'!F8*'P3 Energie'!F7*(H48-c_Vv)^2+'P3 Energie'!F13+'P3 Energie'!F15+'P3 Energie'!F6*$H$7</f>
        <v>19249.3176092824</v>
      </c>
      <c r="J48" s="50" t="n">
        <f aca="false">I48*H48</f>
        <v>104267.13705028</v>
      </c>
    </row>
    <row r="49" customFormat="false" ht="15" hidden="false" customHeight="false" outlineLevel="0" collapsed="false">
      <c r="A49" s="46" t="n">
        <v>41</v>
      </c>
      <c r="B49" s="47" t="n">
        <f aca="false">(A49-1)*$C$6</f>
        <v>0.722649213430381</v>
      </c>
      <c r="C49" s="48" t="n">
        <f aca="false">$C$7*B49</f>
        <v>5.55555555555556</v>
      </c>
      <c r="D49" s="49" t="n">
        <f aca="false">0.5*c_rho*'P3 Energie'!E8*'P3 Energie'!E7*(C49-c_Vv)^2+'P3 Energie'!E13+'P3 Energie'!E15+'P3 Energie'!E6*$C$7</f>
        <v>18423.5945313889</v>
      </c>
      <c r="E49" s="50" t="n">
        <f aca="false">D49*C49</f>
        <v>102353.302952161</v>
      </c>
      <c r="F49" s="46" t="n">
        <v>41</v>
      </c>
      <c r="G49" s="47" t="n">
        <f aca="false">(F49-1)*$H$6</f>
        <v>0.72213313033019</v>
      </c>
      <c r="H49" s="48" t="n">
        <f aca="false">$H$7*G49</f>
        <v>5.55555555555556</v>
      </c>
      <c r="I49" s="49" t="n">
        <f aca="false">0.5*c_rho*'P3 Energie'!F8*'P3 Energie'!F7*(H49-c_Vv)^2+'P3 Energie'!F13+'P3 Energie'!F15+'P3 Energie'!F6*$H$7</f>
        <v>19249.8464722222</v>
      </c>
      <c r="J49" s="50" t="n">
        <f aca="false">I49*H49</f>
        <v>106943.591512346</v>
      </c>
    </row>
    <row r="50" customFormat="false" ht="15" hidden="false" customHeight="false" outlineLevel="0" collapsed="false">
      <c r="A50" s="46" t="n">
        <v>42</v>
      </c>
      <c r="B50" s="47" t="n">
        <f aca="false">(A50-1)*$C$6</f>
        <v>0.740715443766141</v>
      </c>
      <c r="C50" s="48" t="n">
        <f aca="false">$C$7*B50</f>
        <v>5.69444444444445</v>
      </c>
      <c r="D50" s="49" t="n">
        <f aca="false">0.5*c_rho*'P3 Energie'!E8*'P3 Energie'!E7*(C50-c_Vv)^2+'P3 Energie'!E13+'P3 Energie'!E15+'P3 Energie'!E6*$C$7</f>
        <v>18424.2186544076</v>
      </c>
      <c r="E50" s="50" t="n">
        <f aca="false">D50*C50</f>
        <v>104915.689559821</v>
      </c>
      <c r="F50" s="46" t="n">
        <v>42</v>
      </c>
      <c r="G50" s="47" t="n">
        <f aca="false">(F50-1)*$H$6</f>
        <v>0.740186458588445</v>
      </c>
      <c r="H50" s="48" t="n">
        <f aca="false">$H$7*G50</f>
        <v>5.69444444444445</v>
      </c>
      <c r="I50" s="49" t="n">
        <f aca="false">0.5*c_rho*'P3 Energie'!F8*'P3 Energie'!F7*(H50-c_Vv)^2+'P3 Energie'!F13+'P3 Energie'!F15+'P3 Energie'!F6*$H$7</f>
        <v>19250.3887240972</v>
      </c>
      <c r="J50" s="50" t="n">
        <f aca="false">I50*H50</f>
        <v>109620.269123331</v>
      </c>
    </row>
    <row r="51" customFormat="false" ht="15" hidden="false" customHeight="false" outlineLevel="0" collapsed="false">
      <c r="A51" s="46" t="n">
        <v>43</v>
      </c>
      <c r="B51" s="47" t="n">
        <f aca="false">(A51-1)*$C$6</f>
        <v>0.7587816741019</v>
      </c>
      <c r="C51" s="48" t="n">
        <f aca="false">$C$7*B51</f>
        <v>5.83333333333333</v>
      </c>
      <c r="D51" s="49" t="n">
        <f aca="false">0.5*c_rho*'P3 Energie'!E8*'P3 Energie'!E7*(C51-c_Vv)^2+'P3 Energie'!E13+'P3 Energie'!E15+'P3 Energie'!E6*$C$7</f>
        <v>18424.8581878713</v>
      </c>
      <c r="E51" s="50" t="n">
        <f aca="false">D51*C51</f>
        <v>107478.339429249</v>
      </c>
      <c r="F51" s="46" t="n">
        <v>43</v>
      </c>
      <c r="G51" s="47" t="n">
        <f aca="false">(F51-1)*$H$6</f>
        <v>0.7582397868467</v>
      </c>
      <c r="H51" s="48" t="n">
        <f aca="false">$H$7*G51</f>
        <v>5.83333333333333</v>
      </c>
      <c r="I51" s="49" t="n">
        <f aca="false">0.5*c_rho*'P3 Energie'!F8*'P3 Energie'!F7*(H51-c_Vv)^2+'P3 Energie'!F13+'P3 Energie'!F15+'P3 Energie'!F6*$H$7</f>
        <v>19250.9443649074</v>
      </c>
      <c r="J51" s="50" t="n">
        <f aca="false">I51*H51</f>
        <v>112297.17546196</v>
      </c>
    </row>
    <row r="52" customFormat="false" ht="15" hidden="false" customHeight="false" outlineLevel="0" collapsed="false">
      <c r="A52" s="46" t="n">
        <v>44</v>
      </c>
      <c r="B52" s="47" t="n">
        <f aca="false">(A52-1)*$C$6</f>
        <v>0.77684790443766</v>
      </c>
      <c r="C52" s="48" t="n">
        <f aca="false">$C$7*B52</f>
        <v>5.97222222222222</v>
      </c>
      <c r="D52" s="49" t="n">
        <f aca="false">0.5*c_rho*'P3 Energie'!E8*'P3 Energie'!E7*(C52-c_Vv)^2+'P3 Energie'!E13+'P3 Energie'!E15+'P3 Energie'!E6*$C$7</f>
        <v>18425.5131317799</v>
      </c>
      <c r="E52" s="50" t="n">
        <f aca="false">D52*C52</f>
        <v>110041.258981463</v>
      </c>
      <c r="F52" s="46" t="n">
        <v>44</v>
      </c>
      <c r="G52" s="47" t="n">
        <f aca="false">(F52-1)*$H$6</f>
        <v>0.776293115104955</v>
      </c>
      <c r="H52" s="48" t="n">
        <f aca="false">$H$7*G52</f>
        <v>5.97222222222222</v>
      </c>
      <c r="I52" s="49" t="n">
        <f aca="false">0.5*c_rho*'P3 Energie'!F8*'P3 Energie'!F7*(H52-c_Vv)^2+'P3 Energie'!F13+'P3 Energie'!F15+'P3 Energie'!F6*$H$7</f>
        <v>19251.5133946528</v>
      </c>
      <c r="J52" s="50" t="n">
        <f aca="false">I52*H52</f>
        <v>114974.316106954</v>
      </c>
    </row>
    <row r="53" customFormat="false" ht="15" hidden="false" customHeight="false" outlineLevel="0" collapsed="false">
      <c r="A53" s="46" t="n">
        <v>45</v>
      </c>
      <c r="B53" s="47" t="n">
        <f aca="false">(A53-1)*$C$6</f>
        <v>0.794914134773419</v>
      </c>
      <c r="C53" s="48" t="n">
        <f aca="false">$C$7*B53</f>
        <v>6.11111111111111</v>
      </c>
      <c r="D53" s="49" t="n">
        <f aca="false">0.5*c_rho*'P3 Energie'!E8*'P3 Energie'!E7*(C53-c_Vv)^2+'P3 Energie'!E13+'P3 Energie'!E15+'P3 Energie'!E6*$C$7</f>
        <v>18426.1834861333</v>
      </c>
      <c r="E53" s="50" t="n">
        <f aca="false">D53*C53</f>
        <v>112604.454637482</v>
      </c>
      <c r="F53" s="46" t="n">
        <v>45</v>
      </c>
      <c r="G53" s="47" t="n">
        <f aca="false">(F53-1)*$H$6</f>
        <v>0.794346443363209</v>
      </c>
      <c r="H53" s="48" t="n">
        <f aca="false">$H$7*G53</f>
        <v>6.11111111111111</v>
      </c>
      <c r="I53" s="49" t="n">
        <f aca="false">0.5*c_rho*'P3 Energie'!F8*'P3 Energie'!F7*(H53-c_Vv)^2+'P3 Energie'!F13+'P3 Energie'!F15+'P3 Energie'!F6*$H$7</f>
        <v>19252.0958133333</v>
      </c>
      <c r="J53" s="50" t="n">
        <f aca="false">I53*H53</f>
        <v>117651.696637037</v>
      </c>
    </row>
    <row r="54" customFormat="false" ht="15" hidden="false" customHeight="false" outlineLevel="0" collapsed="false">
      <c r="A54" s="46" t="n">
        <v>46</v>
      </c>
      <c r="B54" s="47" t="n">
        <f aca="false">(A54-1)*$C$6</f>
        <v>0.812980365109179</v>
      </c>
      <c r="C54" s="48" t="n">
        <f aca="false">$C$7*B54</f>
        <v>6.25</v>
      </c>
      <c r="D54" s="49" t="n">
        <f aca="false">0.5*c_rho*'P3 Energie'!E8*'P3 Energie'!E7*(C54-c_Vv)^2+'P3 Energie'!E13+'P3 Energie'!E15+'P3 Energie'!E6*$C$7</f>
        <v>18426.8692509317</v>
      </c>
      <c r="E54" s="50" t="n">
        <f aca="false">D54*C54</f>
        <v>115167.932818323</v>
      </c>
      <c r="F54" s="46" t="n">
        <v>46</v>
      </c>
      <c r="G54" s="47" t="n">
        <f aca="false">(F54-1)*$H$6</f>
        <v>0.812399771621464</v>
      </c>
      <c r="H54" s="48" t="n">
        <f aca="false">$H$7*G54</f>
        <v>6.25</v>
      </c>
      <c r="I54" s="49" t="n">
        <f aca="false">0.5*c_rho*'P3 Energie'!F8*'P3 Energie'!F7*(H54-c_Vv)^2+'P3 Energie'!F13+'P3 Energie'!F15+'P3 Energie'!F6*$H$7</f>
        <v>19252.6916209491</v>
      </c>
      <c r="J54" s="50" t="n">
        <f aca="false">I54*H54</f>
        <v>120329.322630932</v>
      </c>
    </row>
    <row r="55" customFormat="false" ht="15" hidden="false" customHeight="false" outlineLevel="0" collapsed="false">
      <c r="A55" s="46" t="n">
        <v>47</v>
      </c>
      <c r="B55" s="47" t="n">
        <f aca="false">(A55-1)*$C$6</f>
        <v>0.831046595444939</v>
      </c>
      <c r="C55" s="48" t="n">
        <f aca="false">$C$7*B55</f>
        <v>6.38888888888889</v>
      </c>
      <c r="D55" s="49" t="n">
        <f aca="false">0.5*c_rho*'P3 Energie'!E8*'P3 Energie'!E7*(C55-c_Vv)^2+'P3 Energie'!E13+'P3 Energie'!E15+'P3 Energie'!E6*$C$7</f>
        <v>18427.570426175</v>
      </c>
      <c r="E55" s="50" t="n">
        <f aca="false">D55*C55</f>
        <v>117731.699945007</v>
      </c>
      <c r="F55" s="46" t="n">
        <v>47</v>
      </c>
      <c r="G55" s="47" t="n">
        <f aca="false">(F55-1)*$H$6</f>
        <v>0.830453099879719</v>
      </c>
      <c r="H55" s="48" t="n">
        <f aca="false">$H$7*G55</f>
        <v>6.38888888888889</v>
      </c>
      <c r="I55" s="49" t="n">
        <f aca="false">0.5*c_rho*'P3 Energie'!F8*'P3 Energie'!F7*(H55-c_Vv)^2+'P3 Energie'!F13+'P3 Energie'!F15+'P3 Energie'!F6*$H$7</f>
        <v>19253.3008175</v>
      </c>
      <c r="J55" s="50" t="n">
        <f aca="false">I55*H55</f>
        <v>123007.199667361</v>
      </c>
    </row>
    <row r="56" customFormat="false" ht="15" hidden="false" customHeight="false" outlineLevel="0" collapsed="false">
      <c r="A56" s="46" t="n">
        <v>48</v>
      </c>
      <c r="B56" s="47" t="n">
        <f aca="false">(A56-1)*$C$6</f>
        <v>0.849112825780698</v>
      </c>
      <c r="C56" s="48" t="n">
        <f aca="false">$C$7*B56</f>
        <v>6.52777777777778</v>
      </c>
      <c r="D56" s="49" t="n">
        <f aca="false">0.5*c_rho*'P3 Energie'!E8*'P3 Energie'!E7*(C56-c_Vv)^2+'P3 Energie'!E13+'P3 Energie'!E15+'P3 Energie'!E6*$C$7</f>
        <v>18428.2870118632</v>
      </c>
      <c r="E56" s="50" t="n">
        <f aca="false">D56*C56</f>
        <v>120295.762438551</v>
      </c>
      <c r="F56" s="46" t="n">
        <v>48</v>
      </c>
      <c r="G56" s="47" t="n">
        <f aca="false">(F56-1)*$H$6</f>
        <v>0.848506428137974</v>
      </c>
      <c r="H56" s="48" t="n">
        <f aca="false">$H$7*G56</f>
        <v>6.52777777777778</v>
      </c>
      <c r="I56" s="49" t="n">
        <f aca="false">0.5*c_rho*'P3 Energie'!F8*'P3 Energie'!F7*(H56-c_Vv)^2+'P3 Energie'!F13+'P3 Energie'!F15+'P3 Energie'!F6*$H$7</f>
        <v>19253.9234029861</v>
      </c>
      <c r="J56" s="50" t="n">
        <f aca="false">I56*H56</f>
        <v>125685.333325048</v>
      </c>
    </row>
    <row r="57" customFormat="false" ht="15" hidden="false" customHeight="false" outlineLevel="0" collapsed="false">
      <c r="A57" s="46" t="n">
        <v>49</v>
      </c>
      <c r="B57" s="47" t="n">
        <f aca="false">(A57-1)*$C$6</f>
        <v>0.867179056116458</v>
      </c>
      <c r="C57" s="48" t="n">
        <f aca="false">$C$7*B57</f>
        <v>6.66666666666667</v>
      </c>
      <c r="D57" s="49" t="n">
        <f aca="false">0.5*c_rho*'P3 Energie'!E8*'P3 Energie'!E7*(C57-c_Vv)^2+'P3 Energie'!E13+'P3 Energie'!E15+'P3 Energie'!E6*$C$7</f>
        <v>18429.0190079963</v>
      </c>
      <c r="E57" s="50" t="n">
        <f aca="false">D57*C57</f>
        <v>122860.126719975</v>
      </c>
      <c r="F57" s="46" t="n">
        <v>49</v>
      </c>
      <c r="G57" s="47" t="n">
        <f aca="false">(F57-1)*$H$6</f>
        <v>0.866559756396228</v>
      </c>
      <c r="H57" s="48" t="n">
        <f aca="false">$H$7*G57</f>
        <v>6.66666666666667</v>
      </c>
      <c r="I57" s="49" t="n">
        <f aca="false">0.5*c_rho*'P3 Energie'!F8*'P3 Energie'!F7*(H57-c_Vv)^2+'P3 Energie'!F13+'P3 Energie'!F15+'P3 Energie'!F6*$H$7</f>
        <v>19254.5593774074</v>
      </c>
      <c r="J57" s="50" t="n">
        <f aca="false">I57*H57</f>
        <v>128363.729182716</v>
      </c>
    </row>
    <row r="58" customFormat="false" ht="15" hidden="false" customHeight="false" outlineLevel="0" collapsed="false">
      <c r="A58" s="46" t="n">
        <v>50</v>
      </c>
      <c r="B58" s="47" t="n">
        <f aca="false">(A58-1)*$C$6</f>
        <v>0.885245286452217</v>
      </c>
      <c r="C58" s="48" t="n">
        <f aca="false">$C$7*B58</f>
        <v>6.80555555555556</v>
      </c>
      <c r="D58" s="49" t="n">
        <f aca="false">0.5*c_rho*'P3 Energie'!E8*'P3 Energie'!E7*(C58-c_Vv)^2+'P3 Energie'!E13+'P3 Energie'!E15+'P3 Energie'!E6*$C$7</f>
        <v>18429.7664145743</v>
      </c>
      <c r="E58" s="50" t="n">
        <f aca="false">D58*C58</f>
        <v>125424.799210297</v>
      </c>
      <c r="F58" s="46" t="n">
        <v>50</v>
      </c>
      <c r="G58" s="47" t="n">
        <f aca="false">(F58-1)*$H$6</f>
        <v>0.884613084654483</v>
      </c>
      <c r="H58" s="48" t="n">
        <f aca="false">$H$7*G58</f>
        <v>6.80555555555556</v>
      </c>
      <c r="I58" s="49" t="n">
        <f aca="false">0.5*c_rho*'P3 Energie'!F8*'P3 Energie'!F7*(H58-c_Vv)^2+'P3 Energie'!F13+'P3 Energie'!F15+'P3 Energie'!F6*$H$7</f>
        <v>19255.2087407639</v>
      </c>
      <c r="J58" s="50" t="n">
        <f aca="false">I58*H58</f>
        <v>131042.392819088</v>
      </c>
    </row>
    <row r="59" customFormat="false" ht="15" hidden="false" customHeight="false" outlineLevel="0" collapsed="false">
      <c r="A59" s="46" t="n">
        <v>51</v>
      </c>
      <c r="B59" s="47" t="n">
        <f aca="false">(A59-1)*$C$6</f>
        <v>0.903311516787977</v>
      </c>
      <c r="C59" s="48" t="n">
        <f aca="false">$C$7*B59</f>
        <v>6.94444444444445</v>
      </c>
      <c r="D59" s="49" t="n">
        <f aca="false">0.5*c_rho*'P3 Energie'!E8*'P3 Energie'!E7*(C59-c_Vv)^2+'P3 Energie'!E13+'P3 Energie'!E15+'P3 Energie'!E6*$C$7</f>
        <v>18430.5292315972</v>
      </c>
      <c r="E59" s="50" t="n">
        <f aca="false">D59*C59</f>
        <v>127989.786330536</v>
      </c>
      <c r="F59" s="46" t="n">
        <v>51</v>
      </c>
      <c r="G59" s="47" t="n">
        <f aca="false">(F59-1)*$H$6</f>
        <v>0.902666412912738</v>
      </c>
      <c r="H59" s="48" t="n">
        <f aca="false">$H$7*G59</f>
        <v>6.94444444444445</v>
      </c>
      <c r="I59" s="49" t="n">
        <f aca="false">0.5*c_rho*'P3 Energie'!F8*'P3 Energie'!F7*(H59-c_Vv)^2+'P3 Energie'!F13+'P3 Energie'!F15+'P3 Energie'!F6*$H$7</f>
        <v>19255.8714930556</v>
      </c>
      <c r="J59" s="50" t="n">
        <f aca="false">I59*H59</f>
        <v>133721.329812886</v>
      </c>
    </row>
    <row r="60" customFormat="false" ht="15" hidden="false" customHeight="false" outlineLevel="0" collapsed="false">
      <c r="A60" s="46" t="n">
        <v>52</v>
      </c>
      <c r="B60" s="47" t="n">
        <f aca="false">(A60-1)*$C$6</f>
        <v>0.921377747123736</v>
      </c>
      <c r="C60" s="48" t="n">
        <f aca="false">$C$7*B60</f>
        <v>7.08333333333333</v>
      </c>
      <c r="D60" s="49" t="n">
        <f aca="false">0.5*c_rho*'P3 Energie'!E8*'P3 Energie'!E7*(C60-c_Vv)^2+'P3 Energie'!E13+'P3 Energie'!E15+'P3 Energie'!E6*$C$7</f>
        <v>18431.3074590651</v>
      </c>
      <c r="E60" s="50" t="n">
        <f aca="false">D60*C60</f>
        <v>130555.094501711</v>
      </c>
      <c r="F60" s="46" t="n">
        <v>52</v>
      </c>
      <c r="G60" s="47" t="n">
        <f aca="false">(F60-1)*$H$6</f>
        <v>0.920719741170993</v>
      </c>
      <c r="H60" s="48" t="n">
        <f aca="false">$H$7*G60</f>
        <v>7.08333333333333</v>
      </c>
      <c r="I60" s="49" t="n">
        <f aca="false">0.5*c_rho*'P3 Energie'!F8*'P3 Energie'!F7*(H60-c_Vv)^2+'P3 Energie'!F13+'P3 Energie'!F15+'P3 Energie'!F6*$H$7</f>
        <v>19256.5476342824</v>
      </c>
      <c r="J60" s="50" t="n">
        <f aca="false">I60*H60</f>
        <v>136400.545742834</v>
      </c>
    </row>
    <row r="61" customFormat="false" ht="15" hidden="false" customHeight="false" outlineLevel="0" collapsed="false">
      <c r="A61" s="46" t="n">
        <v>53</v>
      </c>
      <c r="B61" s="47" t="n">
        <f aca="false">(A61-1)*$C$6</f>
        <v>0.939443977459496</v>
      </c>
      <c r="C61" s="48" t="n">
        <f aca="false">$C$7*B61</f>
        <v>7.22222222222222</v>
      </c>
      <c r="D61" s="49" t="n">
        <f aca="false">0.5*c_rho*'P3 Energie'!E8*'P3 Energie'!E7*(C61-c_Vv)^2+'P3 Energie'!E13+'P3 Energie'!E15+'P3 Energie'!E6*$C$7</f>
        <v>18432.1010969778</v>
      </c>
      <c r="E61" s="50" t="n">
        <f aca="false">D61*C61</f>
        <v>133120.73014484</v>
      </c>
      <c r="F61" s="46" t="n">
        <v>53</v>
      </c>
      <c r="G61" s="47" t="n">
        <f aca="false">(F61-1)*$H$6</f>
        <v>0.938773069429247</v>
      </c>
      <c r="H61" s="48" t="n">
        <f aca="false">$H$7*G61</f>
        <v>7.22222222222222</v>
      </c>
      <c r="I61" s="49" t="n">
        <f aca="false">0.5*c_rho*'P3 Energie'!F8*'P3 Energie'!F7*(H61-c_Vv)^2+'P3 Energie'!F13+'P3 Energie'!F15+'P3 Energie'!F6*$H$7</f>
        <v>19257.2371644444</v>
      </c>
      <c r="J61" s="50" t="n">
        <f aca="false">I61*H61</f>
        <v>139080.046187654</v>
      </c>
    </row>
    <row r="62" customFormat="false" ht="15" hidden="false" customHeight="false" outlineLevel="0" collapsed="false">
      <c r="A62" s="46" t="n">
        <v>54</v>
      </c>
      <c r="B62" s="47" t="n">
        <f aca="false">(A62-1)*$C$6</f>
        <v>0.957510207795255</v>
      </c>
      <c r="C62" s="48" t="n">
        <f aca="false">$C$7*B62</f>
        <v>7.36111111111111</v>
      </c>
      <c r="D62" s="49" t="n">
        <f aca="false">0.5*c_rho*'P3 Energie'!E8*'P3 Energie'!E7*(C62-c_Vv)^2+'P3 Energie'!E13+'P3 Energie'!E15+'P3 Energie'!E6*$C$7</f>
        <v>18432.9101453354</v>
      </c>
      <c r="E62" s="50" t="n">
        <f aca="false">D62*C62</f>
        <v>135686.699680941</v>
      </c>
      <c r="F62" s="46" t="n">
        <v>54</v>
      </c>
      <c r="G62" s="47" t="n">
        <f aca="false">(F62-1)*$H$6</f>
        <v>0.956826397687502</v>
      </c>
      <c r="H62" s="48" t="n">
        <f aca="false">$H$7*G62</f>
        <v>7.36111111111111</v>
      </c>
      <c r="I62" s="49" t="n">
        <f aca="false">0.5*c_rho*'P3 Energie'!F8*'P3 Energie'!F7*(H62-c_Vv)^2+'P3 Energie'!F13+'P3 Energie'!F15+'P3 Energie'!F6*$H$7</f>
        <v>19257.9400835417</v>
      </c>
      <c r="J62" s="50" t="n">
        <f aca="false">I62*H62</f>
        <v>141759.836726071</v>
      </c>
    </row>
    <row r="63" customFormat="false" ht="15" hidden="false" customHeight="false" outlineLevel="0" collapsed="false">
      <c r="A63" s="46" t="n">
        <v>55</v>
      </c>
      <c r="B63" s="47" t="n">
        <f aca="false">(A63-1)*$C$6</f>
        <v>0.975576438131015</v>
      </c>
      <c r="C63" s="48" t="n">
        <f aca="false">$C$7*B63</f>
        <v>7.5</v>
      </c>
      <c r="D63" s="49" t="n">
        <f aca="false">0.5*c_rho*'P3 Energie'!E8*'P3 Energie'!E7*(C63-c_Vv)^2+'P3 Energie'!E13+'P3 Energie'!E15+'P3 Energie'!E6*$C$7</f>
        <v>18433.734604138</v>
      </c>
      <c r="E63" s="50" t="n">
        <f aca="false">D63*C63</f>
        <v>138253.009531035</v>
      </c>
      <c r="F63" s="46" t="n">
        <v>55</v>
      </c>
      <c r="G63" s="47" t="n">
        <f aca="false">(F63-1)*$H$6</f>
        <v>0.974879725945757</v>
      </c>
      <c r="H63" s="48" t="n">
        <f aca="false">$H$7*G63</f>
        <v>7.5</v>
      </c>
      <c r="I63" s="49" t="n">
        <f aca="false">0.5*c_rho*'P3 Energie'!F8*'P3 Energie'!F7*(H63-c_Vv)^2+'P3 Energie'!F13+'P3 Energie'!F15+'P3 Energie'!F6*$H$7</f>
        <v>19258.6563915741</v>
      </c>
      <c r="J63" s="50" t="n">
        <f aca="false">I63*H63</f>
        <v>144439.922936806</v>
      </c>
    </row>
    <row r="64" customFormat="false" ht="15" hidden="false" customHeight="false" outlineLevel="0" collapsed="false">
      <c r="A64" s="46" t="n">
        <v>56</v>
      </c>
      <c r="B64" s="47" t="n">
        <f aca="false">(A64-1)*$C$6</f>
        <v>0.993642668466774</v>
      </c>
      <c r="C64" s="48" t="n">
        <f aca="false">$C$7*B64</f>
        <v>7.63888888888889</v>
      </c>
      <c r="D64" s="49" t="n">
        <f aca="false">0.5*c_rho*'P3 Energie'!E8*'P3 Energie'!E7*(C64-c_Vv)^2+'P3 Energie'!E13+'P3 Energie'!E15+'P3 Energie'!E6*$C$7</f>
        <v>18434.5744733854</v>
      </c>
      <c r="E64" s="50" t="n">
        <f aca="false">D64*C64</f>
        <v>140819.666116139</v>
      </c>
      <c r="F64" s="46" t="n">
        <v>56</v>
      </c>
      <c r="G64" s="47" t="n">
        <f aca="false">(F64-1)*$H$6</f>
        <v>0.992933054204012</v>
      </c>
      <c r="H64" s="48" t="n">
        <f aca="false">$H$7*G64</f>
        <v>7.63888888888889</v>
      </c>
      <c r="I64" s="49" t="n">
        <f aca="false">0.5*c_rho*'P3 Energie'!F8*'P3 Energie'!F7*(H64-c_Vv)^2+'P3 Energie'!F13+'P3 Energie'!F15+'P3 Energie'!F6*$H$7</f>
        <v>19259.3860885417</v>
      </c>
      <c r="J64" s="50" t="n">
        <f aca="false">I64*H64</f>
        <v>147120.310398582</v>
      </c>
    </row>
    <row r="65" customFormat="false" ht="15" hidden="false" customHeight="false" outlineLevel="0" collapsed="false">
      <c r="A65" s="46" t="n">
        <v>57</v>
      </c>
      <c r="B65" s="47" t="n">
        <f aca="false">(A65-1)*$C$6</f>
        <v>1.01170889880253</v>
      </c>
      <c r="C65" s="48" t="n">
        <f aca="false">$C$7*B65</f>
        <v>7.77777777777778</v>
      </c>
      <c r="D65" s="49" t="n">
        <f aca="false">0.5*c_rho*'P3 Energie'!E8*'P3 Energie'!E7*(C65-c_Vv)^2+'P3 Energie'!E13+'P3 Energie'!E15+'P3 Energie'!E6*$C$7</f>
        <v>18435.4297530778</v>
      </c>
      <c r="E65" s="50" t="n">
        <f aca="false">D65*C65</f>
        <v>143386.675857272</v>
      </c>
      <c r="F65" s="46" t="n">
        <v>57</v>
      </c>
      <c r="G65" s="47" t="n">
        <f aca="false">(F65-1)*$H$6</f>
        <v>1.01098638246227</v>
      </c>
      <c r="H65" s="48" t="n">
        <f aca="false">$H$7*G65</f>
        <v>7.77777777777778</v>
      </c>
      <c r="I65" s="49" t="n">
        <f aca="false">0.5*c_rho*'P3 Energie'!F8*'P3 Energie'!F7*(H65-c_Vv)^2+'P3 Energie'!F13+'P3 Energie'!F15+'P3 Energie'!F6*$H$7</f>
        <v>19260.1291744444</v>
      </c>
      <c r="J65" s="50" t="n">
        <f aca="false">I65*H65</f>
        <v>149801.004690123</v>
      </c>
    </row>
    <row r="66" customFormat="false" ht="15" hidden="false" customHeight="false" outlineLevel="0" collapsed="false">
      <c r="A66" s="46" t="n">
        <v>58</v>
      </c>
      <c r="B66" s="47" t="n">
        <f aca="false">(A66-1)*$C$6</f>
        <v>1.02977512913829</v>
      </c>
      <c r="C66" s="48" t="n">
        <f aca="false">$C$7*B66</f>
        <v>7.91666666666667</v>
      </c>
      <c r="D66" s="49" t="n">
        <f aca="false">0.5*c_rho*'P3 Energie'!E8*'P3 Energie'!E7*(C66-c_Vv)^2+'P3 Energie'!E13+'P3 Energie'!E15+'P3 Energie'!E6*$C$7</f>
        <v>18436.3004432151</v>
      </c>
      <c r="E66" s="50" t="n">
        <f aca="false">D66*C66</f>
        <v>145954.045175453</v>
      </c>
      <c r="F66" s="46" t="n">
        <v>58</v>
      </c>
      <c r="G66" s="47" t="n">
        <f aca="false">(F66-1)*$H$6</f>
        <v>1.02903971072052</v>
      </c>
      <c r="H66" s="48" t="n">
        <f aca="false">$H$7*G66</f>
        <v>7.91666666666667</v>
      </c>
      <c r="I66" s="49" t="n">
        <f aca="false">0.5*c_rho*'P3 Energie'!F8*'P3 Energie'!F7*(H66-c_Vv)^2+'P3 Energie'!F13+'P3 Energie'!F15+'P3 Energie'!F6*$H$7</f>
        <v>19260.8856492824</v>
      </c>
      <c r="J66" s="50" t="n">
        <f aca="false">I66*H66</f>
        <v>152482.011390152</v>
      </c>
    </row>
    <row r="67" customFormat="false" ht="15" hidden="false" customHeight="false" outlineLevel="0" collapsed="false">
      <c r="A67" s="46" t="n">
        <v>59</v>
      </c>
      <c r="B67" s="47" t="n">
        <f aca="false">(A67-1)*$C$6</f>
        <v>1.04784135947405</v>
      </c>
      <c r="C67" s="48" t="n">
        <f aca="false">$C$7*B67</f>
        <v>8.05555555555556</v>
      </c>
      <c r="D67" s="49" t="n">
        <f aca="false">0.5*c_rho*'P3 Energie'!E8*'P3 Energie'!E7*(C67-c_Vv)^2+'P3 Energie'!E13+'P3 Energie'!E15+'P3 Energie'!E6*$C$7</f>
        <v>18437.1865437972</v>
      </c>
      <c r="E67" s="50" t="n">
        <f aca="false">D67*C67</f>
        <v>148521.7804917</v>
      </c>
      <c r="F67" s="46" t="n">
        <v>59</v>
      </c>
      <c r="G67" s="47" t="n">
        <f aca="false">(F67-1)*$H$6</f>
        <v>1.04709303897878</v>
      </c>
      <c r="H67" s="48" t="n">
        <f aca="false">$H$7*G67</f>
        <v>8.05555555555556</v>
      </c>
      <c r="I67" s="49" t="n">
        <f aca="false">0.5*c_rho*'P3 Energie'!F8*'P3 Energie'!F7*(H67-c_Vv)^2+'P3 Energie'!F13+'P3 Energie'!F15+'P3 Energie'!F6*$H$7</f>
        <v>19261.6555130556</v>
      </c>
      <c r="J67" s="50" t="n">
        <f aca="false">I67*H67</f>
        <v>155163.336077392</v>
      </c>
    </row>
    <row r="68" customFormat="false" ht="15" hidden="false" customHeight="false" outlineLevel="0" collapsed="false">
      <c r="A68" s="46" t="n">
        <v>60</v>
      </c>
      <c r="B68" s="47" t="n">
        <f aca="false">(A68-1)*$C$6</f>
        <v>1.06590758980981</v>
      </c>
      <c r="C68" s="48" t="n">
        <f aca="false">$C$7*B68</f>
        <v>8.19444444444445</v>
      </c>
      <c r="D68" s="49" t="n">
        <f aca="false">0.5*c_rho*'P3 Energie'!E8*'P3 Energie'!E7*(C68-c_Vv)^2+'P3 Energie'!E13+'P3 Energie'!E15+'P3 Energie'!E6*$C$7</f>
        <v>18438.0880548243</v>
      </c>
      <c r="E68" s="50" t="n">
        <f aca="false">D68*C68</f>
        <v>151089.888227033</v>
      </c>
      <c r="F68" s="46" t="n">
        <v>60</v>
      </c>
      <c r="G68" s="47" t="n">
        <f aca="false">(F68-1)*$H$6</f>
        <v>1.06514636723703</v>
      </c>
      <c r="H68" s="48" t="n">
        <f aca="false">$H$7*G68</f>
        <v>8.19444444444445</v>
      </c>
      <c r="I68" s="49" t="n">
        <f aca="false">0.5*c_rho*'P3 Energie'!F8*'P3 Energie'!F7*(H68-c_Vv)^2+'P3 Energie'!F13+'P3 Energie'!F15+'P3 Energie'!F6*$H$7</f>
        <v>19262.4387657639</v>
      </c>
      <c r="J68" s="50" t="n">
        <f aca="false">I68*H68</f>
        <v>157844.984330565</v>
      </c>
    </row>
    <row r="69" customFormat="false" ht="15" hidden="false" customHeight="false" outlineLevel="0" collapsed="false">
      <c r="A69" s="46" t="n">
        <v>61</v>
      </c>
      <c r="B69" s="47" t="n">
        <f aca="false">(A69-1)*$C$6</f>
        <v>1.08397382014557</v>
      </c>
      <c r="C69" s="48" t="n">
        <f aca="false">$C$7*B69</f>
        <v>8.33333333333333</v>
      </c>
      <c r="D69" s="49" t="n">
        <f aca="false">0.5*c_rho*'P3 Energie'!E8*'P3 Energie'!E7*(C69-c_Vv)^2+'P3 Energie'!E13+'P3 Energie'!E15+'P3 Energie'!E6*$C$7</f>
        <v>18439.0049762963</v>
      </c>
      <c r="E69" s="50" t="n">
        <f aca="false">D69*C69</f>
        <v>153658.374802469</v>
      </c>
      <c r="F69" s="46" t="n">
        <v>61</v>
      </c>
      <c r="G69" s="47" t="n">
        <f aca="false">(F69-1)*$H$6</f>
        <v>1.08319969549529</v>
      </c>
      <c r="H69" s="48" t="n">
        <f aca="false">$H$7*G69</f>
        <v>8.33333333333333</v>
      </c>
      <c r="I69" s="49" t="n">
        <f aca="false">0.5*c_rho*'P3 Energie'!F8*'P3 Energie'!F7*(H69-c_Vv)^2+'P3 Energie'!F13+'P3 Energie'!F15+'P3 Energie'!F6*$H$7</f>
        <v>19263.2354074074</v>
      </c>
      <c r="J69" s="50" t="n">
        <f aca="false">I69*H69</f>
        <v>160526.961728395</v>
      </c>
    </row>
    <row r="70" customFormat="false" ht="15" hidden="false" customHeight="false" outlineLevel="0" collapsed="false">
      <c r="A70" s="46" t="n">
        <v>62</v>
      </c>
      <c r="B70" s="47" t="n">
        <f aca="false">(A70-1)*$C$6</f>
        <v>1.10204005048133</v>
      </c>
      <c r="C70" s="48" t="n">
        <f aca="false">$C$7*B70</f>
        <v>8.47222222222222</v>
      </c>
      <c r="D70" s="49" t="n">
        <f aca="false">0.5*c_rho*'P3 Energie'!E8*'P3 Energie'!E7*(C70-c_Vv)^2+'P3 Energie'!E13+'P3 Energie'!E15+'P3 Energie'!E6*$C$7</f>
        <v>18439.9373082132</v>
      </c>
      <c r="E70" s="50" t="n">
        <f aca="false">D70*C70</f>
        <v>156227.246639028</v>
      </c>
      <c r="F70" s="46" t="n">
        <v>62</v>
      </c>
      <c r="G70" s="47" t="n">
        <f aca="false">(F70-1)*$H$6</f>
        <v>1.10125302375354</v>
      </c>
      <c r="H70" s="48" t="n">
        <f aca="false">$H$7*G70</f>
        <v>8.47222222222222</v>
      </c>
      <c r="I70" s="49" t="n">
        <f aca="false">0.5*c_rho*'P3 Energie'!F8*'P3 Energie'!F7*(H70-c_Vv)^2+'P3 Energie'!F13+'P3 Energie'!F15+'P3 Energie'!F6*$H$7</f>
        <v>19264.0454379861</v>
      </c>
      <c r="J70" s="50" t="n">
        <f aca="false">I70*H70</f>
        <v>163209.273849605</v>
      </c>
    </row>
    <row r="71" customFormat="false" ht="15" hidden="false" customHeight="false" outlineLevel="0" collapsed="false">
      <c r="A71" s="46" t="n">
        <v>63</v>
      </c>
      <c r="B71" s="47" t="n">
        <f aca="false">(A71-1)*$C$6</f>
        <v>1.12010628081709</v>
      </c>
      <c r="C71" s="48" t="n">
        <f aca="false">$C$7*B71</f>
        <v>8.61111111111111</v>
      </c>
      <c r="D71" s="49" t="n">
        <f aca="false">0.5*c_rho*'P3 Energie'!E8*'P3 Energie'!E7*(C71-c_Vv)^2+'P3 Energie'!E13+'P3 Energie'!E15+'P3 Energie'!E6*$C$7</f>
        <v>18440.885050575</v>
      </c>
      <c r="E71" s="50" t="n">
        <f aca="false">D71*C71</f>
        <v>158796.510157729</v>
      </c>
      <c r="F71" s="46" t="n">
        <v>63</v>
      </c>
      <c r="G71" s="47" t="n">
        <f aca="false">(F71-1)*$H$6</f>
        <v>1.11930635201179</v>
      </c>
      <c r="H71" s="48" t="n">
        <f aca="false">$H$7*G71</f>
        <v>8.61111111111111</v>
      </c>
      <c r="I71" s="49" t="n">
        <f aca="false">0.5*c_rho*'P3 Energie'!F8*'P3 Energie'!F7*(H71-c_Vv)^2+'P3 Energie'!F13+'P3 Energie'!F15+'P3 Energie'!F6*$H$7</f>
        <v>19264.8688575</v>
      </c>
      <c r="J71" s="50" t="n">
        <f aca="false">I71*H71</f>
        <v>165891.926272917</v>
      </c>
    </row>
    <row r="72" customFormat="false" ht="15" hidden="false" customHeight="false" outlineLevel="0" collapsed="false">
      <c r="A72" s="46" t="n">
        <v>64</v>
      </c>
      <c r="B72" s="47" t="n">
        <f aca="false">(A72-1)*$C$6</f>
        <v>1.13817251115285</v>
      </c>
      <c r="C72" s="48" t="n">
        <f aca="false">$C$7*B72</f>
        <v>8.75</v>
      </c>
      <c r="D72" s="49" t="n">
        <f aca="false">0.5*c_rho*'P3 Energie'!E8*'P3 Energie'!E7*(C72-c_Vv)^2+'P3 Energie'!E13+'P3 Energie'!E15+'P3 Energie'!E6*$C$7</f>
        <v>18441.8482033817</v>
      </c>
      <c r="E72" s="50" t="n">
        <f aca="false">D72*C72</f>
        <v>161366.17177959</v>
      </c>
      <c r="F72" s="46" t="n">
        <v>64</v>
      </c>
      <c r="G72" s="47" t="n">
        <f aca="false">(F72-1)*$H$6</f>
        <v>1.13735968027005</v>
      </c>
      <c r="H72" s="48" t="n">
        <f aca="false">$H$7*G72</f>
        <v>8.75</v>
      </c>
      <c r="I72" s="49" t="n">
        <f aca="false">0.5*c_rho*'P3 Energie'!F8*'P3 Energie'!F7*(H72-c_Vv)^2+'P3 Energie'!F13+'P3 Energie'!F15+'P3 Energie'!F6*$H$7</f>
        <v>19265.7056659491</v>
      </c>
      <c r="J72" s="50" t="n">
        <f aca="false">I72*H72</f>
        <v>168574.924577054</v>
      </c>
    </row>
    <row r="73" customFormat="false" ht="15" hidden="false" customHeight="false" outlineLevel="0" collapsed="false">
      <c r="A73" s="46" t="n">
        <v>65</v>
      </c>
      <c r="B73" s="47" t="n">
        <f aca="false">(A73-1)*$C$6</f>
        <v>1.15623874148861</v>
      </c>
      <c r="C73" s="48" t="n">
        <f aca="false">$C$7*B73</f>
        <v>8.88888888888889</v>
      </c>
      <c r="D73" s="49" t="n">
        <f aca="false">0.5*c_rho*'P3 Energie'!E8*'P3 Energie'!E7*(C73-c_Vv)^2+'P3 Energie'!E13+'P3 Energie'!E15+'P3 Energie'!E6*$C$7</f>
        <v>18442.8267666333</v>
      </c>
      <c r="E73" s="50" t="n">
        <f aca="false">D73*C73</f>
        <v>163936.23792563</v>
      </c>
      <c r="F73" s="46" t="n">
        <v>65</v>
      </c>
      <c r="G73" s="47" t="n">
        <f aca="false">(F73-1)*$H$6</f>
        <v>1.1554130085283</v>
      </c>
      <c r="H73" s="48" t="n">
        <f aca="false">$H$7*G73</f>
        <v>8.88888888888889</v>
      </c>
      <c r="I73" s="49" t="n">
        <f aca="false">0.5*c_rho*'P3 Energie'!F8*'P3 Energie'!F7*(H73-c_Vv)^2+'P3 Energie'!F13+'P3 Energie'!F15+'P3 Energie'!F6*$H$7</f>
        <v>19266.5558633333</v>
      </c>
      <c r="J73" s="50" t="n">
        <f aca="false">I73*H73</f>
        <v>171258.274340741</v>
      </c>
    </row>
    <row r="74" customFormat="false" ht="15" hidden="false" customHeight="false" outlineLevel="0" collapsed="false">
      <c r="A74" s="46" t="n">
        <v>66</v>
      </c>
      <c r="B74" s="47" t="n">
        <f aca="false">(A74-1)*$C$6</f>
        <v>1.17430497182437</v>
      </c>
      <c r="C74" s="48" t="n">
        <f aca="false">$C$7*B74</f>
        <v>9.02777777777778</v>
      </c>
      <c r="D74" s="49" t="n">
        <f aca="false">0.5*c_rho*'P3 Energie'!E8*'P3 Energie'!E7*(C74-c_Vv)^2+'P3 Energie'!E13+'P3 Energie'!E15+'P3 Energie'!E6*$C$7</f>
        <v>18443.8207403299</v>
      </c>
      <c r="E74" s="50" t="n">
        <f aca="false">D74*C74</f>
        <v>166506.715016867</v>
      </c>
      <c r="F74" s="46" t="n">
        <v>66</v>
      </c>
      <c r="G74" s="47" t="n">
        <f aca="false">(F74-1)*$H$6</f>
        <v>1.17346633678656</v>
      </c>
      <c r="H74" s="48" t="n">
        <f aca="false">$H$7*G74</f>
        <v>9.02777777777778</v>
      </c>
      <c r="I74" s="49" t="n">
        <f aca="false">0.5*c_rho*'P3 Energie'!F8*'P3 Energie'!F7*(H74-c_Vv)^2+'P3 Energie'!F13+'P3 Energie'!F15+'P3 Energie'!F6*$H$7</f>
        <v>19267.4194496528</v>
      </c>
      <c r="J74" s="50" t="n">
        <f aca="false">I74*H74</f>
        <v>173941.981142699</v>
      </c>
    </row>
    <row r="75" customFormat="false" ht="15" hidden="false" customHeight="false" outlineLevel="0" collapsed="false">
      <c r="A75" s="46" t="n">
        <v>67</v>
      </c>
      <c r="B75" s="47" t="n">
        <f aca="false">(A75-1)*$C$6</f>
        <v>1.19237120216013</v>
      </c>
      <c r="C75" s="48" t="n">
        <f aca="false">$C$7*B75</f>
        <v>9.16666666666667</v>
      </c>
      <c r="D75" s="49" t="n">
        <f aca="false">0.5*c_rho*'P3 Energie'!E8*'P3 Energie'!E7*(C75-c_Vv)^2+'P3 Energie'!E13+'P3 Energie'!E15+'P3 Energie'!E6*$C$7</f>
        <v>18444.8301244713</v>
      </c>
      <c r="E75" s="50" t="n">
        <f aca="false">D75*C75</f>
        <v>169077.60947432</v>
      </c>
      <c r="F75" s="46" t="n">
        <v>67</v>
      </c>
      <c r="G75" s="47" t="n">
        <f aca="false">(F75-1)*$H$6</f>
        <v>1.19151966504481</v>
      </c>
      <c r="H75" s="48" t="n">
        <f aca="false">$H$7*G75</f>
        <v>9.16666666666667</v>
      </c>
      <c r="I75" s="49" t="n">
        <f aca="false">0.5*c_rho*'P3 Energie'!F8*'P3 Energie'!F7*(H75-c_Vv)^2+'P3 Energie'!F13+'P3 Energie'!F15+'P3 Energie'!F6*$H$7</f>
        <v>19268.2964249074</v>
      </c>
      <c r="J75" s="50" t="n">
        <f aca="false">I75*H75</f>
        <v>176626.050561651</v>
      </c>
    </row>
    <row r="76" customFormat="false" ht="15" hidden="false" customHeight="false" outlineLevel="0" collapsed="false">
      <c r="A76" s="46" t="n">
        <v>68</v>
      </c>
      <c r="B76" s="47" t="n">
        <f aca="false">(A76-1)*$C$6</f>
        <v>1.21043743249589</v>
      </c>
      <c r="C76" s="48" t="n">
        <f aca="false">$C$7*B76</f>
        <v>9.30555555555556</v>
      </c>
      <c r="D76" s="49" t="n">
        <f aca="false">0.5*c_rho*'P3 Energie'!E8*'P3 Energie'!E7*(C76-c_Vv)^2+'P3 Energie'!E13+'P3 Energie'!E15+'P3 Energie'!E6*$C$7</f>
        <v>18445.8549190576</v>
      </c>
      <c r="E76" s="50" t="n">
        <f aca="false">D76*C76</f>
        <v>171648.927719009</v>
      </c>
      <c r="F76" s="46" t="n">
        <v>68</v>
      </c>
      <c r="G76" s="47" t="n">
        <f aca="false">(F76-1)*$H$6</f>
        <v>1.20957299330307</v>
      </c>
      <c r="H76" s="48" t="n">
        <f aca="false">$H$7*G76</f>
        <v>9.30555555555556</v>
      </c>
      <c r="I76" s="49" t="n">
        <f aca="false">0.5*c_rho*'P3 Energie'!F8*'P3 Energie'!F7*(H76-c_Vv)^2+'P3 Energie'!F13+'P3 Energie'!F15+'P3 Energie'!F6*$H$7</f>
        <v>19269.1867890972</v>
      </c>
      <c r="J76" s="50" t="n">
        <f aca="false">I76*H76</f>
        <v>179310.488176321</v>
      </c>
    </row>
    <row r="77" customFormat="false" ht="15" hidden="false" customHeight="false" outlineLevel="0" collapsed="false">
      <c r="A77" s="46" t="n">
        <v>69</v>
      </c>
      <c r="B77" s="47" t="n">
        <f aca="false">(A77-1)*$C$6</f>
        <v>1.22850366283165</v>
      </c>
      <c r="C77" s="48" t="n">
        <f aca="false">$C$7*B77</f>
        <v>9.44444444444445</v>
      </c>
      <c r="D77" s="49" t="n">
        <f aca="false">0.5*c_rho*'P3 Energie'!E8*'P3 Energie'!E7*(C77-c_Vv)^2+'P3 Energie'!E13+'P3 Energie'!E15+'P3 Energie'!E6*$C$7</f>
        <v>18446.8951240889</v>
      </c>
      <c r="E77" s="50" t="n">
        <f aca="false">D77*C77</f>
        <v>174220.676171951</v>
      </c>
      <c r="F77" s="46" t="n">
        <v>69</v>
      </c>
      <c r="G77" s="47" t="n">
        <f aca="false">(F77-1)*$H$6</f>
        <v>1.22762632156132</v>
      </c>
      <c r="H77" s="48" t="n">
        <f aca="false">$H$7*G77</f>
        <v>9.44444444444445</v>
      </c>
      <c r="I77" s="49" t="n">
        <f aca="false">0.5*c_rho*'P3 Energie'!F8*'P3 Energie'!F7*(H77-c_Vv)^2+'P3 Energie'!F13+'P3 Energie'!F15+'P3 Energie'!F6*$H$7</f>
        <v>19270.0905422222</v>
      </c>
      <c r="J77" s="50" t="n">
        <f aca="false">I77*H77</f>
        <v>181995.299565432</v>
      </c>
    </row>
    <row r="78" customFormat="false" ht="15" hidden="false" customHeight="false" outlineLevel="0" collapsed="false">
      <c r="A78" s="46" t="n">
        <v>70</v>
      </c>
      <c r="B78" s="47" t="n">
        <f aca="false">(A78-1)*$C$6</f>
        <v>1.24656989316741</v>
      </c>
      <c r="C78" s="48" t="n">
        <f aca="false">$C$7*B78</f>
        <v>9.58333333333333</v>
      </c>
      <c r="D78" s="49" t="n">
        <f aca="false">0.5*c_rho*'P3 Energie'!E8*'P3 Energie'!E7*(C78-c_Vv)^2+'P3 Energie'!E13+'P3 Energie'!E15+'P3 Energie'!E6*$C$7</f>
        <v>18447.9507395651</v>
      </c>
      <c r="E78" s="50" t="n">
        <f aca="false">D78*C78</f>
        <v>176792.861254165</v>
      </c>
      <c r="F78" s="46" t="n">
        <v>70</v>
      </c>
      <c r="G78" s="47" t="n">
        <f aca="false">(F78-1)*$H$6</f>
        <v>1.24567964981958</v>
      </c>
      <c r="H78" s="48" t="n">
        <f aca="false">$H$7*G78</f>
        <v>9.58333333333333</v>
      </c>
      <c r="I78" s="49" t="n">
        <f aca="false">0.5*c_rho*'P3 Energie'!F8*'P3 Energie'!F7*(H78-c_Vv)^2+'P3 Energie'!F13+'P3 Energie'!F15+'P3 Energie'!F6*$H$7</f>
        <v>19271.0076842824</v>
      </c>
      <c r="J78" s="50" t="n">
        <f aca="false">I78*H78</f>
        <v>184680.490307706</v>
      </c>
    </row>
    <row r="79" customFormat="false" ht="15" hidden="false" customHeight="false" outlineLevel="0" collapsed="false">
      <c r="A79" s="46" t="n">
        <v>71</v>
      </c>
      <c r="B79" s="47" t="n">
        <f aca="false">(A79-1)*$C$6</f>
        <v>1.26463612350317</v>
      </c>
      <c r="C79" s="48" t="n">
        <f aca="false">$C$7*B79</f>
        <v>9.72222222222222</v>
      </c>
      <c r="D79" s="49" t="n">
        <f aca="false">0.5*c_rho*'P3 Energie'!E8*'P3 Energie'!E7*(C79-c_Vv)^2+'P3 Energie'!E13+'P3 Energie'!E15+'P3 Energie'!E6*$C$7</f>
        <v>18449.0217654861</v>
      </c>
      <c r="E79" s="50" t="n">
        <f aca="false">D79*C79</f>
        <v>179365.489386671</v>
      </c>
      <c r="F79" s="46" t="n">
        <v>71</v>
      </c>
      <c r="G79" s="47" t="n">
        <f aca="false">(F79-1)*$H$6</f>
        <v>1.26373297807783</v>
      </c>
      <c r="H79" s="48" t="n">
        <f aca="false">$H$7*G79</f>
        <v>9.72222222222222</v>
      </c>
      <c r="I79" s="49" t="n">
        <f aca="false">0.5*c_rho*'P3 Energie'!F8*'P3 Energie'!F7*(H79-c_Vv)^2+'P3 Energie'!F13+'P3 Energie'!F15+'P3 Energie'!F6*$H$7</f>
        <v>19271.9382152778</v>
      </c>
      <c r="J79" s="50" t="n">
        <f aca="false">I79*H79</f>
        <v>187366.065981867</v>
      </c>
    </row>
    <row r="80" customFormat="false" ht="15" hidden="false" customHeight="false" outlineLevel="0" collapsed="false">
      <c r="A80" s="46" t="n">
        <v>72</v>
      </c>
      <c r="B80" s="47" t="n">
        <f aca="false">(A80-1)*$C$6</f>
        <v>1.28270235383893</v>
      </c>
      <c r="C80" s="48" t="n">
        <f aca="false">$C$7*B80</f>
        <v>9.86111111111111</v>
      </c>
      <c r="D80" s="49" t="n">
        <f aca="false">0.5*c_rho*'P3 Energie'!E8*'P3 Energie'!E7*(C80-c_Vv)^2+'P3 Energie'!E13+'P3 Energie'!E15+'P3 Energie'!E6*$C$7</f>
        <v>18450.1082018521</v>
      </c>
      <c r="E80" s="50" t="n">
        <f aca="false">D80*C80</f>
        <v>181938.566990486</v>
      </c>
      <c r="F80" s="46" t="n">
        <v>72</v>
      </c>
      <c r="G80" s="47" t="n">
        <f aca="false">(F80-1)*$H$6</f>
        <v>1.28178630633609</v>
      </c>
      <c r="H80" s="48" t="n">
        <f aca="false">$H$7*G80</f>
        <v>9.86111111111111</v>
      </c>
      <c r="I80" s="49" t="n">
        <f aca="false">0.5*c_rho*'P3 Energie'!F8*'P3 Energie'!F7*(H80-c_Vv)^2+'P3 Energie'!F13+'P3 Energie'!F15+'P3 Energie'!F6*$H$7</f>
        <v>19272.8821352083</v>
      </c>
      <c r="J80" s="50" t="n">
        <f aca="false">I80*H80</f>
        <v>190052.032166638</v>
      </c>
    </row>
    <row r="81" customFormat="false" ht="15" hidden="false" customHeight="false" outlineLevel="0" collapsed="false">
      <c r="A81" s="46" t="n">
        <v>73</v>
      </c>
      <c r="B81" s="47" t="n">
        <f aca="false">(A81-1)*$C$6</f>
        <v>1.30076858417469</v>
      </c>
      <c r="C81" s="48" t="n">
        <f aca="false">$C$7*B81</f>
        <v>10</v>
      </c>
      <c r="D81" s="49" t="n">
        <f aca="false">0.5*c_rho*'P3 Energie'!E8*'P3 Energie'!E7*(C81-c_Vv)^2+'P3 Energie'!E13+'P3 Energie'!E15+'P3 Energie'!E6*$C$7</f>
        <v>18451.210048663</v>
      </c>
      <c r="E81" s="50" t="n">
        <f aca="false">D81*C81</f>
        <v>184512.10048663</v>
      </c>
      <c r="F81" s="46" t="n">
        <v>73</v>
      </c>
      <c r="G81" s="47" t="n">
        <f aca="false">(F81-1)*$H$6</f>
        <v>1.29983963459434</v>
      </c>
      <c r="H81" s="48" t="n">
        <f aca="false">$H$7*G81</f>
        <v>10</v>
      </c>
      <c r="I81" s="49" t="n">
        <f aca="false">0.5*c_rho*'P3 Energie'!F8*'P3 Energie'!F7*(H81-c_Vv)^2+'P3 Energie'!F13+'P3 Energie'!F15+'P3 Energie'!F6*$H$7</f>
        <v>19273.8394440741</v>
      </c>
      <c r="J81" s="50" t="n">
        <f aca="false">I81*H81</f>
        <v>192738.394440741</v>
      </c>
    </row>
    <row r="82" customFormat="false" ht="15" hidden="false" customHeight="false" outlineLevel="0" collapsed="false">
      <c r="A82" s="46" t="n">
        <v>74</v>
      </c>
      <c r="B82" s="47" t="n">
        <f aca="false">(A82-1)*$C$6</f>
        <v>1.31883481451045</v>
      </c>
      <c r="C82" s="48" t="n">
        <f aca="false">$C$7*B82</f>
        <v>10.1388888888889</v>
      </c>
      <c r="D82" s="49" t="n">
        <f aca="false">0.5*c_rho*'P3 Energie'!E8*'P3 Energie'!E7*(C82-c_Vv)^2+'P3 Energie'!E13+'P3 Energie'!E15+'P3 Energie'!E6*$C$7</f>
        <v>18452.3273059188</v>
      </c>
      <c r="E82" s="50" t="n">
        <f aca="false">D82*C82</f>
        <v>187086.096296121</v>
      </c>
      <c r="F82" s="46" t="n">
        <v>74</v>
      </c>
      <c r="G82" s="47" t="n">
        <f aca="false">(F82-1)*$H$6</f>
        <v>1.3178929628526</v>
      </c>
      <c r="H82" s="48" t="n">
        <f aca="false">$H$7*G82</f>
        <v>10.1388888888889</v>
      </c>
      <c r="I82" s="49" t="n">
        <f aca="false">0.5*c_rho*'P3 Energie'!F8*'P3 Energie'!F7*(H82-c_Vv)^2+'P3 Energie'!F13+'P3 Energie'!F15+'P3 Energie'!F6*$H$7</f>
        <v>19274.810141875</v>
      </c>
      <c r="J82" s="50" t="n">
        <f aca="false">I82*H82</f>
        <v>195425.158382899</v>
      </c>
    </row>
    <row r="83" customFormat="false" ht="15" hidden="false" customHeight="false" outlineLevel="0" collapsed="false">
      <c r="A83" s="46" t="n">
        <v>75</v>
      </c>
      <c r="B83" s="47" t="n">
        <f aca="false">(A83-1)*$C$6</f>
        <v>1.33690104484621</v>
      </c>
      <c r="C83" s="48" t="n">
        <f aca="false">$C$7*B83</f>
        <v>10.2777777777778</v>
      </c>
      <c r="D83" s="49" t="n">
        <f aca="false">0.5*c_rho*'P3 Energie'!E8*'P3 Energie'!E7*(C83-c_Vv)^2+'P3 Energie'!E13+'P3 Energie'!E15+'P3 Energie'!E6*$C$7</f>
        <v>18453.4599736195</v>
      </c>
      <c r="E83" s="50" t="n">
        <f aca="false">D83*C83</f>
        <v>189660.560839978</v>
      </c>
      <c r="F83" s="46" t="n">
        <v>75</v>
      </c>
      <c r="G83" s="47" t="n">
        <f aca="false">(F83-1)*$H$6</f>
        <v>1.33594629111085</v>
      </c>
      <c r="H83" s="48" t="n">
        <f aca="false">$H$7*G83</f>
        <v>10.2777777777778</v>
      </c>
      <c r="I83" s="49" t="n">
        <f aca="false">0.5*c_rho*'P3 Energie'!F8*'P3 Energie'!F7*(H83-c_Vv)^2+'P3 Energie'!F13+'P3 Energie'!F15+'P3 Energie'!F6*$H$7</f>
        <v>19275.7942286111</v>
      </c>
      <c r="J83" s="50" t="n">
        <f aca="false">I83*H83</f>
        <v>198112.329571836</v>
      </c>
    </row>
    <row r="84" customFormat="false" ht="15" hidden="false" customHeight="false" outlineLevel="0" collapsed="false">
      <c r="A84" s="46" t="n">
        <v>76</v>
      </c>
      <c r="B84" s="47" t="n">
        <f aca="false">(A84-1)*$C$6</f>
        <v>1.35496727518197</v>
      </c>
      <c r="C84" s="48" t="n">
        <f aca="false">$C$7*B84</f>
        <v>10.4166666666667</v>
      </c>
      <c r="D84" s="49" t="n">
        <f aca="false">0.5*c_rho*'P3 Energie'!E8*'P3 Energie'!E7*(C84-c_Vv)^2+'P3 Energie'!E13+'P3 Energie'!E15+'P3 Energie'!E6*$C$7</f>
        <v>18454.6080517651</v>
      </c>
      <c r="E84" s="50" t="n">
        <f aca="false">D84*C84</f>
        <v>192235.500539219</v>
      </c>
      <c r="F84" s="46" t="n">
        <v>76</v>
      </c>
      <c r="G84" s="47" t="n">
        <f aca="false">(F84-1)*$H$6</f>
        <v>1.35399961936911</v>
      </c>
      <c r="H84" s="48" t="n">
        <f aca="false">$H$7*G84</f>
        <v>10.4166666666667</v>
      </c>
      <c r="I84" s="49" t="n">
        <f aca="false">0.5*c_rho*'P3 Energie'!F8*'P3 Energie'!F7*(H84-c_Vv)^2+'P3 Energie'!F13+'P3 Energie'!F15+'P3 Energie'!F6*$H$7</f>
        <v>19276.7917042824</v>
      </c>
      <c r="J84" s="50" t="n">
        <f aca="false">I84*H84</f>
        <v>200799.913586275</v>
      </c>
    </row>
    <row r="85" customFormat="false" ht="15" hidden="false" customHeight="false" outlineLevel="0" collapsed="false">
      <c r="A85" s="46" t="n">
        <v>77</v>
      </c>
      <c r="B85" s="47" t="n">
        <f aca="false">(A85-1)*$C$6</f>
        <v>1.37303350551772</v>
      </c>
      <c r="C85" s="48" t="n">
        <f aca="false">$C$7*B85</f>
        <v>10.5555555555556</v>
      </c>
      <c r="D85" s="49" t="n">
        <f aca="false">0.5*c_rho*'P3 Energie'!E8*'P3 Energie'!E7*(C85-c_Vv)^2+'P3 Energie'!E13+'P3 Energie'!E15+'P3 Energie'!E6*$C$7</f>
        <v>18455.7715403556</v>
      </c>
      <c r="E85" s="50" t="n">
        <f aca="false">D85*C85</f>
        <v>194810.921814864</v>
      </c>
      <c r="F85" s="46" t="n">
        <v>77</v>
      </c>
      <c r="G85" s="47" t="n">
        <f aca="false">(F85-1)*$H$6</f>
        <v>1.37205294762736</v>
      </c>
      <c r="H85" s="48" t="n">
        <f aca="false">$H$7*G85</f>
        <v>10.5555555555556</v>
      </c>
      <c r="I85" s="49" t="n">
        <f aca="false">0.5*c_rho*'P3 Energie'!F8*'P3 Energie'!F7*(H85-c_Vv)^2+'P3 Energie'!F13+'P3 Energie'!F15+'P3 Energie'!F6*$H$7</f>
        <v>19277.8025688889</v>
      </c>
      <c r="J85" s="50" t="n">
        <f aca="false">I85*H85</f>
        <v>203487.916004938</v>
      </c>
    </row>
    <row r="86" customFormat="false" ht="15" hidden="false" customHeight="false" outlineLevel="0" collapsed="false">
      <c r="A86" s="46" t="n">
        <v>78</v>
      </c>
      <c r="B86" s="47" t="n">
        <f aca="false">(A86-1)*$C$6</f>
        <v>1.39109973585348</v>
      </c>
      <c r="C86" s="48" t="n">
        <f aca="false">$C$7*B86</f>
        <v>10.6944444444444</v>
      </c>
      <c r="D86" s="49" t="n">
        <f aca="false">0.5*c_rho*'P3 Energie'!E8*'P3 Energie'!E7*(C86-c_Vv)^2+'P3 Energie'!E13+'P3 Energie'!E15+'P3 Energie'!E6*$C$7</f>
        <v>18456.950439391</v>
      </c>
      <c r="E86" s="50" t="n">
        <f aca="false">D86*C86</f>
        <v>197386.831087931</v>
      </c>
      <c r="F86" s="46" t="n">
        <v>78</v>
      </c>
      <c r="G86" s="47" t="n">
        <f aca="false">(F86-1)*$H$6</f>
        <v>1.39010627588562</v>
      </c>
      <c r="H86" s="48" t="n">
        <f aca="false">$H$7*G86</f>
        <v>10.6944444444444</v>
      </c>
      <c r="I86" s="49" t="n">
        <f aca="false">0.5*c_rho*'P3 Energie'!F8*'P3 Energie'!F7*(H86-c_Vv)^2+'P3 Energie'!F13+'P3 Energie'!F15+'P3 Energie'!F6*$H$7</f>
        <v>19278.8268224306</v>
      </c>
      <c r="J86" s="50" t="n">
        <f aca="false">I86*H86</f>
        <v>206176.342406549</v>
      </c>
    </row>
    <row r="87" customFormat="false" ht="15" hidden="false" customHeight="false" outlineLevel="0" collapsed="false">
      <c r="A87" s="46" t="n">
        <v>79</v>
      </c>
      <c r="B87" s="47" t="n">
        <f aca="false">(A87-1)*$C$6</f>
        <v>1.40916596618924</v>
      </c>
      <c r="C87" s="48" t="n">
        <f aca="false">$C$7*B87</f>
        <v>10.8333333333333</v>
      </c>
      <c r="D87" s="49" t="n">
        <f aca="false">0.5*c_rho*'P3 Energie'!E8*'P3 Energie'!E7*(C87-c_Vv)^2+'P3 Energie'!E13+'P3 Energie'!E15+'P3 Energie'!E6*$C$7</f>
        <v>18458.1447488713</v>
      </c>
      <c r="E87" s="50" t="n">
        <f aca="false">D87*C87</f>
        <v>199963.234779439</v>
      </c>
      <c r="F87" s="46" t="n">
        <v>79</v>
      </c>
      <c r="G87" s="47" t="n">
        <f aca="false">(F87-1)*$H$6</f>
        <v>1.40815960414387</v>
      </c>
      <c r="H87" s="48" t="n">
        <f aca="false">$H$7*G87</f>
        <v>10.8333333333333</v>
      </c>
      <c r="I87" s="49" t="n">
        <f aca="false">0.5*c_rho*'P3 Energie'!F8*'P3 Energie'!F7*(H87-c_Vv)^2+'P3 Energie'!F13+'P3 Energie'!F15+'P3 Energie'!F6*$H$7</f>
        <v>19279.8644649074</v>
      </c>
      <c r="J87" s="50" t="n">
        <f aca="false">I87*H87</f>
        <v>208865.19836983</v>
      </c>
    </row>
    <row r="88" customFormat="false" ht="15" hidden="false" customHeight="false" outlineLevel="0" collapsed="false">
      <c r="A88" s="46" t="n">
        <v>80</v>
      </c>
      <c r="B88" s="47" t="n">
        <f aca="false">(A88-1)*$C$6</f>
        <v>1.427232196525</v>
      </c>
      <c r="C88" s="48" t="n">
        <f aca="false">$C$7*B88</f>
        <v>10.9722222222222</v>
      </c>
      <c r="D88" s="49" t="n">
        <f aca="false">0.5*c_rho*'P3 Energie'!E8*'P3 Energie'!E7*(C88-c_Vv)^2+'P3 Energie'!E13+'P3 Energie'!E15+'P3 Energie'!E6*$C$7</f>
        <v>18459.3544687965</v>
      </c>
      <c r="E88" s="50" t="n">
        <f aca="false">D88*C88</f>
        <v>202540.139310406</v>
      </c>
      <c r="F88" s="46" t="n">
        <v>80</v>
      </c>
      <c r="G88" s="47" t="n">
        <f aca="false">(F88-1)*$H$6</f>
        <v>1.42621293240213</v>
      </c>
      <c r="H88" s="48" t="n">
        <f aca="false">$H$7*G88</f>
        <v>10.9722222222222</v>
      </c>
      <c r="I88" s="49" t="n">
        <f aca="false">0.5*c_rho*'P3 Energie'!F8*'P3 Energie'!F7*(H88-c_Vv)^2+'P3 Energie'!F13+'P3 Energie'!F15+'P3 Energie'!F6*$H$7</f>
        <v>19280.9154963194</v>
      </c>
      <c r="J88" s="50" t="n">
        <f aca="false">I88*H88</f>
        <v>211554.489473505</v>
      </c>
    </row>
    <row r="89" customFormat="false" ht="15" hidden="false" customHeight="false" outlineLevel="0" collapsed="false">
      <c r="A89" s="46" t="n">
        <v>81</v>
      </c>
      <c r="B89" s="47" t="n">
        <f aca="false">(A89-1)*$C$6</f>
        <v>1.44529842686076</v>
      </c>
      <c r="C89" s="48" t="n">
        <f aca="false">$C$7*B89</f>
        <v>11.1111111111111</v>
      </c>
      <c r="D89" s="49" t="n">
        <f aca="false">0.5*c_rho*'P3 Energie'!E8*'P3 Energie'!E7*(C89-c_Vv)^2+'P3 Energie'!E13+'P3 Energie'!E15+'P3 Energie'!E6*$C$7</f>
        <v>18460.5795991667</v>
      </c>
      <c r="E89" s="50" t="n">
        <f aca="false">D89*C89</f>
        <v>205117.551101852</v>
      </c>
      <c r="F89" s="46" t="n">
        <v>81</v>
      </c>
      <c r="G89" s="47" t="n">
        <f aca="false">(F89-1)*$H$6</f>
        <v>1.44426626066038</v>
      </c>
      <c r="H89" s="48" t="n">
        <f aca="false">$H$7*G89</f>
        <v>11.1111111111111</v>
      </c>
      <c r="I89" s="49" t="n">
        <f aca="false">0.5*c_rho*'P3 Energie'!F8*'P3 Energie'!F7*(H89-c_Vv)^2+'P3 Energie'!F13+'P3 Energie'!F15+'P3 Energie'!F6*$H$7</f>
        <v>19281.9799166667</v>
      </c>
      <c r="J89" s="50" t="n">
        <f aca="false">I89*H89</f>
        <v>214244.221296296</v>
      </c>
    </row>
    <row r="90" customFormat="false" ht="15" hidden="false" customHeight="false" outlineLevel="0" collapsed="false">
      <c r="A90" s="46" t="n">
        <v>82</v>
      </c>
      <c r="B90" s="47" t="n">
        <f aca="false">(A90-1)*$C$6</f>
        <v>1.46336465719652</v>
      </c>
      <c r="C90" s="48" t="n">
        <f aca="false">$C$7*B90</f>
        <v>11.25</v>
      </c>
      <c r="D90" s="49" t="n">
        <f aca="false">0.5*c_rho*'P3 Energie'!E8*'P3 Energie'!E7*(C90-c_Vv)^2+'P3 Energie'!E13+'P3 Energie'!E15+'P3 Energie'!E6*$C$7</f>
        <v>18461.8201399817</v>
      </c>
      <c r="E90" s="50" t="n">
        <f aca="false">D90*C90</f>
        <v>207695.476574794</v>
      </c>
      <c r="F90" s="46" t="n">
        <v>82</v>
      </c>
      <c r="G90" s="47" t="n">
        <f aca="false">(F90-1)*$H$6</f>
        <v>1.46231958891864</v>
      </c>
      <c r="H90" s="48" t="n">
        <f aca="false">$H$7*G90</f>
        <v>11.25</v>
      </c>
      <c r="I90" s="49" t="n">
        <f aca="false">0.5*c_rho*'P3 Energie'!F8*'P3 Energie'!F7*(H90-c_Vv)^2+'P3 Energie'!F13+'P3 Energie'!F15+'P3 Energie'!F6*$H$7</f>
        <v>19283.0577259491</v>
      </c>
      <c r="J90" s="50" t="n">
        <f aca="false">I90*H90</f>
        <v>216934.399416927</v>
      </c>
    </row>
    <row r="91" customFormat="false" ht="15" hidden="false" customHeight="false" outlineLevel="0" collapsed="false">
      <c r="A91" s="46" t="n">
        <v>83</v>
      </c>
      <c r="B91" s="47" t="n">
        <f aca="false">(A91-1)*$C$6</f>
        <v>1.48143088753228</v>
      </c>
      <c r="C91" s="48" t="n">
        <f aca="false">$C$7*B91</f>
        <v>11.3888888888889</v>
      </c>
      <c r="D91" s="49" t="n">
        <f aca="false">0.5*c_rho*'P3 Energie'!E8*'P3 Energie'!E7*(C91-c_Vv)^2+'P3 Energie'!E13+'P3 Energie'!E15+'P3 Energie'!E6*$C$7</f>
        <v>18463.0760912417</v>
      </c>
      <c r="E91" s="50" t="n">
        <f aca="false">D91*C91</f>
        <v>210273.922150252</v>
      </c>
      <c r="F91" s="46" t="n">
        <v>83</v>
      </c>
      <c r="G91" s="47" t="n">
        <f aca="false">(F91-1)*$H$6</f>
        <v>1.48037291717689</v>
      </c>
      <c r="H91" s="48" t="n">
        <f aca="false">$H$7*G91</f>
        <v>11.3888888888889</v>
      </c>
      <c r="I91" s="49" t="n">
        <f aca="false">0.5*c_rho*'P3 Energie'!F8*'P3 Energie'!F7*(H91-c_Vv)^2+'P3 Energie'!F13+'P3 Energie'!F15+'P3 Energie'!F6*$H$7</f>
        <v>19284.1489241667</v>
      </c>
      <c r="J91" s="50" t="n">
        <f aca="false">I91*H91</f>
        <v>219625.02941412</v>
      </c>
    </row>
    <row r="92" customFormat="false" ht="15" hidden="false" customHeight="false" outlineLevel="0" collapsed="false">
      <c r="A92" s="46" t="n">
        <v>84</v>
      </c>
      <c r="B92" s="47" t="n">
        <f aca="false">(A92-1)*$C$6</f>
        <v>1.49949711786804</v>
      </c>
      <c r="C92" s="48" t="n">
        <f aca="false">$C$7*B92</f>
        <v>11.5277777777778</v>
      </c>
      <c r="D92" s="49" t="n">
        <f aca="false">0.5*c_rho*'P3 Energie'!E8*'P3 Energie'!E7*(C92-c_Vv)^2+'P3 Energie'!E13+'P3 Energie'!E15+'P3 Energie'!E6*$C$7</f>
        <v>18464.3474529465</v>
      </c>
      <c r="E92" s="50" t="n">
        <f aca="false">D92*C92</f>
        <v>212852.894249245</v>
      </c>
      <c r="F92" s="46" t="n">
        <v>84</v>
      </c>
      <c r="G92" s="47" t="n">
        <f aca="false">(F92-1)*$H$6</f>
        <v>1.49842624543514</v>
      </c>
      <c r="H92" s="48" t="n">
        <f aca="false">$H$7*G92</f>
        <v>11.5277777777778</v>
      </c>
      <c r="I92" s="49" t="n">
        <f aca="false">0.5*c_rho*'P3 Energie'!F8*'P3 Energie'!F7*(H92-c_Vv)^2+'P3 Energie'!F13+'P3 Energie'!F15+'P3 Energie'!F6*$H$7</f>
        <v>19285.2535113194</v>
      </c>
      <c r="J92" s="50" t="n">
        <f aca="false">I92*H92</f>
        <v>222316.116866599</v>
      </c>
    </row>
    <row r="93" customFormat="false" ht="15" hidden="false" customHeight="false" outlineLevel="0" collapsed="false">
      <c r="A93" s="46" t="n">
        <v>85</v>
      </c>
      <c r="B93" s="47" t="n">
        <f aca="false">(A93-1)*$C$6</f>
        <v>1.5175633482038</v>
      </c>
      <c r="C93" s="48" t="n">
        <f aca="false">$C$7*B93</f>
        <v>11.6666666666667</v>
      </c>
      <c r="D93" s="49" t="n">
        <f aca="false">0.5*c_rho*'P3 Energie'!E8*'P3 Energie'!E7*(C93-c_Vv)^2+'P3 Energie'!E13+'P3 Energie'!E15+'P3 Energie'!E6*$C$7</f>
        <v>18465.6342250963</v>
      </c>
      <c r="E93" s="50" t="n">
        <f aca="false">D93*C93</f>
        <v>215432.39929279</v>
      </c>
      <c r="F93" s="46" t="n">
        <v>85</v>
      </c>
      <c r="G93" s="47" t="n">
        <f aca="false">(F93-1)*$H$6</f>
        <v>1.5164795736934</v>
      </c>
      <c r="H93" s="48" t="n">
        <f aca="false">$H$7*G93</f>
        <v>11.6666666666667</v>
      </c>
      <c r="I93" s="49" t="n">
        <f aca="false">0.5*c_rho*'P3 Energie'!F8*'P3 Energie'!F7*(H93-c_Vv)^2+'P3 Energie'!F13+'P3 Energie'!F15+'P3 Energie'!F6*$H$7</f>
        <v>19286.3714874074</v>
      </c>
      <c r="J93" s="50" t="n">
        <f aca="false">I93*H93</f>
        <v>225007.667353086</v>
      </c>
    </row>
    <row r="94" customFormat="false" ht="15" hidden="false" customHeight="false" outlineLevel="0" collapsed="false">
      <c r="A94" s="46" t="n">
        <v>86</v>
      </c>
      <c r="B94" s="47" t="n">
        <f aca="false">(A94-1)*$C$6</f>
        <v>1.53562957853956</v>
      </c>
      <c r="C94" s="48" t="n">
        <f aca="false">$C$7*B94</f>
        <v>11.8055555555556</v>
      </c>
      <c r="D94" s="49" t="n">
        <f aca="false">0.5*c_rho*'P3 Energie'!E8*'P3 Energie'!E7*(C94-c_Vv)^2+'P3 Energie'!E13+'P3 Energie'!E15+'P3 Energie'!E6*$C$7</f>
        <v>18466.936407691</v>
      </c>
      <c r="E94" s="50" t="n">
        <f aca="false">D94*C94</f>
        <v>218012.443701907</v>
      </c>
      <c r="F94" s="46" t="n">
        <v>86</v>
      </c>
      <c r="G94" s="47" t="n">
        <f aca="false">(F94-1)*$H$6</f>
        <v>1.53453290195165</v>
      </c>
      <c r="H94" s="48" t="n">
        <f aca="false">$H$7*G94</f>
        <v>11.8055555555556</v>
      </c>
      <c r="I94" s="49" t="n">
        <f aca="false">0.5*c_rho*'P3 Energie'!F8*'P3 Energie'!F7*(H94-c_Vv)^2+'P3 Energie'!F13+'P3 Energie'!F15+'P3 Energie'!F6*$H$7</f>
        <v>19287.5028524306</v>
      </c>
      <c r="J94" s="50" t="n">
        <f aca="false">I94*H94</f>
        <v>227699.686452305</v>
      </c>
    </row>
    <row r="95" customFormat="false" ht="15" hidden="false" customHeight="false" outlineLevel="0" collapsed="false">
      <c r="A95" s="46" t="n">
        <v>87</v>
      </c>
      <c r="B95" s="47" t="n">
        <f aca="false">(A95-1)*$C$6</f>
        <v>1.55369580887532</v>
      </c>
      <c r="C95" s="48" t="n">
        <f aca="false">$C$7*B95</f>
        <v>11.9444444444444</v>
      </c>
      <c r="D95" s="49" t="n">
        <f aca="false">0.5*c_rho*'P3 Energie'!E8*'P3 Energie'!E7*(C95-c_Vv)^2+'P3 Energie'!E13+'P3 Energie'!E15+'P3 Energie'!E6*$C$7</f>
        <v>18468.2540007306</v>
      </c>
      <c r="E95" s="50" t="n">
        <f aca="false">D95*C95</f>
        <v>220593.033897615</v>
      </c>
      <c r="F95" s="46" t="n">
        <v>87</v>
      </c>
      <c r="G95" s="47" t="n">
        <f aca="false">(F95-1)*$H$6</f>
        <v>1.55258623020991</v>
      </c>
      <c r="H95" s="48" t="n">
        <f aca="false">$H$7*G95</f>
        <v>11.9444444444444</v>
      </c>
      <c r="I95" s="49" t="n">
        <f aca="false">0.5*c_rho*'P3 Energie'!F8*'P3 Energie'!F7*(H95-c_Vv)^2+'P3 Energie'!F13+'P3 Energie'!F15+'P3 Energie'!F6*$H$7</f>
        <v>19288.6476063889</v>
      </c>
      <c r="J95" s="50" t="n">
        <f aca="false">I95*H95</f>
        <v>230392.179742978</v>
      </c>
    </row>
    <row r="96" customFormat="false" ht="15" hidden="false" customHeight="false" outlineLevel="0" collapsed="false">
      <c r="A96" s="46" t="n">
        <v>88</v>
      </c>
      <c r="B96" s="47" t="n">
        <f aca="false">(A96-1)*$C$6</f>
        <v>1.57176203921108</v>
      </c>
      <c r="C96" s="48" t="n">
        <f aca="false">$C$7*B96</f>
        <v>12.0833333333333</v>
      </c>
      <c r="D96" s="49" t="n">
        <f aca="false">0.5*c_rho*'P3 Energie'!E8*'P3 Energie'!E7*(C96-c_Vv)^2+'P3 Energie'!E13+'P3 Energie'!E15+'P3 Energie'!E6*$C$7</f>
        <v>18469.5870042151</v>
      </c>
      <c r="E96" s="50" t="n">
        <f aca="false">D96*C96</f>
        <v>223174.176300932</v>
      </c>
      <c r="F96" s="46" t="n">
        <v>88</v>
      </c>
      <c r="G96" s="47" t="n">
        <f aca="false">(F96-1)*$H$6</f>
        <v>1.57063955846816</v>
      </c>
      <c r="H96" s="48" t="n">
        <f aca="false">$H$7*G96</f>
        <v>12.0833333333333</v>
      </c>
      <c r="I96" s="49" t="n">
        <f aca="false">0.5*c_rho*'P3 Energie'!F8*'P3 Energie'!F7*(H96-c_Vv)^2+'P3 Energie'!F13+'P3 Energie'!F15+'P3 Energie'!F6*$H$7</f>
        <v>19289.8057492824</v>
      </c>
      <c r="J96" s="50" t="n">
        <f aca="false">I96*H96</f>
        <v>233085.152803829</v>
      </c>
    </row>
    <row r="97" customFormat="false" ht="15" hidden="false" customHeight="false" outlineLevel="0" collapsed="false">
      <c r="A97" s="46" t="n">
        <v>89</v>
      </c>
      <c r="B97" s="47" t="n">
        <f aca="false">(A97-1)*$C$6</f>
        <v>1.58982826954684</v>
      </c>
      <c r="C97" s="48" t="n">
        <f aca="false">$C$7*B97</f>
        <v>12.2222222222222</v>
      </c>
      <c r="D97" s="49" t="n">
        <f aca="false">0.5*c_rho*'P3 Energie'!E8*'P3 Energie'!E7*(C97-c_Vv)^2+'P3 Energie'!E13+'P3 Energie'!E15+'P3 Energie'!E6*$C$7</f>
        <v>18470.9354181445</v>
      </c>
      <c r="E97" s="50" t="n">
        <f aca="false">D97*C97</f>
        <v>225755.877332877</v>
      </c>
      <c r="F97" s="46" t="n">
        <v>89</v>
      </c>
      <c r="G97" s="47" t="n">
        <f aca="false">(F97-1)*$H$6</f>
        <v>1.58869288672642</v>
      </c>
      <c r="H97" s="48" t="n">
        <f aca="false">$H$7*G97</f>
        <v>12.2222222222222</v>
      </c>
      <c r="I97" s="49" t="n">
        <f aca="false">0.5*c_rho*'P3 Energie'!F8*'P3 Energie'!F7*(H97-c_Vv)^2+'P3 Energie'!F13+'P3 Energie'!F15+'P3 Energie'!F6*$H$7</f>
        <v>19290.9772811111</v>
      </c>
      <c r="J97" s="50" t="n">
        <f aca="false">I97*H97</f>
        <v>235778.61121358</v>
      </c>
    </row>
    <row r="98" customFormat="false" ht="15" hidden="false" customHeight="false" outlineLevel="0" collapsed="false">
      <c r="A98" s="46" t="n">
        <v>90</v>
      </c>
      <c r="B98" s="47" t="n">
        <f aca="false">(A98-1)*$C$6</f>
        <v>1.6078944998826</v>
      </c>
      <c r="C98" s="48" t="n">
        <f aca="false">$C$7*B98</f>
        <v>12.3611111111111</v>
      </c>
      <c r="D98" s="49" t="n">
        <f aca="false">0.5*c_rho*'P3 Energie'!E8*'P3 Energie'!E7*(C98-c_Vv)^2+'P3 Energie'!E13+'P3 Energie'!E15+'P3 Energie'!E6*$C$7</f>
        <v>18472.2992425188</v>
      </c>
      <c r="E98" s="50" t="n">
        <f aca="false">D98*C98</f>
        <v>228338.143414468</v>
      </c>
      <c r="F98" s="46" t="n">
        <v>90</v>
      </c>
      <c r="G98" s="47" t="n">
        <f aca="false">(F98-1)*$H$6</f>
        <v>1.60674621498467</v>
      </c>
      <c r="H98" s="48" t="n">
        <f aca="false">$H$7*G98</f>
        <v>12.3611111111111</v>
      </c>
      <c r="I98" s="49" t="n">
        <f aca="false">0.5*c_rho*'P3 Energie'!F8*'P3 Energie'!F7*(H98-c_Vv)^2+'P3 Energie'!F13+'P3 Energie'!F15+'P3 Energie'!F6*$H$7</f>
        <v>19292.162201875</v>
      </c>
      <c r="J98" s="50" t="n">
        <f aca="false">I98*H98</f>
        <v>238472.560550955</v>
      </c>
    </row>
    <row r="99" customFormat="false" ht="15" hidden="false" customHeight="false" outlineLevel="0" collapsed="false">
      <c r="A99" s="46" t="n">
        <v>91</v>
      </c>
      <c r="B99" s="47" t="n">
        <f aca="false">(A99-1)*$C$6</f>
        <v>1.62596073021836</v>
      </c>
      <c r="C99" s="48" t="n">
        <f aca="false">$C$7*B99</f>
        <v>12.5</v>
      </c>
      <c r="D99" s="49" t="n">
        <f aca="false">0.5*c_rho*'P3 Energie'!E8*'P3 Energie'!E7*(C99-c_Vv)^2+'P3 Energie'!E13+'P3 Energie'!E15+'P3 Energie'!E6*$C$7</f>
        <v>18473.678477338</v>
      </c>
      <c r="E99" s="50" t="n">
        <f aca="false">D99*C99</f>
        <v>230920.980966725</v>
      </c>
      <c r="F99" s="46" t="n">
        <v>91</v>
      </c>
      <c r="G99" s="47" t="n">
        <f aca="false">(F99-1)*$H$6</f>
        <v>1.62479954324293</v>
      </c>
      <c r="H99" s="48" t="n">
        <f aca="false">$H$7*G99</f>
        <v>12.5</v>
      </c>
      <c r="I99" s="49" t="n">
        <f aca="false">0.5*c_rho*'P3 Energie'!F8*'P3 Energie'!F7*(H99-c_Vv)^2+'P3 Energie'!F13+'P3 Energie'!F15+'P3 Energie'!F6*$H$7</f>
        <v>19293.3605115741</v>
      </c>
      <c r="J99" s="50" t="n">
        <f aca="false">I99*H99</f>
        <v>241167.006394676</v>
      </c>
    </row>
    <row r="100" customFormat="false" ht="15" hidden="false" customHeight="false" outlineLevel="0" collapsed="false">
      <c r="A100" s="46" t="n">
        <v>92</v>
      </c>
      <c r="B100" s="47" t="n">
        <f aca="false">(A100-1)*$C$6</f>
        <v>1.64402696055412</v>
      </c>
      <c r="C100" s="48" t="n">
        <f aca="false">$C$7*B100</f>
        <v>12.6388888888889</v>
      </c>
      <c r="D100" s="49" t="n">
        <f aca="false">0.5*c_rho*'P3 Energie'!E8*'P3 Energie'!E7*(C100-c_Vv)^2+'P3 Energie'!E13+'P3 Energie'!E15+'P3 Energie'!E6*$C$7</f>
        <v>18475.0731226021</v>
      </c>
      <c r="E100" s="50" t="n">
        <f aca="false">D100*C100</f>
        <v>233504.396410665</v>
      </c>
      <c r="F100" s="46" t="n">
        <v>92</v>
      </c>
      <c r="G100" s="47" t="n">
        <f aca="false">(F100-1)*$H$6</f>
        <v>1.64285287150118</v>
      </c>
      <c r="H100" s="48" t="n">
        <f aca="false">$H$7*G100</f>
        <v>12.6388888888889</v>
      </c>
      <c r="I100" s="49" t="n">
        <f aca="false">0.5*c_rho*'P3 Energie'!F8*'P3 Energie'!F7*(H100-c_Vv)^2+'P3 Energie'!F13+'P3 Energie'!F15+'P3 Energie'!F6*$H$7</f>
        <v>19294.5722102083</v>
      </c>
      <c r="J100" s="50" t="n">
        <f aca="false">I100*H100</f>
        <v>243861.954323466</v>
      </c>
    </row>
    <row r="101" customFormat="false" ht="15" hidden="false" customHeight="false" outlineLevel="0" collapsed="false">
      <c r="A101" s="46" t="n">
        <v>93</v>
      </c>
      <c r="B101" s="47" t="n">
        <f aca="false">(A101-1)*$C$6</f>
        <v>1.66209319088988</v>
      </c>
      <c r="C101" s="48" t="n">
        <f aca="false">$C$7*B101</f>
        <v>12.7777777777778</v>
      </c>
      <c r="D101" s="49" t="n">
        <f aca="false">0.5*c_rho*'P3 Energie'!E8*'P3 Energie'!E7*(C101-c_Vv)^2+'P3 Energie'!E13+'P3 Energie'!E15+'P3 Energie'!E6*$C$7</f>
        <v>18476.4831783111</v>
      </c>
      <c r="E101" s="50" t="n">
        <f aca="false">D101*C101</f>
        <v>236088.396167309</v>
      </c>
      <c r="F101" s="46" t="n">
        <v>93</v>
      </c>
      <c r="G101" s="47" t="n">
        <f aca="false">(F101-1)*$H$6</f>
        <v>1.66090619975944</v>
      </c>
      <c r="H101" s="48" t="n">
        <f aca="false">$H$7*G101</f>
        <v>12.7777777777778</v>
      </c>
      <c r="I101" s="49" t="n">
        <f aca="false">0.5*c_rho*'P3 Energie'!F8*'P3 Energie'!F7*(H101-c_Vv)^2+'P3 Energie'!F13+'P3 Energie'!F15+'P3 Energie'!F6*$H$7</f>
        <v>19295.7972977778</v>
      </c>
      <c r="J101" s="50" t="n">
        <f aca="false">I101*H101</f>
        <v>246557.409916049</v>
      </c>
    </row>
    <row r="102" customFormat="false" ht="15" hidden="false" customHeight="false" outlineLevel="0" collapsed="false">
      <c r="A102" s="46" t="n">
        <v>94</v>
      </c>
      <c r="B102" s="47" t="n">
        <f aca="false">(A102-1)*$C$6</f>
        <v>1.68015942122564</v>
      </c>
      <c r="C102" s="48" t="n">
        <f aca="false">$C$7*B102</f>
        <v>12.9166666666667</v>
      </c>
      <c r="D102" s="49" t="n">
        <f aca="false">0.5*c_rho*'P3 Energie'!E8*'P3 Energie'!E7*(C102-c_Vv)^2+'P3 Energie'!E13+'P3 Energie'!E15+'P3 Energie'!E6*$C$7</f>
        <v>18477.9086444651</v>
      </c>
      <c r="E102" s="50" t="n">
        <f aca="false">D102*C102</f>
        <v>238672.986657674</v>
      </c>
      <c r="F102" s="46" t="n">
        <v>94</v>
      </c>
      <c r="G102" s="47" t="n">
        <f aca="false">(F102-1)*$H$6</f>
        <v>1.67895952801769</v>
      </c>
      <c r="H102" s="48" t="n">
        <f aca="false">$H$7*G102</f>
        <v>12.9166666666667</v>
      </c>
      <c r="I102" s="49" t="n">
        <f aca="false">0.5*c_rho*'P3 Energie'!F8*'P3 Energie'!F7*(H102-c_Vv)^2+'P3 Energie'!F13+'P3 Energie'!F15+'P3 Energie'!F6*$H$7</f>
        <v>19297.0357742824</v>
      </c>
      <c r="J102" s="50" t="n">
        <f aca="false">I102*H102</f>
        <v>249253.378751148</v>
      </c>
    </row>
    <row r="103" customFormat="false" ht="15" hidden="false" customHeight="false" outlineLevel="0" collapsed="false">
      <c r="A103" s="46" t="n">
        <v>95</v>
      </c>
      <c r="B103" s="47" t="n">
        <f aca="false">(A103-1)*$C$6</f>
        <v>1.6982256515614</v>
      </c>
      <c r="C103" s="48" t="n">
        <f aca="false">$C$7*B103</f>
        <v>13.0555555555556</v>
      </c>
      <c r="D103" s="49" t="n">
        <f aca="false">0.5*c_rho*'P3 Energie'!E8*'P3 Energie'!E7*(C103-c_Vv)^2+'P3 Energie'!E13+'P3 Energie'!E15+'P3 Energie'!E6*$C$7</f>
        <v>18479.3495210639</v>
      </c>
      <c r="E103" s="50" t="n">
        <f aca="false">D103*C103</f>
        <v>241258.174302779</v>
      </c>
      <c r="F103" s="46" t="n">
        <v>95</v>
      </c>
      <c r="G103" s="47" t="n">
        <f aca="false">(F103-1)*$H$6</f>
        <v>1.69701285627595</v>
      </c>
      <c r="H103" s="48" t="n">
        <f aca="false">$H$7*G103</f>
        <v>13.0555555555556</v>
      </c>
      <c r="I103" s="49" t="n">
        <f aca="false">0.5*c_rho*'P3 Energie'!F8*'P3 Energie'!F7*(H103-c_Vv)^2+'P3 Energie'!F13+'P3 Energie'!F15+'P3 Energie'!F6*$H$7</f>
        <v>19298.2876397222</v>
      </c>
      <c r="J103" s="50" t="n">
        <f aca="false">I103*H103</f>
        <v>251949.866407485</v>
      </c>
    </row>
    <row r="104" customFormat="false" ht="15" hidden="false" customHeight="false" outlineLevel="0" collapsed="false">
      <c r="A104" s="46" t="n">
        <v>96</v>
      </c>
      <c r="B104" s="47" t="n">
        <f aca="false">(A104-1)*$C$6</f>
        <v>1.71629188189716</v>
      </c>
      <c r="C104" s="48" t="n">
        <f aca="false">$C$7*B104</f>
        <v>13.1944444444444</v>
      </c>
      <c r="D104" s="49" t="n">
        <f aca="false">0.5*c_rho*'P3 Energie'!E8*'P3 Energie'!E7*(C104-c_Vv)^2+'P3 Energie'!E13+'P3 Energie'!E15+'P3 Energie'!E6*$C$7</f>
        <v>18480.8058081076</v>
      </c>
      <c r="E104" s="50" t="n">
        <f aca="false">D104*C104</f>
        <v>243843.965523643</v>
      </c>
      <c r="F104" s="46" t="n">
        <v>96</v>
      </c>
      <c r="G104" s="47" t="n">
        <f aca="false">(F104-1)*$H$6</f>
        <v>1.7150661845342</v>
      </c>
      <c r="H104" s="48" t="n">
        <f aca="false">$H$7*G104</f>
        <v>13.1944444444444</v>
      </c>
      <c r="I104" s="49" t="n">
        <f aca="false">0.5*c_rho*'P3 Energie'!F8*'P3 Energie'!F7*(H104-c_Vv)^2+'P3 Energie'!F13+'P3 Energie'!F15+'P3 Energie'!F6*$H$7</f>
        <v>19299.5528940972</v>
      </c>
      <c r="J104" s="50" t="n">
        <f aca="false">I104*H104</f>
        <v>254646.878463783</v>
      </c>
    </row>
    <row r="105" customFormat="false" ht="15" hidden="false" customHeight="false" outlineLevel="0" collapsed="false">
      <c r="A105" s="46" t="n">
        <v>97</v>
      </c>
      <c r="B105" s="47" t="n">
        <f aca="false">(A105-1)*$C$6</f>
        <v>1.73435811223292</v>
      </c>
      <c r="C105" s="48" t="n">
        <f aca="false">$C$7*B105</f>
        <v>13.3333333333333</v>
      </c>
      <c r="D105" s="49" t="n">
        <f aca="false">0.5*c_rho*'P3 Energie'!E8*'P3 Energie'!E7*(C105-c_Vv)^2+'P3 Energie'!E13+'P3 Energie'!E15+'P3 Energie'!E6*$C$7</f>
        <v>18482.2775055963</v>
      </c>
      <c r="E105" s="50" t="n">
        <f aca="false">D105*C105</f>
        <v>246430.366741284</v>
      </c>
      <c r="F105" s="46" t="n">
        <v>97</v>
      </c>
      <c r="G105" s="47" t="n">
        <f aca="false">(F105-1)*$H$6</f>
        <v>1.73311951279246</v>
      </c>
      <c r="H105" s="48" t="n">
        <f aca="false">$H$7*G105</f>
        <v>13.3333333333333</v>
      </c>
      <c r="I105" s="49" t="n">
        <f aca="false">0.5*c_rho*'P3 Energie'!F8*'P3 Energie'!F7*(H105-c_Vv)^2+'P3 Energie'!F13+'P3 Energie'!F15+'P3 Energie'!F6*$H$7</f>
        <v>19300.8315374074</v>
      </c>
      <c r="J105" s="50" t="n">
        <f aca="false">I105*H105</f>
        <v>257344.420498765</v>
      </c>
    </row>
    <row r="106" customFormat="false" ht="15" hidden="false" customHeight="false" outlineLevel="0" collapsed="false">
      <c r="A106" s="46" t="n">
        <v>98</v>
      </c>
      <c r="B106" s="47" t="n">
        <f aca="false">(A106-1)*$C$6</f>
        <v>1.75242434256867</v>
      </c>
      <c r="C106" s="48" t="n">
        <f aca="false">$C$7*B106</f>
        <v>13.4722222222222</v>
      </c>
      <c r="D106" s="49" t="n">
        <f aca="false">0.5*c_rho*'P3 Energie'!E8*'P3 Energie'!E7*(C106-c_Vv)^2+'P3 Energie'!E13+'P3 Energie'!E15+'P3 Energie'!E6*$C$7</f>
        <v>18483.7646135299</v>
      </c>
      <c r="E106" s="50" t="n">
        <f aca="false">D106*C106</f>
        <v>249017.384376722</v>
      </c>
      <c r="F106" s="46" t="n">
        <v>98</v>
      </c>
      <c r="G106" s="47" t="n">
        <f aca="false">(F106-1)*$H$6</f>
        <v>1.75117284105071</v>
      </c>
      <c r="H106" s="48" t="n">
        <f aca="false">$H$7*G106</f>
        <v>13.4722222222222</v>
      </c>
      <c r="I106" s="49" t="n">
        <f aca="false">0.5*c_rho*'P3 Energie'!F8*'P3 Energie'!F7*(H106-c_Vv)^2+'P3 Energie'!F13+'P3 Energie'!F15+'P3 Energie'!F6*$H$7</f>
        <v>19302.1235696528</v>
      </c>
      <c r="J106" s="50" t="n">
        <f aca="false">I106*H106</f>
        <v>260042.498091156</v>
      </c>
    </row>
    <row r="107" customFormat="false" ht="15" hidden="false" customHeight="false" outlineLevel="0" collapsed="false">
      <c r="A107" s="46" t="n">
        <v>99</v>
      </c>
      <c r="B107" s="47" t="n">
        <f aca="false">(A107-1)*$C$6</f>
        <v>1.77049057290443</v>
      </c>
      <c r="C107" s="48" t="n">
        <f aca="false">$C$7*B107</f>
        <v>13.6111111111111</v>
      </c>
      <c r="D107" s="49" t="n">
        <f aca="false">0.5*c_rho*'P3 Energie'!E8*'P3 Energie'!E7*(C107-c_Vv)^2+'P3 Energie'!E13+'P3 Energie'!E15+'P3 Energie'!E6*$C$7</f>
        <v>18485.2671319083</v>
      </c>
      <c r="E107" s="50" t="n">
        <f aca="false">D107*C107</f>
        <v>251605.024850975</v>
      </c>
      <c r="F107" s="46" t="n">
        <v>99</v>
      </c>
      <c r="G107" s="47" t="n">
        <f aca="false">(F107-1)*$H$6</f>
        <v>1.76922616930897</v>
      </c>
      <c r="H107" s="48" t="n">
        <f aca="false">$H$7*G107</f>
        <v>13.6111111111111</v>
      </c>
      <c r="I107" s="49" t="n">
        <f aca="false">0.5*c_rho*'P3 Energie'!F8*'P3 Energie'!F7*(H107-c_Vv)^2+'P3 Energie'!F13+'P3 Energie'!F15+'P3 Energie'!F6*$H$7</f>
        <v>19303.4289908333</v>
      </c>
      <c r="J107" s="50" t="n">
        <f aca="false">I107*H107</f>
        <v>262741.116819676</v>
      </c>
    </row>
    <row r="108" customFormat="false" ht="15" hidden="false" customHeight="false" outlineLevel="0" collapsed="false">
      <c r="A108" s="46" t="n">
        <v>100</v>
      </c>
      <c r="B108" s="47" t="n">
        <f aca="false">(A108-1)*$C$6</f>
        <v>1.78855680324019</v>
      </c>
      <c r="C108" s="48" t="n">
        <f aca="false">$C$7*B108</f>
        <v>13.75</v>
      </c>
      <c r="D108" s="49" t="n">
        <f aca="false">0.5*c_rho*'P3 Energie'!E8*'P3 Energie'!E7*(C108-c_Vv)^2+'P3 Energie'!E13+'P3 Energie'!E15+'P3 Energie'!E6*$C$7</f>
        <v>18486.7850607317</v>
      </c>
      <c r="E108" s="50" t="n">
        <f aca="false">D108*C108</f>
        <v>254193.294585061</v>
      </c>
      <c r="F108" s="46" t="n">
        <v>100</v>
      </c>
      <c r="G108" s="47" t="n">
        <f aca="false">(F108-1)*$H$6</f>
        <v>1.78727949756722</v>
      </c>
      <c r="H108" s="48" t="n">
        <f aca="false">$H$7*G108</f>
        <v>13.75</v>
      </c>
      <c r="I108" s="49" t="n">
        <f aca="false">0.5*c_rho*'P3 Energie'!F8*'P3 Energie'!F7*(H108-c_Vv)^2+'P3 Energie'!F13+'P3 Energie'!F15+'P3 Energie'!F6*$H$7</f>
        <v>19304.7478009491</v>
      </c>
      <c r="J108" s="50" t="n">
        <f aca="false">I108*H108</f>
        <v>265440.28226305</v>
      </c>
    </row>
    <row r="109" customFormat="false" ht="15" hidden="false" customHeight="false" outlineLevel="0" collapsed="false">
      <c r="A109" s="46" t="n">
        <v>101</v>
      </c>
      <c r="B109" s="47" t="n">
        <f aca="false">(A109-1)*$C$6</f>
        <v>1.80662303357595</v>
      </c>
      <c r="C109" s="48" t="n">
        <f aca="false">$C$7*B109</f>
        <v>13.8888888888889</v>
      </c>
      <c r="D109" s="49" t="n">
        <f aca="false">0.5*c_rho*'P3 Energie'!E8*'P3 Energie'!E7*(C109-c_Vv)^2+'P3 Energie'!E13+'P3 Energie'!E15+'P3 Energie'!E6*$C$7</f>
        <v>18488.3184</v>
      </c>
      <c r="E109" s="50" t="n">
        <f aca="false">D109*C109</f>
        <v>256782.2</v>
      </c>
      <c r="F109" s="46" t="n">
        <v>101</v>
      </c>
      <c r="G109" s="47" t="n">
        <f aca="false">(F109-1)*$H$6</f>
        <v>1.80533282582548</v>
      </c>
      <c r="H109" s="48" t="n">
        <f aca="false">$H$7*G109</f>
        <v>13.8888888888889</v>
      </c>
      <c r="I109" s="49" t="n">
        <f aca="false">0.5*c_rho*'P3 Energie'!F8*'P3 Energie'!F7*(H109-c_Vv)^2+'P3 Energie'!F13+'P3 Energie'!F15+'P3 Energie'!F6*$H$7</f>
        <v>19306.08</v>
      </c>
      <c r="J109" s="50" t="n">
        <f aca="false">I109*H109</f>
        <v>268140</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00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4" min="2" style="0" width="12"/>
    <col collapsed="false" customWidth="true" hidden="false" outlineLevel="0" max="5" min="5" style="0" width="13"/>
    <col collapsed="false" customWidth="true" hidden="false" outlineLevel="0" max="6" min="6" style="0" width="7"/>
    <col collapsed="false" customWidth="true" hidden="false" outlineLevel="0" max="9" min="7" style="0" width="12"/>
    <col collapsed="false" customWidth="true" hidden="false" outlineLevel="0" max="10" min="10" style="0" width="13"/>
  </cols>
  <sheetData>
    <row r="1" customFormat="false" ht="17.35" hidden="false" customHeight="false" outlineLevel="0" collapsed="false">
      <c r="A1" s="1" t="s">
        <v>409</v>
      </c>
    </row>
    <row r="2" customFormat="false" ht="15" hidden="false" customHeight="false" outlineLevel="0" collapsed="false">
      <c r="A2" s="2" t="s">
        <v>398</v>
      </c>
    </row>
    <row r="3" customFormat="false" ht="15" hidden="false" customHeight="false" outlineLevel="0" collapsed="false">
      <c r="A3" s="16" t="s">
        <v>50</v>
      </c>
      <c r="F3" s="16" t="s">
        <v>399</v>
      </c>
    </row>
    <row r="4" customFormat="false" ht="15" hidden="false" customHeight="false" outlineLevel="0" collapsed="false">
      <c r="B4" s="16" t="s">
        <v>400</v>
      </c>
      <c r="C4" s="43" t="n">
        <f aca="false">SUM(E9:E1008)/1000</f>
        <v>127995.166721233</v>
      </c>
      <c r="G4" s="16" t="s">
        <v>400</v>
      </c>
      <c r="H4" s="43" t="n">
        <f aca="false">SUM(J9:J1008)/1000</f>
        <v>133703.483441037</v>
      </c>
    </row>
    <row r="5" customFormat="false" ht="15" hidden="false" customHeight="false" outlineLevel="0" collapsed="false">
      <c r="B5" s="16" t="s">
        <v>401</v>
      </c>
      <c r="C5" s="43" t="n">
        <f aca="false">SUM(E9:E1009)*C6</f>
        <v>231702.925022107</v>
      </c>
      <c r="G5" s="16" t="s">
        <v>401</v>
      </c>
      <c r="H5" s="43" t="n">
        <f aca="false">SUM(J9:J1009)*H6</f>
        <v>241863.369527234</v>
      </c>
    </row>
    <row r="6" customFormat="false" ht="15" hidden="false" customHeight="false" outlineLevel="0" collapsed="false">
      <c r="B6" s="16" t="s">
        <v>402</v>
      </c>
      <c r="C6" s="44" t="n">
        <f aca="false">'P3 Energie'!E24/1000</f>
        <v>0.00180662303357595</v>
      </c>
      <c r="G6" s="16" t="s">
        <v>402</v>
      </c>
      <c r="H6" s="44" t="n">
        <f aca="false">'P3 Energie'!F24/1000</f>
        <v>0.00180533282582548</v>
      </c>
    </row>
    <row r="7" customFormat="false" ht="15" hidden="false" customHeight="false" outlineLevel="0" collapsed="false">
      <c r="B7" s="16" t="s">
        <v>403</v>
      </c>
      <c r="C7" s="44" t="n">
        <f aca="false">'P3 Energie'!E19</f>
        <v>7.68776254413064</v>
      </c>
      <c r="G7" s="16" t="s">
        <v>403</v>
      </c>
      <c r="H7" s="44" t="n">
        <f aca="false">'P3 Energie'!F19</f>
        <v>7.69325671710328</v>
      </c>
    </row>
    <row r="8" customFormat="false" ht="15" hidden="false" customHeight="false" outlineLevel="0" collapsed="false">
      <c r="A8" s="45" t="s">
        <v>404</v>
      </c>
      <c r="B8" s="45" t="s">
        <v>405</v>
      </c>
      <c r="C8" s="45" t="s">
        <v>406</v>
      </c>
      <c r="D8" s="45" t="s">
        <v>407</v>
      </c>
      <c r="E8" s="45" t="s">
        <v>408</v>
      </c>
      <c r="F8" s="45" t="s">
        <v>404</v>
      </c>
      <c r="G8" s="45" t="s">
        <v>405</v>
      </c>
      <c r="H8" s="45" t="s">
        <v>406</v>
      </c>
      <c r="I8" s="45" t="s">
        <v>407</v>
      </c>
      <c r="J8" s="45" t="s">
        <v>408</v>
      </c>
    </row>
    <row r="9" customFormat="false" ht="15" hidden="false" customHeight="false" outlineLevel="0" collapsed="false">
      <c r="A9" s="46" t="n">
        <v>1</v>
      </c>
      <c r="B9" s="47" t="n">
        <f aca="false">(A9-1)*$C$6</f>
        <v>0</v>
      </c>
      <c r="C9" s="48" t="n">
        <f aca="false">$C$7*B9</f>
        <v>0</v>
      </c>
      <c r="D9" s="49" t="n">
        <f aca="false">0.5*c_rho*'P3 Energie'!E8*'P3 Energie'!E7*(C9-c_Vv)^2+'P3 Energie'!E13+'P3 Energie'!E15+'P3 Energie'!E6*$C$7</f>
        <v>18411.266175463</v>
      </c>
      <c r="E9" s="50" t="n">
        <f aca="false">D9*C9</f>
        <v>0</v>
      </c>
      <c r="F9" s="46" t="n">
        <v>1</v>
      </c>
      <c r="G9" s="47" t="n">
        <f aca="false">(F9-1)*$H$6</f>
        <v>0</v>
      </c>
      <c r="H9" s="48" t="n">
        <f aca="false">$H$7*G9</f>
        <v>0</v>
      </c>
      <c r="I9" s="49" t="n">
        <f aca="false">0.5*c_rho*'P3 Energie'!F8*'P3 Energie'!F7*(H9-c_Vv)^2+'P3 Energie'!F13+'P3 Energie'!F15+'P3 Energie'!F6*$H$7</f>
        <v>19239.1353240741</v>
      </c>
      <c r="J9" s="50" t="n">
        <f aca="false">I9*H9</f>
        <v>0</v>
      </c>
    </row>
    <row r="10" customFormat="false" ht="15" hidden="false" customHeight="false" outlineLevel="0" collapsed="false">
      <c r="A10" s="46" t="n">
        <v>2</v>
      </c>
      <c r="B10" s="47" t="n">
        <f aca="false">(A10-1)*$C$6</f>
        <v>0.00180662303357595</v>
      </c>
      <c r="C10" s="48" t="n">
        <f aca="false">$C$7*B10</f>
        <v>0.0138888888888889</v>
      </c>
      <c r="D10" s="49" t="n">
        <f aca="false">0.5*c_rho*'P3 Energie'!E8*'P3 Energie'!E7*(C10-c_Vv)^2+'P3 Energie'!E13+'P3 Energie'!E15+'P3 Energie'!E6*$C$7</f>
        <v>18411.2662525152</v>
      </c>
      <c r="E10" s="50" t="n">
        <f aca="false">D10*C10</f>
        <v>255.712031284933</v>
      </c>
      <c r="F10" s="46" t="n">
        <v>2</v>
      </c>
      <c r="G10" s="47" t="n">
        <f aca="false">(F10-1)*$H$6</f>
        <v>0.00180533282582548</v>
      </c>
      <c r="H10" s="48" t="n">
        <f aca="false">$H$7*G10</f>
        <v>0.0138888888888889</v>
      </c>
      <c r="I10" s="49" t="n">
        <f aca="false">0.5*c_rho*'P3 Energie'!F8*'P3 Energie'!F7*(H10-c_Vv)^2+'P3 Energie'!F13+'P3 Energie'!F15+'P3 Energie'!F6*$H$7</f>
        <v>19239.1353910188</v>
      </c>
      <c r="J10" s="50" t="n">
        <f aca="false">I10*H10</f>
        <v>267.210213764149</v>
      </c>
    </row>
    <row r="11" customFormat="false" ht="15" hidden="false" customHeight="false" outlineLevel="0" collapsed="false">
      <c r="A11" s="46" t="n">
        <v>3</v>
      </c>
      <c r="B11" s="47" t="n">
        <f aca="false">(A11-1)*$C$6</f>
        <v>0.00361324606715191</v>
      </c>
      <c r="C11" s="48" t="n">
        <f aca="false">$C$7*B11</f>
        <v>0.0277777777777778</v>
      </c>
      <c r="D11" s="49" t="n">
        <f aca="false">0.5*c_rho*'P3 Energie'!E8*'P3 Energie'!E7*(C11-c_Vv)^2+'P3 Energie'!E13+'P3 Energie'!E15+'P3 Energie'!E6*$C$7</f>
        <v>18411.2664836719</v>
      </c>
      <c r="E11" s="50" t="n">
        <f aca="false">D11*C11</f>
        <v>511.424068990885</v>
      </c>
      <c r="F11" s="46" t="n">
        <v>3</v>
      </c>
      <c r="G11" s="47" t="n">
        <f aca="false">(F11-1)*$H$6</f>
        <v>0.00361066565165095</v>
      </c>
      <c r="H11" s="48" t="n">
        <f aca="false">$H$7*G11</f>
        <v>0.0277777777777778</v>
      </c>
      <c r="I11" s="49" t="n">
        <f aca="false">0.5*c_rho*'P3 Energie'!F8*'P3 Energie'!F7*(H11-c_Vv)^2+'P3 Energie'!F13+'P3 Energie'!F15+'P3 Energie'!F6*$H$7</f>
        <v>19239.1355918528</v>
      </c>
      <c r="J11" s="50" t="n">
        <f aca="false">I11*H11</f>
        <v>534.420433107022</v>
      </c>
    </row>
    <row r="12" customFormat="false" ht="15" hidden="false" customHeight="false" outlineLevel="0" collapsed="false">
      <c r="A12" s="46" t="n">
        <v>4</v>
      </c>
      <c r="B12" s="47" t="n">
        <f aca="false">(A12-1)*$C$6</f>
        <v>0.00541986910072786</v>
      </c>
      <c r="C12" s="48" t="n">
        <f aca="false">$C$7*B12</f>
        <v>0.0416666666666667</v>
      </c>
      <c r="D12" s="49" t="n">
        <f aca="false">0.5*c_rho*'P3 Energie'!E8*'P3 Energie'!E7*(C12-c_Vv)^2+'P3 Energie'!E13+'P3 Energie'!E15+'P3 Energie'!E6*$C$7</f>
        <v>18411.266868933</v>
      </c>
      <c r="E12" s="50" t="n">
        <f aca="false">D12*C12</f>
        <v>767.136119538875</v>
      </c>
      <c r="F12" s="46" t="n">
        <v>4</v>
      </c>
      <c r="G12" s="47" t="n">
        <f aca="false">(F12-1)*$H$6</f>
        <v>0.00541599847747643</v>
      </c>
      <c r="H12" s="48" t="n">
        <f aca="false">$H$7*G12</f>
        <v>0.0416666666666667</v>
      </c>
      <c r="I12" s="49" t="n">
        <f aca="false">0.5*c_rho*'P3 Energie'!F8*'P3 Energie'!F7*(H12-c_Vv)^2+'P3 Energie'!F13+'P3 Energie'!F15+'P3 Energie'!F6*$H$7</f>
        <v>19239.1359265762</v>
      </c>
      <c r="J12" s="50" t="n">
        <f aca="false">I12*H12</f>
        <v>801.63066360734</v>
      </c>
    </row>
    <row r="13" customFormat="false" ht="15" hidden="false" customHeight="false" outlineLevel="0" collapsed="false">
      <c r="A13" s="46" t="n">
        <v>5</v>
      </c>
      <c r="B13" s="47" t="n">
        <f aca="false">(A13-1)*$C$6</f>
        <v>0.00722649213430381</v>
      </c>
      <c r="C13" s="48" t="n">
        <f aca="false">$C$7*B13</f>
        <v>0.0555555555555556</v>
      </c>
      <c r="D13" s="49" t="n">
        <f aca="false">0.5*c_rho*'P3 Energie'!E8*'P3 Energie'!E7*(C13-c_Vv)^2+'P3 Energie'!E13+'P3 Energie'!E15+'P3 Energie'!E6*$C$7</f>
        <v>18411.2674082986</v>
      </c>
      <c r="E13" s="50" t="n">
        <f aca="false">D13*C13</f>
        <v>1022.84818934992</v>
      </c>
      <c r="F13" s="46" t="n">
        <v>5</v>
      </c>
      <c r="G13" s="47" t="n">
        <f aca="false">(F13-1)*$H$6</f>
        <v>0.0072213313033019</v>
      </c>
      <c r="H13" s="48" t="n">
        <f aca="false">$H$7*G13</f>
        <v>0.0555555555555556</v>
      </c>
      <c r="I13" s="49" t="n">
        <f aca="false">0.5*c_rho*'P3 Energie'!F8*'P3 Energie'!F7*(H13-c_Vv)^2+'P3 Energie'!F13+'P3 Energie'!F15+'P3 Energie'!F6*$H$7</f>
        <v>19239.1363951889</v>
      </c>
      <c r="J13" s="50" t="n">
        <f aca="false">I13*H13</f>
        <v>1068.84091084383</v>
      </c>
    </row>
    <row r="14" customFormat="false" ht="15" hidden="false" customHeight="false" outlineLevel="0" collapsed="false">
      <c r="A14" s="46" t="n">
        <v>6</v>
      </c>
      <c r="B14" s="47" t="n">
        <f aca="false">(A14-1)*$C$6</f>
        <v>0.00903311516787977</v>
      </c>
      <c r="C14" s="48" t="n">
        <f aca="false">$C$7*B14</f>
        <v>0.0694444444444445</v>
      </c>
      <c r="D14" s="49" t="n">
        <f aca="false">0.5*c_rho*'P3 Energie'!E8*'P3 Energie'!E7*(C14-c_Vv)^2+'P3 Energie'!E13+'P3 Energie'!E15+'P3 Energie'!E6*$C$7</f>
        <v>18411.2681017686</v>
      </c>
      <c r="E14" s="50" t="n">
        <f aca="false">D14*C14</f>
        <v>1278.56028484504</v>
      </c>
      <c r="F14" s="46" t="n">
        <v>6</v>
      </c>
      <c r="G14" s="47" t="n">
        <f aca="false">(F14-1)*$H$6</f>
        <v>0.00902666412912738</v>
      </c>
      <c r="H14" s="48" t="n">
        <f aca="false">$H$7*G14</f>
        <v>0.0694444444444445</v>
      </c>
      <c r="I14" s="49" t="n">
        <f aca="false">0.5*c_rho*'P3 Energie'!F8*'P3 Energie'!F7*(H14-c_Vv)^2+'P3 Energie'!F13+'P3 Energie'!F15+'P3 Energie'!F6*$H$7</f>
        <v>19239.136997691</v>
      </c>
      <c r="J14" s="50" t="n">
        <f aca="false">I14*H14</f>
        <v>1336.05118039521</v>
      </c>
    </row>
    <row r="15" customFormat="false" ht="15" hidden="false" customHeight="false" outlineLevel="0" collapsed="false">
      <c r="A15" s="46" t="n">
        <v>7</v>
      </c>
      <c r="B15" s="47" t="n">
        <f aca="false">(A15-1)*$C$6</f>
        <v>0.0108397382014557</v>
      </c>
      <c r="C15" s="48" t="n">
        <f aca="false">$C$7*B15</f>
        <v>0.0833333333333333</v>
      </c>
      <c r="D15" s="49" t="n">
        <f aca="false">0.5*c_rho*'P3 Energie'!E8*'P3 Energie'!E7*(C15-c_Vv)^2+'P3 Energie'!E13+'P3 Energie'!E15+'P3 Energie'!E6*$C$7</f>
        <v>18411.2689493431</v>
      </c>
      <c r="E15" s="50" t="n">
        <f aca="false">D15*C15</f>
        <v>1534.27241244525</v>
      </c>
      <c r="F15" s="46" t="n">
        <v>7</v>
      </c>
      <c r="G15" s="47" t="n">
        <f aca="false">(F15-1)*$H$6</f>
        <v>0.0108319969549529</v>
      </c>
      <c r="H15" s="48" t="n">
        <f aca="false">$H$7*G15</f>
        <v>0.0833333333333333</v>
      </c>
      <c r="I15" s="49" t="n">
        <f aca="false">0.5*c_rho*'P3 Energie'!F8*'P3 Energie'!F7*(H15-c_Vv)^2+'P3 Energie'!F13+'P3 Energie'!F15+'P3 Energie'!F6*$H$7</f>
        <v>19239.1377340824</v>
      </c>
      <c r="J15" s="50" t="n">
        <f aca="false">I15*H15</f>
        <v>1603.2614778402</v>
      </c>
    </row>
    <row r="16" customFormat="false" ht="15" hidden="false" customHeight="false" outlineLevel="0" collapsed="false">
      <c r="A16" s="46" t="n">
        <v>8</v>
      </c>
      <c r="B16" s="47" t="n">
        <f aca="false">(A16-1)*$C$6</f>
        <v>0.0126463612350317</v>
      </c>
      <c r="C16" s="48" t="n">
        <f aca="false">$C$7*B16</f>
        <v>0.0972222222222222</v>
      </c>
      <c r="D16" s="49" t="n">
        <f aca="false">0.5*c_rho*'P3 Energie'!E8*'P3 Energie'!E7*(C16-c_Vv)^2+'P3 Energie'!E13+'P3 Energie'!E15+'P3 Energie'!E6*$C$7</f>
        <v>18411.269951022</v>
      </c>
      <c r="E16" s="50" t="n">
        <f aca="false">D16*C16</f>
        <v>1789.98457857158</v>
      </c>
      <c r="F16" s="46" t="n">
        <v>8</v>
      </c>
      <c r="G16" s="47" t="n">
        <f aca="false">(F16-1)*$H$6</f>
        <v>0.0126373297807783</v>
      </c>
      <c r="H16" s="48" t="n">
        <f aca="false">$H$7*G16</f>
        <v>0.0972222222222222</v>
      </c>
      <c r="I16" s="49" t="n">
        <f aca="false">0.5*c_rho*'P3 Energie'!F8*'P3 Energie'!F7*(H16-c_Vv)^2+'P3 Energie'!F13+'P3 Energie'!F15+'P3 Energie'!F6*$H$7</f>
        <v>19239.1386043632</v>
      </c>
      <c r="J16" s="50" t="n">
        <f aca="false">I16*H16</f>
        <v>1870.47180875753</v>
      </c>
    </row>
    <row r="17" customFormat="false" ht="15" hidden="false" customHeight="false" outlineLevel="0" collapsed="false">
      <c r="A17" s="46" t="n">
        <v>9</v>
      </c>
      <c r="B17" s="47" t="n">
        <f aca="false">(A17-1)*$C$6</f>
        <v>0.0144529842686076</v>
      </c>
      <c r="C17" s="48" t="n">
        <f aca="false">$C$7*B17</f>
        <v>0.111111111111111</v>
      </c>
      <c r="D17" s="49" t="n">
        <f aca="false">0.5*c_rho*'P3 Energie'!E8*'P3 Energie'!E7*(C17-c_Vv)^2+'P3 Energie'!E13+'P3 Energie'!E15+'P3 Energie'!E6*$C$7</f>
        <v>18411.2711068053</v>
      </c>
      <c r="E17" s="50" t="n">
        <f aca="false">D17*C17</f>
        <v>2045.69678964504</v>
      </c>
      <c r="F17" s="46" t="n">
        <v>9</v>
      </c>
      <c r="G17" s="47" t="n">
        <f aca="false">(F17-1)*$H$6</f>
        <v>0.0144426626066038</v>
      </c>
      <c r="H17" s="48" t="n">
        <f aca="false">$H$7*G17</f>
        <v>0.111111111111111</v>
      </c>
      <c r="I17" s="49" t="n">
        <f aca="false">0.5*c_rho*'P3 Energie'!F8*'P3 Energie'!F7*(H17-c_Vv)^2+'P3 Energie'!F13+'P3 Energie'!F15+'P3 Energie'!F6*$H$7</f>
        <v>19239.1396085333</v>
      </c>
      <c r="J17" s="50" t="n">
        <f aca="false">I17*H17</f>
        <v>2137.68217872593</v>
      </c>
    </row>
    <row r="18" customFormat="false" ht="15" hidden="false" customHeight="false" outlineLevel="0" collapsed="false">
      <c r="A18" s="46" t="n">
        <v>10</v>
      </c>
      <c r="B18" s="47" t="n">
        <f aca="false">(A18-1)*$C$6</f>
        <v>0.0162596073021836</v>
      </c>
      <c r="C18" s="48" t="n">
        <f aca="false">$C$7*B18</f>
        <v>0.125</v>
      </c>
      <c r="D18" s="49" t="n">
        <f aca="false">0.5*c_rho*'P3 Energie'!E8*'P3 Energie'!E7*(C18-c_Vv)^2+'P3 Energie'!E13+'P3 Energie'!E15+'P3 Energie'!E6*$C$7</f>
        <v>18411.2724166932</v>
      </c>
      <c r="E18" s="50" t="n">
        <f aca="false">D18*C18</f>
        <v>2301.40905208664</v>
      </c>
      <c r="F18" s="46" t="n">
        <v>10</v>
      </c>
      <c r="G18" s="47" t="n">
        <f aca="false">(F18-1)*$H$6</f>
        <v>0.0162479954324293</v>
      </c>
      <c r="H18" s="48" t="n">
        <f aca="false">$H$7*G18</f>
        <v>0.125</v>
      </c>
      <c r="I18" s="49" t="n">
        <f aca="false">0.5*c_rho*'P3 Energie'!F8*'P3 Energie'!F7*(H18-c_Vv)^2+'P3 Energie'!F13+'P3 Energie'!F15+'P3 Energie'!F6*$H$7</f>
        <v>19239.1407465928</v>
      </c>
      <c r="J18" s="50" t="n">
        <f aca="false">I18*H18</f>
        <v>2404.8925933241</v>
      </c>
    </row>
    <row r="19" customFormat="false" ht="15" hidden="false" customHeight="false" outlineLevel="0" collapsed="false">
      <c r="A19" s="46" t="n">
        <v>11</v>
      </c>
      <c r="B19" s="47" t="n">
        <f aca="false">(A19-1)*$C$6</f>
        <v>0.0180662303357595</v>
      </c>
      <c r="C19" s="48" t="n">
        <f aca="false">$C$7*B19</f>
        <v>0.138888888888889</v>
      </c>
      <c r="D19" s="49" t="n">
        <f aca="false">0.5*c_rho*'P3 Energie'!E8*'P3 Energie'!E7*(C19-c_Vv)^2+'P3 Energie'!E13+'P3 Energie'!E15+'P3 Energie'!E6*$C$7</f>
        <v>18411.2738806854</v>
      </c>
      <c r="E19" s="50" t="n">
        <f aca="false">D19*C19</f>
        <v>2557.12137231742</v>
      </c>
      <c r="F19" s="46" t="n">
        <v>11</v>
      </c>
      <c r="G19" s="47" t="n">
        <f aca="false">(F19-1)*$H$6</f>
        <v>0.0180533282582548</v>
      </c>
      <c r="H19" s="48" t="n">
        <f aca="false">$H$7*G19</f>
        <v>0.138888888888889</v>
      </c>
      <c r="I19" s="49" t="n">
        <f aca="false">0.5*c_rho*'P3 Energie'!F8*'P3 Energie'!F7*(H19-c_Vv)^2+'P3 Energie'!F13+'P3 Energie'!F15+'P3 Energie'!F6*$H$7</f>
        <v>19239.1420185417</v>
      </c>
      <c r="J19" s="50" t="n">
        <f aca="false">I19*H19</f>
        <v>2672.10305813079</v>
      </c>
    </row>
    <row r="20" customFormat="false" ht="15" hidden="false" customHeight="false" outlineLevel="0" collapsed="false">
      <c r="A20" s="46" t="n">
        <v>12</v>
      </c>
      <c r="B20" s="47" t="n">
        <f aca="false">(A20-1)*$C$6</f>
        <v>0.0198728533693355</v>
      </c>
      <c r="C20" s="48" t="n">
        <f aca="false">$C$7*B20</f>
        <v>0.152777777777778</v>
      </c>
      <c r="D20" s="49" t="n">
        <f aca="false">0.5*c_rho*'P3 Energie'!E8*'P3 Energie'!E7*(C20-c_Vv)^2+'P3 Energie'!E13+'P3 Energie'!E15+'P3 Energie'!E6*$C$7</f>
        <v>18411.2754987821</v>
      </c>
      <c r="E20" s="50" t="n">
        <f aca="false">D20*C20</f>
        <v>2812.83375675838</v>
      </c>
      <c r="F20" s="46" t="n">
        <v>12</v>
      </c>
      <c r="G20" s="47" t="n">
        <f aca="false">(F20-1)*$H$6</f>
        <v>0.0198586610840802</v>
      </c>
      <c r="H20" s="48" t="n">
        <f aca="false">$H$7*G20</f>
        <v>0.152777777777778</v>
      </c>
      <c r="I20" s="49" t="n">
        <f aca="false">0.5*c_rho*'P3 Energie'!F8*'P3 Energie'!F7*(H20-c_Vv)^2+'P3 Energie'!F13+'P3 Energie'!F15+'P3 Energie'!F6*$H$7</f>
        <v>19239.1434243799</v>
      </c>
      <c r="J20" s="50" t="n">
        <f aca="false">I20*H20</f>
        <v>2939.3135787247</v>
      </c>
    </row>
    <row r="21" customFormat="false" ht="15" hidden="false" customHeight="false" outlineLevel="0" collapsed="false">
      <c r="A21" s="46" t="n">
        <v>13</v>
      </c>
      <c r="B21" s="47" t="n">
        <f aca="false">(A21-1)*$C$6</f>
        <v>0.0216794764029114</v>
      </c>
      <c r="C21" s="48" t="n">
        <f aca="false">$C$7*B21</f>
        <v>0.166666666666667</v>
      </c>
      <c r="D21" s="49" t="n">
        <f aca="false">0.5*c_rho*'P3 Energie'!E8*'P3 Energie'!E7*(C21-c_Vv)^2+'P3 Energie'!E13+'P3 Energie'!E15+'P3 Energie'!E6*$C$7</f>
        <v>18411.2772709833</v>
      </c>
      <c r="E21" s="50" t="n">
        <f aca="false">D21*C21</f>
        <v>3068.54621183055</v>
      </c>
      <c r="F21" s="46" t="n">
        <v>13</v>
      </c>
      <c r="G21" s="47" t="n">
        <f aca="false">(F21-1)*$H$6</f>
        <v>0.0216639939099057</v>
      </c>
      <c r="H21" s="48" t="n">
        <f aca="false">$H$7*G21</f>
        <v>0.166666666666667</v>
      </c>
      <c r="I21" s="49" t="n">
        <f aca="false">0.5*c_rho*'P3 Energie'!F8*'P3 Energie'!F7*(H21-c_Vv)^2+'P3 Energie'!F13+'P3 Energie'!F15+'P3 Energie'!F6*$H$7</f>
        <v>19239.1449641074</v>
      </c>
      <c r="J21" s="50" t="n">
        <f aca="false">I21*H21</f>
        <v>3206.52416068457</v>
      </c>
    </row>
    <row r="22" customFormat="false" ht="15" hidden="false" customHeight="false" outlineLevel="0" collapsed="false">
      <c r="A22" s="46" t="n">
        <v>14</v>
      </c>
      <c r="B22" s="47" t="n">
        <f aca="false">(A22-1)*$C$6</f>
        <v>0.0234860994364874</v>
      </c>
      <c r="C22" s="48" t="n">
        <f aca="false">$C$7*B22</f>
        <v>0.180555555555556</v>
      </c>
      <c r="D22" s="49" t="n">
        <f aca="false">0.5*c_rho*'P3 Energie'!E8*'P3 Energie'!E7*(C22-c_Vv)^2+'P3 Energie'!E13+'P3 Energie'!E15+'P3 Energie'!E6*$C$7</f>
        <v>18411.2791972889</v>
      </c>
      <c r="E22" s="50" t="n">
        <f aca="false">D22*C22</f>
        <v>3324.25874395494</v>
      </c>
      <c r="F22" s="46" t="n">
        <v>14</v>
      </c>
      <c r="G22" s="47" t="n">
        <f aca="false">(F22-1)*$H$6</f>
        <v>0.0234693267357312</v>
      </c>
      <c r="H22" s="48" t="n">
        <f aca="false">$H$7*G22</f>
        <v>0.180555555555556</v>
      </c>
      <c r="I22" s="49" t="n">
        <f aca="false">0.5*c_rho*'P3 Energie'!F8*'P3 Energie'!F7*(H22-c_Vv)^2+'P3 Energie'!F13+'P3 Energie'!F15+'P3 Energie'!F6*$H$7</f>
        <v>19239.1466377243</v>
      </c>
      <c r="J22" s="50" t="n">
        <f aca="false">I22*H22</f>
        <v>3473.73480958911</v>
      </c>
    </row>
    <row r="23" customFormat="false" ht="15" hidden="false" customHeight="false" outlineLevel="0" collapsed="false">
      <c r="A23" s="46" t="n">
        <v>15</v>
      </c>
      <c r="B23" s="47" t="n">
        <f aca="false">(A23-1)*$C$6</f>
        <v>0.0252927224700633</v>
      </c>
      <c r="C23" s="48" t="n">
        <f aca="false">$C$7*B23</f>
        <v>0.194444444444444</v>
      </c>
      <c r="D23" s="49" t="n">
        <f aca="false">0.5*c_rho*'P3 Energie'!E8*'P3 Energie'!E7*(C23-c_Vv)^2+'P3 Energie'!E13+'P3 Energie'!E15+'P3 Energie'!E6*$C$7</f>
        <v>18411.281277699</v>
      </c>
      <c r="E23" s="50" t="n">
        <f aca="false">D23*C23</f>
        <v>3579.97135955258</v>
      </c>
      <c r="F23" s="46" t="n">
        <v>15</v>
      </c>
      <c r="G23" s="47" t="n">
        <f aca="false">(F23-1)*$H$6</f>
        <v>0.0252746595615567</v>
      </c>
      <c r="H23" s="48" t="n">
        <f aca="false">$H$7*G23</f>
        <v>0.194444444444444</v>
      </c>
      <c r="I23" s="49" t="n">
        <f aca="false">0.5*c_rho*'P3 Energie'!F8*'P3 Energie'!F7*(H23-c_Vv)^2+'P3 Energie'!F13+'P3 Energie'!F15+'P3 Energie'!F6*$H$7</f>
        <v>19239.1484452306</v>
      </c>
      <c r="J23" s="50" t="n">
        <f aca="false">I23*H23</f>
        <v>3740.94553101705</v>
      </c>
    </row>
    <row r="24" customFormat="false" ht="15" hidden="false" customHeight="false" outlineLevel="0" collapsed="false">
      <c r="A24" s="46" t="n">
        <v>16</v>
      </c>
      <c r="B24" s="47" t="n">
        <f aca="false">(A24-1)*$C$6</f>
        <v>0.0270993455036393</v>
      </c>
      <c r="C24" s="48" t="n">
        <f aca="false">$C$7*B24</f>
        <v>0.208333333333333</v>
      </c>
      <c r="D24" s="49" t="n">
        <f aca="false">0.5*c_rho*'P3 Energie'!E8*'P3 Energie'!E7*(C24-c_Vv)^2+'P3 Energie'!E13+'P3 Energie'!E15+'P3 Energie'!E6*$C$7</f>
        <v>18411.2835122135</v>
      </c>
      <c r="E24" s="50" t="n">
        <f aca="false">D24*C24</f>
        <v>3835.68406504448</v>
      </c>
      <c r="F24" s="46" t="n">
        <v>16</v>
      </c>
      <c r="G24" s="47" t="n">
        <f aca="false">(F24-1)*$H$6</f>
        <v>0.0270799923873821</v>
      </c>
      <c r="H24" s="48" t="n">
        <f aca="false">$H$7*G24</f>
        <v>0.208333333333333</v>
      </c>
      <c r="I24" s="49" t="n">
        <f aca="false">0.5*c_rho*'P3 Energie'!F8*'P3 Energie'!F7*(H24-c_Vv)^2+'P3 Energie'!F13+'P3 Energie'!F15+'P3 Energie'!F6*$H$7</f>
        <v>19239.1503866262</v>
      </c>
      <c r="J24" s="50" t="n">
        <f aca="false">I24*H24</f>
        <v>4008.15633054712</v>
      </c>
    </row>
    <row r="25" customFormat="false" ht="15" hidden="false" customHeight="false" outlineLevel="0" collapsed="false">
      <c r="A25" s="46" t="n">
        <v>17</v>
      </c>
      <c r="B25" s="47" t="n">
        <f aca="false">(A25-1)*$C$6</f>
        <v>0.0289059685372153</v>
      </c>
      <c r="C25" s="48" t="n">
        <f aca="false">$C$7*B25</f>
        <v>0.222222222222222</v>
      </c>
      <c r="D25" s="49" t="n">
        <f aca="false">0.5*c_rho*'P3 Energie'!E8*'P3 Energie'!E7*(C25-c_Vv)^2+'P3 Energie'!E13+'P3 Energie'!E15+'P3 Energie'!E6*$C$7</f>
        <v>18411.2859008325</v>
      </c>
      <c r="E25" s="50" t="n">
        <f aca="false">D25*C25</f>
        <v>4091.39686685166</v>
      </c>
      <c r="F25" s="46" t="n">
        <v>17</v>
      </c>
      <c r="G25" s="47" t="n">
        <f aca="false">(F25-1)*$H$6</f>
        <v>0.0288853252132076</v>
      </c>
      <c r="H25" s="48" t="n">
        <f aca="false">$H$7*G25</f>
        <v>0.222222222222222</v>
      </c>
      <c r="I25" s="49" t="n">
        <f aca="false">0.5*c_rho*'P3 Energie'!F8*'P3 Energie'!F7*(H25-c_Vv)^2+'P3 Energie'!F13+'P3 Energie'!F15+'P3 Energie'!F6*$H$7</f>
        <v>19239.1524619111</v>
      </c>
      <c r="J25" s="50" t="n">
        <f aca="false">I25*H25</f>
        <v>4275.36721375803</v>
      </c>
    </row>
    <row r="26" customFormat="false" ht="15" hidden="false" customHeight="false" outlineLevel="0" collapsed="false">
      <c r="A26" s="46" t="n">
        <v>18</v>
      </c>
      <c r="B26" s="47" t="n">
        <f aca="false">(A26-1)*$C$6</f>
        <v>0.0307125915707912</v>
      </c>
      <c r="C26" s="48" t="n">
        <f aca="false">$C$7*B26</f>
        <v>0.236111111111111</v>
      </c>
      <c r="D26" s="49" t="n">
        <f aca="false">0.5*c_rho*'P3 Energie'!E8*'P3 Energie'!E7*(C26-c_Vv)^2+'P3 Energie'!E13+'P3 Energie'!E15+'P3 Energie'!E6*$C$7</f>
        <v>18411.2884435559</v>
      </c>
      <c r="E26" s="50" t="n">
        <f aca="false">D26*C26</f>
        <v>4347.10977139513</v>
      </c>
      <c r="F26" s="46" t="n">
        <v>18</v>
      </c>
      <c r="G26" s="47" t="n">
        <f aca="false">(F26-1)*$H$6</f>
        <v>0.0306906580390331</v>
      </c>
      <c r="H26" s="48" t="n">
        <f aca="false">$H$7*G26</f>
        <v>0.236111111111111</v>
      </c>
      <c r="I26" s="49" t="n">
        <f aca="false">0.5*c_rho*'P3 Energie'!F8*'P3 Energie'!F7*(H26-c_Vv)^2+'P3 Energie'!F13+'P3 Energie'!F15+'P3 Energie'!F6*$H$7</f>
        <v>19239.1546710854</v>
      </c>
      <c r="J26" s="50" t="n">
        <f aca="false">I26*H26</f>
        <v>4542.5781862285</v>
      </c>
    </row>
    <row r="27" customFormat="false" ht="15" hidden="false" customHeight="false" outlineLevel="0" collapsed="false">
      <c r="A27" s="46" t="n">
        <v>19</v>
      </c>
      <c r="B27" s="47" t="n">
        <f aca="false">(A27-1)*$C$6</f>
        <v>0.0325192146043672</v>
      </c>
      <c r="C27" s="48" t="n">
        <f aca="false">$C$7*B27</f>
        <v>0.25</v>
      </c>
      <c r="D27" s="49" t="n">
        <f aca="false">0.5*c_rho*'P3 Energie'!E8*'P3 Energie'!E7*(C27-c_Vv)^2+'P3 Energie'!E13+'P3 Energie'!E15+'P3 Energie'!E6*$C$7</f>
        <v>18411.2911403837</v>
      </c>
      <c r="E27" s="50" t="n">
        <f aca="false">D27*C27</f>
        <v>4602.82278509593</v>
      </c>
      <c r="F27" s="46" t="n">
        <v>19</v>
      </c>
      <c r="G27" s="47" t="n">
        <f aca="false">(F27-1)*$H$6</f>
        <v>0.0324959908648586</v>
      </c>
      <c r="H27" s="48" t="n">
        <f aca="false">$H$7*G27</f>
        <v>0.25</v>
      </c>
      <c r="I27" s="49" t="n">
        <f aca="false">0.5*c_rho*'P3 Energie'!F8*'P3 Energie'!F7*(H27-c_Vv)^2+'P3 Energie'!F13+'P3 Energie'!F15+'P3 Energie'!F6*$H$7</f>
        <v>19239.1570141491</v>
      </c>
      <c r="J27" s="50" t="n">
        <f aca="false">I27*H27</f>
        <v>4809.78925353727</v>
      </c>
    </row>
    <row r="28" customFormat="false" ht="15" hidden="false" customHeight="false" outlineLevel="0" collapsed="false">
      <c r="A28" s="46" t="n">
        <v>20</v>
      </c>
      <c r="B28" s="47" t="n">
        <f aca="false">(A28-1)*$C$6</f>
        <v>0.0343258376379431</v>
      </c>
      <c r="C28" s="48" t="n">
        <f aca="false">$C$7*B28</f>
        <v>0.263888888888889</v>
      </c>
      <c r="D28" s="49" t="n">
        <f aca="false">0.5*c_rho*'P3 Energie'!E8*'P3 Energie'!E7*(C28-c_Vv)^2+'P3 Energie'!E13+'P3 Energie'!E15+'P3 Energie'!E6*$C$7</f>
        <v>18411.293991316</v>
      </c>
      <c r="E28" s="50" t="n">
        <f aca="false">D28*C28</f>
        <v>4858.53591437506</v>
      </c>
      <c r="F28" s="46" t="n">
        <v>20</v>
      </c>
      <c r="G28" s="47" t="n">
        <f aca="false">(F28-1)*$H$6</f>
        <v>0.034301323690684</v>
      </c>
      <c r="H28" s="48" t="n">
        <f aca="false">$H$7*G28</f>
        <v>0.263888888888889</v>
      </c>
      <c r="I28" s="49" t="n">
        <f aca="false">0.5*c_rho*'P3 Energie'!F8*'P3 Energie'!F7*(H28-c_Vv)^2+'P3 Energie'!F13+'P3 Energie'!F15+'P3 Energie'!F6*$H$7</f>
        <v>19239.1594911021</v>
      </c>
      <c r="J28" s="50" t="n">
        <f aca="false">I28*H28</f>
        <v>5077.00042126305</v>
      </c>
    </row>
    <row r="29" customFormat="false" ht="15" hidden="false" customHeight="false" outlineLevel="0" collapsed="false">
      <c r="A29" s="46" t="n">
        <v>21</v>
      </c>
      <c r="B29" s="47" t="n">
        <f aca="false">(A29-1)*$C$6</f>
        <v>0.0361324606715191</v>
      </c>
      <c r="C29" s="48" t="n">
        <f aca="false">$C$7*B29</f>
        <v>0.277777777777778</v>
      </c>
      <c r="D29" s="49" t="n">
        <f aca="false">0.5*c_rho*'P3 Energie'!E8*'P3 Energie'!E7*(C29-c_Vv)^2+'P3 Energie'!E13+'P3 Energie'!E15+'P3 Energie'!E6*$C$7</f>
        <v>18411.2969963528</v>
      </c>
      <c r="E29" s="50" t="n">
        <f aca="false">D29*C29</f>
        <v>5114.24916565355</v>
      </c>
      <c r="F29" s="46" t="n">
        <v>21</v>
      </c>
      <c r="G29" s="47" t="n">
        <f aca="false">(F29-1)*$H$6</f>
        <v>0.0361066565165095</v>
      </c>
      <c r="H29" s="48" t="n">
        <f aca="false">$H$7*G29</f>
        <v>0.277777777777778</v>
      </c>
      <c r="I29" s="49" t="n">
        <f aca="false">0.5*c_rho*'P3 Energie'!F8*'P3 Energie'!F7*(H29-c_Vv)^2+'P3 Energie'!F13+'P3 Energie'!F15+'P3 Energie'!F6*$H$7</f>
        <v>19239.1621019444</v>
      </c>
      <c r="J29" s="50" t="n">
        <f aca="false">I29*H29</f>
        <v>5344.21169498457</v>
      </c>
    </row>
    <row r="30" customFormat="false" ht="15" hidden="false" customHeight="false" outlineLevel="0" collapsed="false">
      <c r="A30" s="46" t="n">
        <v>22</v>
      </c>
      <c r="B30" s="47" t="n">
        <f aca="false">(A30-1)*$C$6</f>
        <v>0.037939083705095</v>
      </c>
      <c r="C30" s="48" t="n">
        <f aca="false">$C$7*B30</f>
        <v>0.291666666666667</v>
      </c>
      <c r="D30" s="49" t="n">
        <f aca="false">0.5*c_rho*'P3 Energie'!E8*'P3 Energie'!E7*(C30-c_Vv)^2+'P3 Energie'!E13+'P3 Energie'!E15+'P3 Energie'!E6*$C$7</f>
        <v>18411.300155494</v>
      </c>
      <c r="E30" s="50" t="n">
        <f aca="false">D30*C30</f>
        <v>5369.96254535241</v>
      </c>
      <c r="F30" s="46" t="n">
        <v>22</v>
      </c>
      <c r="G30" s="47" t="n">
        <f aca="false">(F30-1)*$H$6</f>
        <v>0.037911989342335</v>
      </c>
      <c r="H30" s="48" t="n">
        <f aca="false">$H$7*G30</f>
        <v>0.291666666666667</v>
      </c>
      <c r="I30" s="49" t="n">
        <f aca="false">0.5*c_rho*'P3 Energie'!F8*'P3 Energie'!F7*(H30-c_Vv)^2+'P3 Energie'!F13+'P3 Energie'!F15+'P3 Energie'!F6*$H$7</f>
        <v>19239.1648466762</v>
      </c>
      <c r="J30" s="50" t="n">
        <f aca="false">I30*H30</f>
        <v>5611.42308028055</v>
      </c>
    </row>
    <row r="31" customFormat="false" ht="15" hidden="false" customHeight="false" outlineLevel="0" collapsed="false">
      <c r="A31" s="46" t="n">
        <v>23</v>
      </c>
      <c r="B31" s="47" t="n">
        <f aca="false">(A31-1)*$C$6</f>
        <v>0.039745706738671</v>
      </c>
      <c r="C31" s="48" t="n">
        <f aca="false">$C$7*B31</f>
        <v>0.305555555555556</v>
      </c>
      <c r="D31" s="49" t="n">
        <f aca="false">0.5*c_rho*'P3 Energie'!E8*'P3 Energie'!E7*(C31-c_Vv)^2+'P3 Energie'!E13+'P3 Energie'!E15+'P3 Energie'!E6*$C$7</f>
        <v>18411.3034687396</v>
      </c>
      <c r="E31" s="50" t="n">
        <f aca="false">D31*C31</f>
        <v>5625.67605989267</v>
      </c>
      <c r="F31" s="46" t="n">
        <v>23</v>
      </c>
      <c r="G31" s="47" t="n">
        <f aca="false">(F31-1)*$H$6</f>
        <v>0.0397173221681605</v>
      </c>
      <c r="H31" s="48" t="n">
        <f aca="false">$H$7*G31</f>
        <v>0.305555555555556</v>
      </c>
      <c r="I31" s="49" t="n">
        <f aca="false">0.5*c_rho*'P3 Energie'!F8*'P3 Energie'!F7*(H31-c_Vv)^2+'P3 Energie'!F13+'P3 Energie'!F15+'P3 Energie'!F6*$H$7</f>
        <v>19239.1677252972</v>
      </c>
      <c r="J31" s="50" t="n">
        <f aca="false">I31*H31</f>
        <v>5878.63458272971</v>
      </c>
    </row>
    <row r="32" customFormat="false" ht="15" hidden="false" customHeight="false" outlineLevel="0" collapsed="false">
      <c r="A32" s="46" t="n">
        <v>24</v>
      </c>
      <c r="B32" s="47" t="n">
        <f aca="false">(A32-1)*$C$6</f>
        <v>0.0415523297722469</v>
      </c>
      <c r="C32" s="48" t="n">
        <f aca="false">$C$7*B32</f>
        <v>0.319444444444444</v>
      </c>
      <c r="D32" s="49" t="n">
        <f aca="false">0.5*c_rho*'P3 Energie'!E8*'P3 Energie'!E7*(C32-c_Vv)^2+'P3 Energie'!E13+'P3 Energie'!E15+'P3 Energie'!E6*$C$7</f>
        <v>18411.3069360897</v>
      </c>
      <c r="E32" s="50" t="n">
        <f aca="false">D32*C32</f>
        <v>5881.38971569534</v>
      </c>
      <c r="F32" s="46" t="n">
        <v>24</v>
      </c>
      <c r="G32" s="47" t="n">
        <f aca="false">(F32-1)*$H$6</f>
        <v>0.0415226549939859</v>
      </c>
      <c r="H32" s="48" t="n">
        <f aca="false">$H$7*G32</f>
        <v>0.319444444444444</v>
      </c>
      <c r="I32" s="49" t="n">
        <f aca="false">0.5*c_rho*'P3 Energie'!F8*'P3 Energie'!F7*(H32-c_Vv)^2+'P3 Energie'!F13+'P3 Energie'!F15+'P3 Energie'!F6*$H$7</f>
        <v>19239.1707378076</v>
      </c>
      <c r="J32" s="50" t="n">
        <f aca="false">I32*H32</f>
        <v>6145.84620791077</v>
      </c>
    </row>
    <row r="33" customFormat="false" ht="15" hidden="false" customHeight="false" outlineLevel="0" collapsed="false">
      <c r="A33" s="46" t="n">
        <v>25</v>
      </c>
      <c r="B33" s="47" t="n">
        <f aca="false">(A33-1)*$C$6</f>
        <v>0.0433589528058229</v>
      </c>
      <c r="C33" s="48" t="n">
        <f aca="false">$C$7*B33</f>
        <v>0.333333333333333</v>
      </c>
      <c r="D33" s="49" t="n">
        <f aca="false">0.5*c_rho*'P3 Energie'!E8*'P3 Energie'!E7*(C33-c_Vv)^2+'P3 Energie'!E13+'P3 Energie'!E15+'P3 Energie'!E6*$C$7</f>
        <v>18411.3105575443</v>
      </c>
      <c r="E33" s="50" t="n">
        <f aca="false">D33*C33</f>
        <v>6137.10351918143</v>
      </c>
      <c r="F33" s="46" t="n">
        <v>25</v>
      </c>
      <c r="G33" s="47" t="n">
        <f aca="false">(F33-1)*$H$6</f>
        <v>0.0433279878198114</v>
      </c>
      <c r="H33" s="48" t="n">
        <f aca="false">$H$7*G33</f>
        <v>0.333333333333333</v>
      </c>
      <c r="I33" s="49" t="n">
        <f aca="false">0.5*c_rho*'P3 Energie'!F8*'P3 Energie'!F7*(H33-c_Vv)^2+'P3 Energie'!F13+'P3 Energie'!F15+'P3 Energie'!F6*$H$7</f>
        <v>19239.1738842074</v>
      </c>
      <c r="J33" s="50" t="n">
        <f aca="false">I33*H33</f>
        <v>6413.05796140247</v>
      </c>
    </row>
    <row r="34" customFormat="false" ht="15" hidden="false" customHeight="false" outlineLevel="0" collapsed="false">
      <c r="A34" s="46" t="n">
        <v>26</v>
      </c>
      <c r="B34" s="47" t="n">
        <f aca="false">(A34-1)*$C$6</f>
        <v>0.0451655758393988</v>
      </c>
      <c r="C34" s="48" t="n">
        <f aca="false">$C$7*B34</f>
        <v>0.347222222222222</v>
      </c>
      <c r="D34" s="49" t="n">
        <f aca="false">0.5*c_rho*'P3 Energie'!E8*'P3 Energie'!E7*(C34-c_Vv)^2+'P3 Energie'!E13+'P3 Energie'!E15+'P3 Energie'!E6*$C$7</f>
        <v>18411.3143331033</v>
      </c>
      <c r="E34" s="50" t="n">
        <f aca="false">D34*C34</f>
        <v>6392.81747677198</v>
      </c>
      <c r="F34" s="46" t="n">
        <v>26</v>
      </c>
      <c r="G34" s="47" t="n">
        <f aca="false">(F34-1)*$H$6</f>
        <v>0.0451333206456369</v>
      </c>
      <c r="H34" s="48" t="n">
        <f aca="false">$H$7*G34</f>
        <v>0.347222222222222</v>
      </c>
      <c r="I34" s="49" t="n">
        <f aca="false">0.5*c_rho*'P3 Energie'!F8*'P3 Energie'!F7*(H34-c_Vv)^2+'P3 Energie'!F13+'P3 Energie'!F15+'P3 Energie'!F6*$H$7</f>
        <v>19239.1771644965</v>
      </c>
      <c r="J34" s="50" t="n">
        <f aca="false">I34*H34</f>
        <v>6680.26984878352</v>
      </c>
    </row>
    <row r="35" customFormat="false" ht="15" hidden="false" customHeight="false" outlineLevel="0" collapsed="false">
      <c r="A35" s="46" t="n">
        <v>27</v>
      </c>
      <c r="B35" s="47" t="n">
        <f aca="false">(A35-1)*$C$6</f>
        <v>0.0469721988729748</v>
      </c>
      <c r="C35" s="48" t="n">
        <f aca="false">$C$7*B35</f>
        <v>0.361111111111111</v>
      </c>
      <c r="D35" s="49" t="n">
        <f aca="false">0.5*c_rho*'P3 Energie'!E8*'P3 Energie'!E7*(C35-c_Vv)^2+'P3 Energie'!E13+'P3 Energie'!E15+'P3 Energie'!E6*$C$7</f>
        <v>18411.3182627668</v>
      </c>
      <c r="E35" s="50" t="n">
        <f aca="false">D35*C35</f>
        <v>6648.531594888</v>
      </c>
      <c r="F35" s="46" t="n">
        <v>27</v>
      </c>
      <c r="G35" s="47" t="n">
        <f aca="false">(F35-1)*$H$6</f>
        <v>0.0469386534714624</v>
      </c>
      <c r="H35" s="48" t="n">
        <f aca="false">$H$7*G35</f>
        <v>0.361111111111111</v>
      </c>
      <c r="I35" s="49" t="n">
        <f aca="false">0.5*c_rho*'P3 Energie'!F8*'P3 Energie'!F7*(H35-c_Vv)^2+'P3 Energie'!F13+'P3 Energie'!F15+'P3 Energie'!F6*$H$7</f>
        <v>19239.180578675</v>
      </c>
      <c r="J35" s="50" t="n">
        <f aca="false">I35*H35</f>
        <v>6947.48187563264</v>
      </c>
    </row>
    <row r="36" customFormat="false" ht="15" hidden="false" customHeight="false" outlineLevel="0" collapsed="false">
      <c r="A36" s="46" t="n">
        <v>28</v>
      </c>
      <c r="B36" s="47" t="n">
        <f aca="false">(A36-1)*$C$6</f>
        <v>0.0487788219065507</v>
      </c>
      <c r="C36" s="48" t="n">
        <f aca="false">$C$7*B36</f>
        <v>0.375</v>
      </c>
      <c r="D36" s="49" t="n">
        <f aca="false">0.5*c_rho*'P3 Energie'!E8*'P3 Energie'!E7*(C36-c_Vv)^2+'P3 Energie'!E13+'P3 Energie'!E15+'P3 Energie'!E6*$C$7</f>
        <v>18411.3223465347</v>
      </c>
      <c r="E36" s="50" t="n">
        <f aca="false">D36*C36</f>
        <v>6904.2458799505</v>
      </c>
      <c r="F36" s="46" t="n">
        <v>28</v>
      </c>
      <c r="G36" s="47" t="n">
        <f aca="false">(F36-1)*$H$6</f>
        <v>0.0487439862972878</v>
      </c>
      <c r="H36" s="48" t="n">
        <f aca="false">$H$7*G36</f>
        <v>0.375</v>
      </c>
      <c r="I36" s="49" t="n">
        <f aca="false">0.5*c_rho*'P3 Energie'!F8*'P3 Energie'!F7*(H36-c_Vv)^2+'P3 Energie'!F13+'P3 Energie'!F15+'P3 Energie'!F6*$H$7</f>
        <v>19239.1841267428</v>
      </c>
      <c r="J36" s="50" t="n">
        <f aca="false">I36*H36</f>
        <v>7214.69404752856</v>
      </c>
    </row>
    <row r="37" customFormat="false" ht="15" hidden="false" customHeight="false" outlineLevel="0" collapsed="false">
      <c r="A37" s="46" t="n">
        <v>29</v>
      </c>
      <c r="B37" s="47" t="n">
        <f aca="false">(A37-1)*$C$6</f>
        <v>0.0505854449401267</v>
      </c>
      <c r="C37" s="48" t="n">
        <f aca="false">$C$7*B37</f>
        <v>0.388888888888889</v>
      </c>
      <c r="D37" s="49" t="n">
        <f aca="false">0.5*c_rho*'P3 Energie'!E8*'P3 Energie'!E7*(C37-c_Vv)^2+'P3 Energie'!E13+'P3 Energie'!E15+'P3 Energie'!E6*$C$7</f>
        <v>18411.326584407</v>
      </c>
      <c r="E37" s="50" t="n">
        <f aca="false">D37*C37</f>
        <v>7159.9603383805</v>
      </c>
      <c r="F37" s="46" t="n">
        <v>29</v>
      </c>
      <c r="G37" s="47" t="n">
        <f aca="false">(F37-1)*$H$6</f>
        <v>0.0505493191231133</v>
      </c>
      <c r="H37" s="48" t="n">
        <f aca="false">$H$7*G37</f>
        <v>0.388888888888889</v>
      </c>
      <c r="I37" s="49" t="n">
        <f aca="false">0.5*c_rho*'P3 Energie'!F8*'P3 Energie'!F7*(H37-c_Vv)^2+'P3 Energie'!F13+'P3 Energie'!F15+'P3 Energie'!F6*$H$7</f>
        <v>19239.1878087</v>
      </c>
      <c r="J37" s="50" t="n">
        <f aca="false">I37*H37</f>
        <v>7481.90637005</v>
      </c>
    </row>
    <row r="38" customFormat="false" ht="15" hidden="false" customHeight="false" outlineLevel="0" collapsed="false">
      <c r="A38" s="46" t="n">
        <v>30</v>
      </c>
      <c r="B38" s="47" t="n">
        <f aca="false">(A38-1)*$C$6</f>
        <v>0.0523920679737027</v>
      </c>
      <c r="C38" s="48" t="n">
        <f aca="false">$C$7*B38</f>
        <v>0.402777777777778</v>
      </c>
      <c r="D38" s="49" t="n">
        <f aca="false">0.5*c_rho*'P3 Energie'!E8*'P3 Energie'!E7*(C38-c_Vv)^2+'P3 Energie'!E13+'P3 Energie'!E15+'P3 Energie'!E6*$C$7</f>
        <v>18411.3309763838</v>
      </c>
      <c r="E38" s="50" t="n">
        <f aca="false">D38*C38</f>
        <v>7415.67497659903</v>
      </c>
      <c r="F38" s="46" t="n">
        <v>30</v>
      </c>
      <c r="G38" s="47" t="n">
        <f aca="false">(F38-1)*$H$6</f>
        <v>0.0523546519489388</v>
      </c>
      <c r="H38" s="48" t="n">
        <f aca="false">$H$7*G38</f>
        <v>0.402777777777778</v>
      </c>
      <c r="I38" s="49" t="n">
        <f aca="false">0.5*c_rho*'P3 Energie'!F8*'P3 Energie'!F7*(H38-c_Vv)^2+'P3 Energie'!F13+'P3 Energie'!F15+'P3 Energie'!F6*$H$7</f>
        <v>19239.1916245465</v>
      </c>
      <c r="J38" s="50" t="n">
        <f aca="false">I38*H38</f>
        <v>7749.11884877569</v>
      </c>
    </row>
    <row r="39" customFormat="false" ht="15" hidden="false" customHeight="false" outlineLevel="0" collapsed="false">
      <c r="A39" s="46" t="n">
        <v>31</v>
      </c>
      <c r="B39" s="47" t="n">
        <f aca="false">(A39-1)*$C$6</f>
        <v>0.0541986910072786</v>
      </c>
      <c r="C39" s="48" t="n">
        <f aca="false">$C$7*B39</f>
        <v>0.416666666666667</v>
      </c>
      <c r="D39" s="49" t="n">
        <f aca="false">0.5*c_rho*'P3 Energie'!E8*'P3 Energie'!E7*(C39-c_Vv)^2+'P3 Energie'!E13+'P3 Energie'!E15+'P3 Energie'!E6*$C$7</f>
        <v>18411.3355224651</v>
      </c>
      <c r="E39" s="50" t="n">
        <f aca="false">D39*C39</f>
        <v>7671.3898010271</v>
      </c>
      <c r="F39" s="46" t="n">
        <v>31</v>
      </c>
      <c r="G39" s="47" t="n">
        <f aca="false">(F39-1)*$H$6</f>
        <v>0.0541599847747643</v>
      </c>
      <c r="H39" s="48" t="n">
        <f aca="false">$H$7*G39</f>
        <v>0.416666666666667</v>
      </c>
      <c r="I39" s="49" t="n">
        <f aca="false">0.5*c_rho*'P3 Energie'!F8*'P3 Energie'!F7*(H39-c_Vv)^2+'P3 Energie'!F13+'P3 Energie'!F15+'P3 Energie'!F6*$H$7</f>
        <v>19239.1955742824</v>
      </c>
      <c r="J39" s="50" t="n">
        <f aca="false">I39*H39</f>
        <v>8016.33148928434</v>
      </c>
    </row>
    <row r="40" customFormat="false" ht="15" hidden="false" customHeight="false" outlineLevel="0" collapsed="false">
      <c r="A40" s="46" t="n">
        <v>32</v>
      </c>
      <c r="B40" s="47" t="n">
        <f aca="false">(A40-1)*$C$6</f>
        <v>0.0560053140408546</v>
      </c>
      <c r="C40" s="48" t="n">
        <f aca="false">$C$7*B40</f>
        <v>0.430555555555556</v>
      </c>
      <c r="D40" s="49" t="n">
        <f aca="false">0.5*c_rho*'P3 Energie'!E8*'P3 Energie'!E7*(C40-c_Vv)^2+'P3 Energie'!E13+'P3 Energie'!E15+'P3 Energie'!E6*$C$7</f>
        <v>18411.3402226508</v>
      </c>
      <c r="E40" s="50" t="n">
        <f aca="false">D40*C40</f>
        <v>7927.10481808574</v>
      </c>
      <c r="F40" s="46" t="n">
        <v>32</v>
      </c>
      <c r="G40" s="47" t="n">
        <f aca="false">(F40-1)*$H$6</f>
        <v>0.0559653176005897</v>
      </c>
      <c r="H40" s="48" t="n">
        <f aca="false">$H$7*G40</f>
        <v>0.430555555555556</v>
      </c>
      <c r="I40" s="49" t="n">
        <f aca="false">0.5*c_rho*'P3 Energie'!F8*'P3 Energie'!F7*(H40-c_Vv)^2+'P3 Energie'!F13+'P3 Energie'!F15+'P3 Energie'!F6*$H$7</f>
        <v>19239.1996579076</v>
      </c>
      <c r="J40" s="50" t="n">
        <f aca="false">I40*H40</f>
        <v>8283.54429715468</v>
      </c>
    </row>
    <row r="41" customFormat="false" ht="15" hidden="false" customHeight="false" outlineLevel="0" collapsed="false">
      <c r="A41" s="46" t="n">
        <v>33</v>
      </c>
      <c r="B41" s="47" t="n">
        <f aca="false">(A41-1)*$C$6</f>
        <v>0.0578119370744305</v>
      </c>
      <c r="C41" s="48" t="n">
        <f aca="false">$C$7*B41</f>
        <v>0.444444444444444</v>
      </c>
      <c r="D41" s="49" t="n">
        <f aca="false">0.5*c_rho*'P3 Energie'!E8*'P3 Energie'!E7*(C41-c_Vv)^2+'P3 Energie'!E13+'P3 Energie'!E15+'P3 Energie'!E6*$C$7</f>
        <v>18411.3450769409</v>
      </c>
      <c r="E41" s="50" t="n">
        <f aca="false">D41*C41</f>
        <v>8182.82003419595</v>
      </c>
      <c r="F41" s="46" t="n">
        <v>33</v>
      </c>
      <c r="G41" s="47" t="n">
        <f aca="false">(F41-1)*$H$6</f>
        <v>0.0577706504264152</v>
      </c>
      <c r="H41" s="48" t="n">
        <f aca="false">$H$7*G41</f>
        <v>0.444444444444445</v>
      </c>
      <c r="I41" s="49" t="n">
        <f aca="false">0.5*c_rho*'P3 Energie'!F8*'P3 Energie'!F7*(H41-c_Vv)^2+'P3 Energie'!F13+'P3 Energie'!F15+'P3 Energie'!F6*$H$7</f>
        <v>19239.2038754222</v>
      </c>
      <c r="J41" s="50" t="n">
        <f aca="false">I41*H41</f>
        <v>8550.75727796543</v>
      </c>
    </row>
    <row r="42" customFormat="false" ht="15" hidden="false" customHeight="false" outlineLevel="0" collapsed="false">
      <c r="A42" s="46" t="n">
        <v>34</v>
      </c>
      <c r="B42" s="47" t="n">
        <f aca="false">(A42-1)*$C$6</f>
        <v>0.0596185601080065</v>
      </c>
      <c r="C42" s="48" t="n">
        <f aca="false">$C$7*B42</f>
        <v>0.458333333333333</v>
      </c>
      <c r="D42" s="49" t="n">
        <f aca="false">0.5*c_rho*'P3 Energie'!E8*'P3 Energie'!E7*(C42-c_Vv)^2+'P3 Energie'!E13+'P3 Energie'!E15+'P3 Energie'!E6*$C$7</f>
        <v>18411.3500853355</v>
      </c>
      <c r="E42" s="50" t="n">
        <f aca="false">D42*C42</f>
        <v>8438.53545577877</v>
      </c>
      <c r="F42" s="46" t="n">
        <v>34</v>
      </c>
      <c r="G42" s="47" t="n">
        <f aca="false">(F42-1)*$H$6</f>
        <v>0.0595759832522407</v>
      </c>
      <c r="H42" s="48" t="n">
        <f aca="false">$H$7*G42</f>
        <v>0.458333333333333</v>
      </c>
      <c r="I42" s="49" t="n">
        <f aca="false">0.5*c_rho*'P3 Energie'!F8*'P3 Energie'!F7*(H42-c_Vv)^2+'P3 Energie'!F13+'P3 Energie'!F15+'P3 Energie'!F6*$H$7</f>
        <v>19239.2082268262</v>
      </c>
      <c r="J42" s="50" t="n">
        <f aca="false">I42*H42</f>
        <v>8817.97043729532</v>
      </c>
    </row>
    <row r="43" customFormat="false" ht="15" hidden="false" customHeight="false" outlineLevel="0" collapsed="false">
      <c r="A43" s="46" t="n">
        <v>35</v>
      </c>
      <c r="B43" s="47" t="n">
        <f aca="false">(A43-1)*$C$6</f>
        <v>0.0614251831415824</v>
      </c>
      <c r="C43" s="48" t="n">
        <f aca="false">$C$7*B43</f>
        <v>0.472222222222222</v>
      </c>
      <c r="D43" s="49" t="n">
        <f aca="false">0.5*c_rho*'P3 Energie'!E8*'P3 Energie'!E7*(C43-c_Vv)^2+'P3 Energie'!E13+'P3 Energie'!E15+'P3 Energie'!E6*$C$7</f>
        <v>18411.3552478345</v>
      </c>
      <c r="E43" s="50" t="n">
        <f aca="false">D43*C43</f>
        <v>8694.2510892552</v>
      </c>
      <c r="F43" s="46" t="n">
        <v>35</v>
      </c>
      <c r="G43" s="47" t="n">
        <f aca="false">(F43-1)*$H$6</f>
        <v>0.0613813160780662</v>
      </c>
      <c r="H43" s="48" t="n">
        <f aca="false">$H$7*G43</f>
        <v>0.472222222222222</v>
      </c>
      <c r="I43" s="49" t="n">
        <f aca="false">0.5*c_rho*'P3 Energie'!F8*'P3 Energie'!F7*(H43-c_Vv)^2+'P3 Energie'!F13+'P3 Energie'!F15+'P3 Energie'!F6*$H$7</f>
        <v>19239.2127121194</v>
      </c>
      <c r="J43" s="50" t="n">
        <f aca="false">I43*H43</f>
        <v>9085.18378072307</v>
      </c>
    </row>
    <row r="44" customFormat="false" ht="15" hidden="false" customHeight="false" outlineLevel="0" collapsed="false">
      <c r="A44" s="46" t="n">
        <v>36</v>
      </c>
      <c r="B44" s="47" t="n">
        <f aca="false">(A44-1)*$C$6</f>
        <v>0.0632318061751584</v>
      </c>
      <c r="C44" s="48" t="n">
        <f aca="false">$C$7*B44</f>
        <v>0.486111111111111</v>
      </c>
      <c r="D44" s="49" t="n">
        <f aca="false">0.5*c_rho*'P3 Energie'!E8*'P3 Energie'!E7*(C44-c_Vv)^2+'P3 Energie'!E13+'P3 Energie'!E15+'P3 Energie'!E6*$C$7</f>
        <v>18411.360564438</v>
      </c>
      <c r="E44" s="50" t="n">
        <f aca="false">D44*C44</f>
        <v>8949.96694104626</v>
      </c>
      <c r="F44" s="46" t="n">
        <v>36</v>
      </c>
      <c r="G44" s="47" t="n">
        <f aca="false">(F44-1)*$H$6</f>
        <v>0.0631866489038916</v>
      </c>
      <c r="H44" s="48" t="n">
        <f aca="false">$H$7*G44</f>
        <v>0.486111111111111</v>
      </c>
      <c r="I44" s="49" t="n">
        <f aca="false">0.5*c_rho*'P3 Energie'!F8*'P3 Energie'!F7*(H44-c_Vv)^2+'P3 Energie'!F13+'P3 Energie'!F15+'P3 Energie'!F6*$H$7</f>
        <v>19239.2173313021</v>
      </c>
      <c r="J44" s="50" t="n">
        <f aca="false">I44*H44</f>
        <v>9352.3973138274</v>
      </c>
    </row>
    <row r="45" customFormat="false" ht="15" hidden="false" customHeight="false" outlineLevel="0" collapsed="false">
      <c r="A45" s="46" t="n">
        <v>37</v>
      </c>
      <c r="B45" s="47" t="n">
        <f aca="false">(A45-1)*$C$6</f>
        <v>0.0650384292087343</v>
      </c>
      <c r="C45" s="48" t="n">
        <f aca="false">$C$7*B45</f>
        <v>0.5</v>
      </c>
      <c r="D45" s="49" t="n">
        <f aca="false">0.5*c_rho*'P3 Energie'!E8*'P3 Energie'!E7*(C45-c_Vv)^2+'P3 Energie'!E13+'P3 Energie'!E15+'P3 Energie'!E6*$C$7</f>
        <v>18411.366035146</v>
      </c>
      <c r="E45" s="50" t="n">
        <f aca="false">D45*C45</f>
        <v>9205.68301757299</v>
      </c>
      <c r="F45" s="46" t="n">
        <v>37</v>
      </c>
      <c r="G45" s="47" t="n">
        <f aca="false">(F45-1)*$H$6</f>
        <v>0.0649919817297171</v>
      </c>
      <c r="H45" s="48" t="n">
        <f aca="false">$H$7*G45</f>
        <v>0.5</v>
      </c>
      <c r="I45" s="49" t="n">
        <f aca="false">0.5*c_rho*'P3 Energie'!F8*'P3 Energie'!F7*(H45-c_Vv)^2+'P3 Energie'!F13+'P3 Energie'!F15+'P3 Energie'!F6*$H$7</f>
        <v>19239.2220843741</v>
      </c>
      <c r="J45" s="50" t="n">
        <f aca="false">I45*H45</f>
        <v>9619.61104218704</v>
      </c>
    </row>
    <row r="46" customFormat="false" ht="15" hidden="false" customHeight="false" outlineLevel="0" collapsed="false">
      <c r="A46" s="46" t="n">
        <v>38</v>
      </c>
      <c r="B46" s="47" t="n">
        <f aca="false">(A46-1)*$C$6</f>
        <v>0.0668450522423103</v>
      </c>
      <c r="C46" s="48" t="n">
        <f aca="false">$C$7*B46</f>
        <v>0.513888888888889</v>
      </c>
      <c r="D46" s="49" t="n">
        <f aca="false">0.5*c_rho*'P3 Energie'!E8*'P3 Energie'!E7*(C46-c_Vv)^2+'P3 Energie'!E13+'P3 Energie'!E15+'P3 Energie'!E6*$C$7</f>
        <v>18411.3716599584</v>
      </c>
      <c r="E46" s="50" t="n">
        <f aca="false">D46*C46</f>
        <v>9461.39932525638</v>
      </c>
      <c r="F46" s="46" t="n">
        <v>38</v>
      </c>
      <c r="G46" s="47" t="n">
        <f aca="false">(F46-1)*$H$6</f>
        <v>0.0667973145555426</v>
      </c>
      <c r="H46" s="48" t="n">
        <f aca="false">$H$7*G46</f>
        <v>0.513888888888889</v>
      </c>
      <c r="I46" s="49" t="n">
        <f aca="false">0.5*c_rho*'P3 Energie'!F8*'P3 Energie'!F7*(H46-c_Vv)^2+'P3 Energie'!F13+'P3 Energie'!F15+'P3 Energie'!F6*$H$7</f>
        <v>19239.2269713354</v>
      </c>
      <c r="J46" s="50" t="n">
        <f aca="false">I46*H46</f>
        <v>9886.8249713807</v>
      </c>
    </row>
    <row r="47" customFormat="false" ht="15" hidden="false" customHeight="false" outlineLevel="0" collapsed="false">
      <c r="A47" s="46" t="n">
        <v>39</v>
      </c>
      <c r="B47" s="47" t="n">
        <f aca="false">(A47-1)*$C$6</f>
        <v>0.0686516752758862</v>
      </c>
      <c r="C47" s="48" t="n">
        <f aca="false">$C$7*B47</f>
        <v>0.527777777777778</v>
      </c>
      <c r="D47" s="49" t="n">
        <f aca="false">0.5*c_rho*'P3 Energie'!E8*'P3 Energie'!E7*(C47-c_Vv)^2+'P3 Energie'!E13+'P3 Energie'!E15+'P3 Energie'!E6*$C$7</f>
        <v>18411.3774388752</v>
      </c>
      <c r="E47" s="50" t="n">
        <f aca="false">D47*C47</f>
        <v>9717.11587051747</v>
      </c>
      <c r="F47" s="46" t="n">
        <v>39</v>
      </c>
      <c r="G47" s="47" t="n">
        <f aca="false">(F47-1)*$H$6</f>
        <v>0.0686026473813681</v>
      </c>
      <c r="H47" s="48" t="n">
        <f aca="false">$H$7*G47</f>
        <v>0.527777777777778</v>
      </c>
      <c r="I47" s="49" t="n">
        <f aca="false">0.5*c_rho*'P3 Energie'!F8*'P3 Energie'!F7*(H47-c_Vv)^2+'P3 Energie'!F13+'P3 Energie'!F15+'P3 Energie'!F6*$H$7</f>
        <v>19239.2319921861</v>
      </c>
      <c r="J47" s="50" t="n">
        <f aca="false">I47*H47</f>
        <v>10154.0391069871</v>
      </c>
    </row>
    <row r="48" customFormat="false" ht="15" hidden="false" customHeight="false" outlineLevel="0" collapsed="false">
      <c r="A48" s="46" t="n">
        <v>40</v>
      </c>
      <c r="B48" s="47" t="n">
        <f aca="false">(A48-1)*$C$6</f>
        <v>0.0704582983094622</v>
      </c>
      <c r="C48" s="48" t="n">
        <f aca="false">$C$7*B48</f>
        <v>0.541666666666667</v>
      </c>
      <c r="D48" s="49" t="n">
        <f aca="false">0.5*c_rho*'P3 Energie'!E8*'P3 Energie'!E7*(C48-c_Vv)^2+'P3 Energie'!E13+'P3 Energie'!E15+'P3 Energie'!E6*$C$7</f>
        <v>18411.3833718965</v>
      </c>
      <c r="E48" s="50" t="n">
        <f aca="false">D48*C48</f>
        <v>9972.83265977727</v>
      </c>
      <c r="F48" s="46" t="n">
        <v>40</v>
      </c>
      <c r="G48" s="47" t="n">
        <f aca="false">(F48-1)*$H$6</f>
        <v>0.0704079802071936</v>
      </c>
      <c r="H48" s="48" t="n">
        <f aca="false">$H$7*G48</f>
        <v>0.541666666666667</v>
      </c>
      <c r="I48" s="49" t="n">
        <f aca="false">0.5*c_rho*'P3 Energie'!F8*'P3 Energie'!F7*(H48-c_Vv)^2+'P3 Energie'!F13+'P3 Energie'!F15+'P3 Energie'!F6*$H$7</f>
        <v>19239.2371469262</v>
      </c>
      <c r="J48" s="50" t="n">
        <f aca="false">I48*H48</f>
        <v>10421.253454585</v>
      </c>
    </row>
    <row r="49" customFormat="false" ht="15" hidden="false" customHeight="false" outlineLevel="0" collapsed="false">
      <c r="A49" s="46" t="n">
        <v>41</v>
      </c>
      <c r="B49" s="47" t="n">
        <f aca="false">(A49-1)*$C$6</f>
        <v>0.0722649213430381</v>
      </c>
      <c r="C49" s="48" t="n">
        <f aca="false">$C$7*B49</f>
        <v>0.555555555555556</v>
      </c>
      <c r="D49" s="49" t="n">
        <f aca="false">0.5*c_rho*'P3 Energie'!E8*'P3 Energie'!E7*(C49-c_Vv)^2+'P3 Energie'!E13+'P3 Energie'!E15+'P3 Energie'!E6*$C$7</f>
        <v>18411.3894590222</v>
      </c>
      <c r="E49" s="50" t="n">
        <f aca="false">D49*C49</f>
        <v>10228.5496994568</v>
      </c>
      <c r="F49" s="46" t="n">
        <v>41</v>
      </c>
      <c r="G49" s="47" t="n">
        <f aca="false">(F49-1)*$H$6</f>
        <v>0.072213313033019</v>
      </c>
      <c r="H49" s="48" t="n">
        <f aca="false">$H$7*G49</f>
        <v>0.555555555555556</v>
      </c>
      <c r="I49" s="49" t="n">
        <f aca="false">0.5*c_rho*'P3 Energie'!F8*'P3 Energie'!F7*(H49-c_Vv)^2+'P3 Energie'!F13+'P3 Energie'!F15+'P3 Energie'!F6*$H$7</f>
        <v>19239.2424355556</v>
      </c>
      <c r="J49" s="50" t="n">
        <f aca="false">I49*H49</f>
        <v>10688.4680197531</v>
      </c>
    </row>
    <row r="50" customFormat="false" ht="15" hidden="false" customHeight="false" outlineLevel="0" collapsed="false">
      <c r="A50" s="46" t="n">
        <v>42</v>
      </c>
      <c r="B50" s="47" t="n">
        <f aca="false">(A50-1)*$C$6</f>
        <v>0.0740715443766141</v>
      </c>
      <c r="C50" s="48" t="n">
        <f aca="false">$C$7*B50</f>
        <v>0.569444444444445</v>
      </c>
      <c r="D50" s="49" t="n">
        <f aca="false">0.5*c_rho*'P3 Energie'!E8*'P3 Energie'!E7*(C50-c_Vv)^2+'P3 Energie'!E13+'P3 Energie'!E15+'P3 Energie'!E6*$C$7</f>
        <v>18411.3957002524</v>
      </c>
      <c r="E50" s="50" t="n">
        <f aca="false">D50*C50</f>
        <v>10484.2669959771</v>
      </c>
      <c r="F50" s="46" t="n">
        <v>42</v>
      </c>
      <c r="G50" s="47" t="n">
        <f aca="false">(F50-1)*$H$6</f>
        <v>0.0740186458588445</v>
      </c>
      <c r="H50" s="48" t="n">
        <f aca="false">$H$7*G50</f>
        <v>0.569444444444444</v>
      </c>
      <c r="I50" s="49" t="n">
        <f aca="false">0.5*c_rho*'P3 Energie'!F8*'P3 Energie'!F7*(H50-c_Vv)^2+'P3 Energie'!F13+'P3 Energie'!F15+'P3 Energie'!F6*$H$7</f>
        <v>19239.2478580743</v>
      </c>
      <c r="J50" s="50" t="n">
        <f aca="false">I50*H50</f>
        <v>10955.6828080701</v>
      </c>
    </row>
    <row r="51" customFormat="false" ht="15" hidden="false" customHeight="false" outlineLevel="0" collapsed="false">
      <c r="A51" s="46" t="n">
        <v>43</v>
      </c>
      <c r="B51" s="47" t="n">
        <f aca="false">(A51-1)*$C$6</f>
        <v>0.07587816741019</v>
      </c>
      <c r="C51" s="48" t="n">
        <f aca="false">$C$7*B51</f>
        <v>0.583333333333333</v>
      </c>
      <c r="D51" s="49" t="n">
        <f aca="false">0.5*c_rho*'P3 Energie'!E8*'P3 Energie'!E7*(C51-c_Vv)^2+'P3 Energie'!E13+'P3 Energie'!E15+'P3 Energie'!E6*$C$7</f>
        <v>18411.4020955871</v>
      </c>
      <c r="E51" s="50" t="n">
        <f aca="false">D51*C51</f>
        <v>10739.9845557591</v>
      </c>
      <c r="F51" s="46" t="n">
        <v>43</v>
      </c>
      <c r="G51" s="47" t="n">
        <f aca="false">(F51-1)*$H$6</f>
        <v>0.07582397868467</v>
      </c>
      <c r="H51" s="48" t="n">
        <f aca="false">$H$7*G51</f>
        <v>0.583333333333333</v>
      </c>
      <c r="I51" s="49" t="n">
        <f aca="false">0.5*c_rho*'P3 Energie'!F8*'P3 Energie'!F7*(H51-c_Vv)^2+'P3 Energie'!F13+'P3 Energie'!F15+'P3 Energie'!F6*$H$7</f>
        <v>19239.2534144824</v>
      </c>
      <c r="J51" s="50" t="n">
        <f aca="false">I51*H51</f>
        <v>11222.8978251147</v>
      </c>
    </row>
    <row r="52" customFormat="false" ht="15" hidden="false" customHeight="false" outlineLevel="0" collapsed="false">
      <c r="A52" s="46" t="n">
        <v>44</v>
      </c>
      <c r="B52" s="47" t="n">
        <f aca="false">(A52-1)*$C$6</f>
        <v>0.077684790443766</v>
      </c>
      <c r="C52" s="48" t="n">
        <f aca="false">$C$7*B52</f>
        <v>0.597222222222222</v>
      </c>
      <c r="D52" s="49" t="n">
        <f aca="false">0.5*c_rho*'P3 Energie'!E8*'P3 Energie'!E7*(C52-c_Vv)^2+'P3 Energie'!E13+'P3 Energie'!E15+'P3 Energie'!E6*$C$7</f>
        <v>18411.4086450261</v>
      </c>
      <c r="E52" s="50" t="n">
        <f aca="false">D52*C52</f>
        <v>10995.7023852239</v>
      </c>
      <c r="F52" s="46" t="n">
        <v>44</v>
      </c>
      <c r="G52" s="47" t="n">
        <f aca="false">(F52-1)*$H$6</f>
        <v>0.0776293115104954</v>
      </c>
      <c r="H52" s="48" t="n">
        <f aca="false">$H$7*G52</f>
        <v>0.597222222222222</v>
      </c>
      <c r="I52" s="49" t="n">
        <f aca="false">0.5*c_rho*'P3 Energie'!F8*'P3 Energie'!F7*(H52-c_Vv)^2+'P3 Energie'!F13+'P3 Energie'!F15+'P3 Energie'!F6*$H$7</f>
        <v>19239.2591047799</v>
      </c>
      <c r="J52" s="50" t="n">
        <f aca="false">I52*H52</f>
        <v>11490.1130764658</v>
      </c>
    </row>
    <row r="53" customFormat="false" ht="15" hidden="false" customHeight="false" outlineLevel="0" collapsed="false">
      <c r="A53" s="46" t="n">
        <v>45</v>
      </c>
      <c r="B53" s="47" t="n">
        <f aca="false">(A53-1)*$C$6</f>
        <v>0.0794914134773419</v>
      </c>
      <c r="C53" s="48" t="n">
        <f aca="false">$C$7*B53</f>
        <v>0.611111111111111</v>
      </c>
      <c r="D53" s="49" t="n">
        <f aca="false">0.5*c_rho*'P3 Energie'!E8*'P3 Energie'!E7*(C53-c_Vv)^2+'P3 Energie'!E13+'P3 Energie'!E15+'P3 Energie'!E6*$C$7</f>
        <v>18411.4153485697</v>
      </c>
      <c r="E53" s="50" t="n">
        <f aca="false">D53*C53</f>
        <v>11251.4204907926</v>
      </c>
      <c r="F53" s="46" t="n">
        <v>45</v>
      </c>
      <c r="G53" s="47" t="n">
        <f aca="false">(F53-1)*$H$6</f>
        <v>0.0794346443363209</v>
      </c>
      <c r="H53" s="48" t="n">
        <f aca="false">$H$7*G53</f>
        <v>0.611111111111111</v>
      </c>
      <c r="I53" s="49" t="n">
        <f aca="false">0.5*c_rho*'P3 Energie'!F8*'P3 Energie'!F7*(H53-c_Vv)^2+'P3 Energie'!F13+'P3 Energie'!F15+'P3 Energie'!F6*$H$7</f>
        <v>19239.2649289667</v>
      </c>
      <c r="J53" s="50" t="n">
        <f aca="false">I53*H53</f>
        <v>11757.3285677019</v>
      </c>
    </row>
    <row r="54" customFormat="false" ht="15" hidden="false" customHeight="false" outlineLevel="0" collapsed="false">
      <c r="A54" s="46" t="n">
        <v>46</v>
      </c>
      <c r="B54" s="47" t="n">
        <f aca="false">(A54-1)*$C$6</f>
        <v>0.0812980365109179</v>
      </c>
      <c r="C54" s="48" t="n">
        <f aca="false">$C$7*B54</f>
        <v>0.625</v>
      </c>
      <c r="D54" s="49" t="n">
        <f aca="false">0.5*c_rho*'P3 Energie'!E8*'P3 Energie'!E7*(C54-c_Vv)^2+'P3 Energie'!E13+'P3 Energie'!E15+'P3 Energie'!E6*$C$7</f>
        <v>18411.4222062177</v>
      </c>
      <c r="E54" s="50" t="n">
        <f aca="false">D54*C54</f>
        <v>11507.138878886</v>
      </c>
      <c r="F54" s="46" t="n">
        <v>46</v>
      </c>
      <c r="G54" s="47" t="n">
        <f aca="false">(F54-1)*$H$6</f>
        <v>0.0812399771621464</v>
      </c>
      <c r="H54" s="48" t="n">
        <f aca="false">$H$7*G54</f>
        <v>0.625</v>
      </c>
      <c r="I54" s="49" t="n">
        <f aca="false">0.5*c_rho*'P3 Energie'!F8*'P3 Energie'!F7*(H54-c_Vv)^2+'P3 Energie'!F13+'P3 Energie'!F15+'P3 Energie'!F6*$H$7</f>
        <v>19239.2708870428</v>
      </c>
      <c r="J54" s="50" t="n">
        <f aca="false">I54*H54</f>
        <v>12024.5443044018</v>
      </c>
    </row>
    <row r="55" customFormat="false" ht="15" hidden="false" customHeight="false" outlineLevel="0" collapsed="false">
      <c r="A55" s="46" t="n">
        <v>47</v>
      </c>
      <c r="B55" s="47" t="n">
        <f aca="false">(A55-1)*$C$6</f>
        <v>0.0831046595444939</v>
      </c>
      <c r="C55" s="48" t="n">
        <f aca="false">$C$7*B55</f>
        <v>0.638888888888889</v>
      </c>
      <c r="D55" s="49" t="n">
        <f aca="false">0.5*c_rho*'P3 Energie'!E8*'P3 Energie'!E7*(C55-c_Vv)^2+'P3 Energie'!E13+'P3 Energie'!E15+'P3 Energie'!E6*$C$7</f>
        <v>18411.4292179701</v>
      </c>
      <c r="E55" s="50" t="n">
        <f aca="false">D55*C55</f>
        <v>11762.8575559253</v>
      </c>
      <c r="F55" s="46" t="n">
        <v>47</v>
      </c>
      <c r="G55" s="47" t="n">
        <f aca="false">(F55-1)*$H$6</f>
        <v>0.0830453099879719</v>
      </c>
      <c r="H55" s="48" t="n">
        <f aca="false">$H$7*G55</f>
        <v>0.638888888888889</v>
      </c>
      <c r="I55" s="49" t="n">
        <f aca="false">0.5*c_rho*'P3 Energie'!F8*'P3 Energie'!F7*(H55-c_Vv)^2+'P3 Energie'!F13+'P3 Energie'!F15+'P3 Energie'!F6*$H$7</f>
        <v>19239.2769790083</v>
      </c>
      <c r="J55" s="50" t="n">
        <f aca="false">I55*H55</f>
        <v>12291.7602921442</v>
      </c>
    </row>
    <row r="56" customFormat="false" ht="15" hidden="false" customHeight="false" outlineLevel="0" collapsed="false">
      <c r="A56" s="46" t="n">
        <v>48</v>
      </c>
      <c r="B56" s="47" t="n">
        <f aca="false">(A56-1)*$C$6</f>
        <v>0.0849112825780698</v>
      </c>
      <c r="C56" s="48" t="n">
        <f aca="false">$C$7*B56</f>
        <v>0.652777777777778</v>
      </c>
      <c r="D56" s="49" t="n">
        <f aca="false">0.5*c_rho*'P3 Energie'!E8*'P3 Energie'!E7*(C56-c_Vv)^2+'P3 Energie'!E13+'P3 Energie'!E15+'P3 Energie'!E6*$C$7</f>
        <v>18411.436383827</v>
      </c>
      <c r="E56" s="50" t="n">
        <f aca="false">D56*C56</f>
        <v>12018.5765283315</v>
      </c>
      <c r="F56" s="46" t="n">
        <v>48</v>
      </c>
      <c r="G56" s="47" t="n">
        <f aca="false">(F56-1)*$H$6</f>
        <v>0.0848506428137974</v>
      </c>
      <c r="H56" s="48" t="n">
        <f aca="false">$H$7*G56</f>
        <v>0.652777777777778</v>
      </c>
      <c r="I56" s="49" t="n">
        <f aca="false">0.5*c_rho*'P3 Energie'!F8*'P3 Energie'!F7*(H56-c_Vv)^2+'P3 Energie'!F13+'P3 Energie'!F15+'P3 Energie'!F6*$H$7</f>
        <v>19239.2832048632</v>
      </c>
      <c r="J56" s="50" t="n">
        <f aca="false">I56*H56</f>
        <v>12558.9765365079</v>
      </c>
    </row>
    <row r="57" customFormat="false" ht="15" hidden="false" customHeight="false" outlineLevel="0" collapsed="false">
      <c r="A57" s="46" t="n">
        <v>49</v>
      </c>
      <c r="B57" s="47" t="n">
        <f aca="false">(A57-1)*$C$6</f>
        <v>0.0867179056116458</v>
      </c>
      <c r="C57" s="48" t="n">
        <f aca="false">$C$7*B57</f>
        <v>0.666666666666667</v>
      </c>
      <c r="D57" s="49" t="n">
        <f aca="false">0.5*c_rho*'P3 Energie'!E8*'P3 Energie'!E7*(C57-c_Vv)^2+'P3 Energie'!E13+'P3 Energie'!E15+'P3 Energie'!E6*$C$7</f>
        <v>18411.4437037883</v>
      </c>
      <c r="E57" s="50" t="n">
        <f aca="false">D57*C57</f>
        <v>12274.2958025255</v>
      </c>
      <c r="F57" s="46" t="n">
        <v>49</v>
      </c>
      <c r="G57" s="47" t="n">
        <f aca="false">(F57-1)*$H$6</f>
        <v>0.0866559756396228</v>
      </c>
      <c r="H57" s="48" t="n">
        <f aca="false">$H$7*G57</f>
        <v>0.666666666666667</v>
      </c>
      <c r="I57" s="49" t="n">
        <f aca="false">0.5*c_rho*'P3 Energie'!F8*'P3 Energie'!F7*(H57-c_Vv)^2+'P3 Energie'!F13+'P3 Energie'!F15+'P3 Energie'!F6*$H$7</f>
        <v>19239.2895646074</v>
      </c>
      <c r="J57" s="50" t="n">
        <f aca="false">I57*H57</f>
        <v>12826.1930430716</v>
      </c>
    </row>
    <row r="58" customFormat="false" ht="15" hidden="false" customHeight="false" outlineLevel="0" collapsed="false">
      <c r="A58" s="46" t="n">
        <v>50</v>
      </c>
      <c r="B58" s="47" t="n">
        <f aca="false">(A58-1)*$C$6</f>
        <v>0.0885245286452217</v>
      </c>
      <c r="C58" s="48" t="n">
        <f aca="false">$C$7*B58</f>
        <v>0.680555555555556</v>
      </c>
      <c r="D58" s="49" t="n">
        <f aca="false">0.5*c_rho*'P3 Energie'!E8*'P3 Energie'!E7*(C58-c_Vv)^2+'P3 Energie'!E13+'P3 Energie'!E15+'P3 Energie'!E6*$C$7</f>
        <v>18411.4511778541</v>
      </c>
      <c r="E58" s="50" t="n">
        <f aca="false">D58*C58</f>
        <v>12530.0153849285</v>
      </c>
      <c r="F58" s="46" t="n">
        <v>50</v>
      </c>
      <c r="G58" s="47" t="n">
        <f aca="false">(F58-1)*$H$6</f>
        <v>0.0884613084654483</v>
      </c>
      <c r="H58" s="48" t="n">
        <f aca="false">$H$7*G58</f>
        <v>0.680555555555556</v>
      </c>
      <c r="I58" s="49" t="n">
        <f aca="false">0.5*c_rho*'P3 Energie'!F8*'P3 Energie'!F7*(H58-c_Vv)^2+'P3 Energie'!F13+'P3 Energie'!F15+'P3 Energie'!F6*$H$7</f>
        <v>19239.296058241</v>
      </c>
      <c r="J58" s="50" t="n">
        <f aca="false">I58*H58</f>
        <v>13093.409817414</v>
      </c>
    </row>
    <row r="59" customFormat="false" ht="15" hidden="false" customHeight="false" outlineLevel="0" collapsed="false">
      <c r="A59" s="46" t="n">
        <v>51</v>
      </c>
      <c r="B59" s="47" t="n">
        <f aca="false">(A59-1)*$C$6</f>
        <v>0.0903311516787977</v>
      </c>
      <c r="C59" s="48" t="n">
        <f aca="false">$C$7*B59</f>
        <v>0.694444444444445</v>
      </c>
      <c r="D59" s="49" t="n">
        <f aca="false">0.5*c_rho*'P3 Energie'!E8*'P3 Energie'!E7*(C59-c_Vv)^2+'P3 Energie'!E13+'P3 Energie'!E15+'P3 Energie'!E6*$C$7</f>
        <v>18411.4588060243</v>
      </c>
      <c r="E59" s="50" t="n">
        <f aca="false">D59*C59</f>
        <v>12785.7352819613</v>
      </c>
      <c r="F59" s="46" t="n">
        <v>51</v>
      </c>
      <c r="G59" s="47" t="n">
        <f aca="false">(F59-1)*$H$6</f>
        <v>0.0902666412912738</v>
      </c>
      <c r="H59" s="48" t="n">
        <f aca="false">$H$7*G59</f>
        <v>0.694444444444445</v>
      </c>
      <c r="I59" s="49" t="n">
        <f aca="false">0.5*c_rho*'P3 Energie'!F8*'P3 Energie'!F7*(H59-c_Vv)^2+'P3 Energie'!F13+'P3 Energie'!F15+'P3 Energie'!F6*$H$7</f>
        <v>19239.3026857639</v>
      </c>
      <c r="J59" s="50" t="n">
        <f aca="false">I59*H59</f>
        <v>13360.6268651138</v>
      </c>
    </row>
    <row r="60" customFormat="false" ht="15" hidden="false" customHeight="false" outlineLevel="0" collapsed="false">
      <c r="A60" s="46" t="n">
        <v>52</v>
      </c>
      <c r="B60" s="47" t="n">
        <f aca="false">(A60-1)*$C$6</f>
        <v>0.0921377747123736</v>
      </c>
      <c r="C60" s="48" t="n">
        <f aca="false">$C$7*B60</f>
        <v>0.708333333333333</v>
      </c>
      <c r="D60" s="49" t="n">
        <f aca="false">0.5*c_rho*'P3 Energie'!E8*'P3 Energie'!E7*(C60-c_Vv)^2+'P3 Energie'!E13+'P3 Energie'!E15+'P3 Energie'!E6*$C$7</f>
        <v>18411.466588299</v>
      </c>
      <c r="E60" s="50" t="n">
        <f aca="false">D60*C60</f>
        <v>13041.4555000451</v>
      </c>
      <c r="F60" s="46" t="n">
        <v>52</v>
      </c>
      <c r="G60" s="47" t="n">
        <f aca="false">(F60-1)*$H$6</f>
        <v>0.0920719741170993</v>
      </c>
      <c r="H60" s="48" t="n">
        <f aca="false">$H$7*G60</f>
        <v>0.708333333333333</v>
      </c>
      <c r="I60" s="49" t="n">
        <f aca="false">0.5*c_rho*'P3 Energie'!F8*'P3 Energie'!F7*(H60-c_Vv)^2+'P3 Energie'!F13+'P3 Energie'!F15+'P3 Energie'!F6*$H$7</f>
        <v>19239.3094471762</v>
      </c>
      <c r="J60" s="50" t="n">
        <f aca="false">I60*H60</f>
        <v>13627.8441917498</v>
      </c>
    </row>
    <row r="61" customFormat="false" ht="15" hidden="false" customHeight="false" outlineLevel="0" collapsed="false">
      <c r="A61" s="46" t="n">
        <v>53</v>
      </c>
      <c r="B61" s="47" t="n">
        <f aca="false">(A61-1)*$C$6</f>
        <v>0.0939443977459496</v>
      </c>
      <c r="C61" s="48" t="n">
        <f aca="false">$C$7*B61</f>
        <v>0.722222222222222</v>
      </c>
      <c r="D61" s="49" t="n">
        <f aca="false">0.5*c_rho*'P3 Energie'!E8*'P3 Energie'!E7*(C61-c_Vv)^2+'P3 Energie'!E13+'P3 Energie'!E15+'P3 Energie'!E6*$C$7</f>
        <v>18411.4745246781</v>
      </c>
      <c r="E61" s="50" t="n">
        <f aca="false">D61*C61</f>
        <v>13297.1760456009</v>
      </c>
      <c r="F61" s="46" t="n">
        <v>53</v>
      </c>
      <c r="G61" s="47" t="n">
        <f aca="false">(F61-1)*$H$6</f>
        <v>0.0938773069429247</v>
      </c>
      <c r="H61" s="48" t="n">
        <f aca="false">$H$7*G61</f>
        <v>0.722222222222222</v>
      </c>
      <c r="I61" s="49" t="n">
        <f aca="false">0.5*c_rho*'P3 Energie'!F8*'P3 Energie'!F7*(H61-c_Vv)^2+'P3 Energie'!F13+'P3 Energie'!F15+'P3 Energie'!F6*$H$7</f>
        <v>19239.3163424778</v>
      </c>
      <c r="J61" s="50" t="n">
        <f aca="false">I61*H61</f>
        <v>13895.0618029006</v>
      </c>
    </row>
    <row r="62" customFormat="false" ht="15" hidden="false" customHeight="false" outlineLevel="0" collapsed="false">
      <c r="A62" s="46" t="n">
        <v>54</v>
      </c>
      <c r="B62" s="47" t="n">
        <f aca="false">(A62-1)*$C$6</f>
        <v>0.0957510207795255</v>
      </c>
      <c r="C62" s="48" t="n">
        <f aca="false">$C$7*B62</f>
        <v>0.736111111111111</v>
      </c>
      <c r="D62" s="49" t="n">
        <f aca="false">0.5*c_rho*'P3 Energie'!E8*'P3 Energie'!E7*(C62-c_Vv)^2+'P3 Energie'!E13+'P3 Energie'!E15+'P3 Energie'!E6*$C$7</f>
        <v>18411.4826151617</v>
      </c>
      <c r="E62" s="50" t="n">
        <f aca="false">D62*C62</f>
        <v>13552.8969250496</v>
      </c>
      <c r="F62" s="46" t="n">
        <v>54</v>
      </c>
      <c r="G62" s="47" t="n">
        <f aca="false">(F62-1)*$H$6</f>
        <v>0.0956826397687502</v>
      </c>
      <c r="H62" s="48" t="n">
        <f aca="false">$H$7*G62</f>
        <v>0.736111111111111</v>
      </c>
      <c r="I62" s="49" t="n">
        <f aca="false">0.5*c_rho*'P3 Energie'!F8*'P3 Energie'!F7*(H62-c_Vv)^2+'P3 Energie'!F13+'P3 Energie'!F15+'P3 Energie'!F6*$H$7</f>
        <v>19239.3233716688</v>
      </c>
      <c r="J62" s="50" t="n">
        <f aca="false">I62*H62</f>
        <v>14162.2797041451</v>
      </c>
    </row>
    <row r="63" customFormat="false" ht="15" hidden="false" customHeight="false" outlineLevel="0" collapsed="false">
      <c r="A63" s="46" t="n">
        <v>55</v>
      </c>
      <c r="B63" s="47" t="n">
        <f aca="false">(A63-1)*$C$6</f>
        <v>0.0975576438131015</v>
      </c>
      <c r="C63" s="48" t="n">
        <f aca="false">$C$7*B63</f>
        <v>0.75</v>
      </c>
      <c r="D63" s="49" t="n">
        <f aca="false">0.5*c_rho*'P3 Energie'!E8*'P3 Energie'!E7*(C63-c_Vv)^2+'P3 Energie'!E13+'P3 Energie'!E15+'P3 Energie'!E6*$C$7</f>
        <v>18411.4908597497</v>
      </c>
      <c r="E63" s="50" t="n">
        <f aca="false">D63*C63</f>
        <v>13808.6181448123</v>
      </c>
      <c r="F63" s="46" t="n">
        <v>55</v>
      </c>
      <c r="G63" s="47" t="n">
        <f aca="false">(F63-1)*$H$6</f>
        <v>0.0974879725945757</v>
      </c>
      <c r="H63" s="48" t="n">
        <f aca="false">$H$7*G63</f>
        <v>0.75</v>
      </c>
      <c r="I63" s="49" t="n">
        <f aca="false">0.5*c_rho*'P3 Energie'!F8*'P3 Energie'!F7*(H63-c_Vv)^2+'P3 Energie'!F13+'P3 Energie'!F15+'P3 Energie'!F6*$H$7</f>
        <v>19239.3305347491</v>
      </c>
      <c r="J63" s="50" t="n">
        <f aca="false">I63*H63</f>
        <v>14429.4979010618</v>
      </c>
    </row>
    <row r="64" customFormat="false" ht="15" hidden="false" customHeight="false" outlineLevel="0" collapsed="false">
      <c r="A64" s="46" t="n">
        <v>56</v>
      </c>
      <c r="B64" s="47" t="n">
        <f aca="false">(A64-1)*$C$6</f>
        <v>0.0993642668466774</v>
      </c>
      <c r="C64" s="48" t="n">
        <f aca="false">$C$7*B64</f>
        <v>0.763888888888889</v>
      </c>
      <c r="D64" s="49" t="n">
        <f aca="false">0.5*c_rho*'P3 Energie'!E8*'P3 Energie'!E7*(C64-c_Vv)^2+'P3 Energie'!E13+'P3 Energie'!E15+'P3 Energie'!E6*$C$7</f>
        <v>18411.4992584422</v>
      </c>
      <c r="E64" s="50" t="n">
        <f aca="false">D64*C64</f>
        <v>14064.33971131</v>
      </c>
      <c r="F64" s="46" t="n">
        <v>56</v>
      </c>
      <c r="G64" s="47" t="n">
        <f aca="false">(F64-1)*$H$6</f>
        <v>0.0992933054204012</v>
      </c>
      <c r="H64" s="48" t="n">
        <f aca="false">$H$7*G64</f>
        <v>0.763888888888889</v>
      </c>
      <c r="I64" s="49" t="n">
        <f aca="false">0.5*c_rho*'P3 Energie'!F8*'P3 Energie'!F7*(H64-c_Vv)^2+'P3 Energie'!F13+'P3 Energie'!F15+'P3 Energie'!F6*$H$7</f>
        <v>19239.3378317188</v>
      </c>
      <c r="J64" s="50" t="n">
        <f aca="false">I64*H64</f>
        <v>14696.7163992296</v>
      </c>
    </row>
    <row r="65" customFormat="false" ht="15" hidden="false" customHeight="false" outlineLevel="0" collapsed="false">
      <c r="A65" s="46" t="n">
        <v>57</v>
      </c>
      <c r="B65" s="47" t="n">
        <f aca="false">(A65-1)*$C$6</f>
        <v>0.101170889880253</v>
      </c>
      <c r="C65" s="48" t="n">
        <f aca="false">$C$7*B65</f>
        <v>0.777777777777778</v>
      </c>
      <c r="D65" s="49" t="n">
        <f aca="false">0.5*c_rho*'P3 Energie'!E8*'P3 Energie'!E7*(C65-c_Vv)^2+'P3 Energie'!E13+'P3 Energie'!E15+'P3 Energie'!E6*$C$7</f>
        <v>18411.5078112391</v>
      </c>
      <c r="E65" s="50" t="n">
        <f aca="false">D65*C65</f>
        <v>14320.0616309638</v>
      </c>
      <c r="F65" s="46" t="n">
        <v>57</v>
      </c>
      <c r="G65" s="47" t="n">
        <f aca="false">(F65-1)*$H$6</f>
        <v>0.101098638246227</v>
      </c>
      <c r="H65" s="48" t="n">
        <f aca="false">$H$7*G65</f>
        <v>0.777777777777778</v>
      </c>
      <c r="I65" s="49" t="n">
        <f aca="false">0.5*c_rho*'P3 Energie'!F8*'P3 Energie'!F7*(H65-c_Vv)^2+'P3 Energie'!F13+'P3 Energie'!F15+'P3 Energie'!F6*$H$7</f>
        <v>19239.3452625778</v>
      </c>
      <c r="J65" s="50" t="n">
        <f aca="false">I65*H65</f>
        <v>14963.9352042272</v>
      </c>
    </row>
    <row r="66" customFormat="false" ht="15" hidden="false" customHeight="false" outlineLevel="0" collapsed="false">
      <c r="A66" s="46" t="n">
        <v>58</v>
      </c>
      <c r="B66" s="47" t="n">
        <f aca="false">(A66-1)*$C$6</f>
        <v>0.102977512913829</v>
      </c>
      <c r="C66" s="48" t="n">
        <f aca="false">$C$7*B66</f>
        <v>0.791666666666667</v>
      </c>
      <c r="D66" s="49" t="n">
        <f aca="false">0.5*c_rho*'P3 Energie'!E8*'P3 Energie'!E7*(C66-c_Vv)^2+'P3 Energie'!E13+'P3 Energie'!E15+'P3 Energie'!E6*$C$7</f>
        <v>18411.5165181405</v>
      </c>
      <c r="E66" s="50" t="n">
        <f aca="false">D66*C66</f>
        <v>14575.7839101946</v>
      </c>
      <c r="F66" s="46" t="n">
        <v>58</v>
      </c>
      <c r="G66" s="47" t="n">
        <f aca="false">(F66-1)*$H$6</f>
        <v>0.102903971072052</v>
      </c>
      <c r="H66" s="48" t="n">
        <f aca="false">$H$7*G66</f>
        <v>0.791666666666667</v>
      </c>
      <c r="I66" s="49" t="n">
        <f aca="false">0.5*c_rho*'P3 Energie'!F8*'P3 Energie'!F7*(H66-c_Vv)^2+'P3 Energie'!F13+'P3 Energie'!F15+'P3 Energie'!F6*$H$7</f>
        <v>19239.3528273262</v>
      </c>
      <c r="J66" s="50" t="n">
        <f aca="false">I66*H66</f>
        <v>15231.1543216332</v>
      </c>
    </row>
    <row r="67" customFormat="false" ht="15" hidden="false" customHeight="false" outlineLevel="0" collapsed="false">
      <c r="A67" s="46" t="n">
        <v>59</v>
      </c>
      <c r="B67" s="47" t="n">
        <f aca="false">(A67-1)*$C$6</f>
        <v>0.104784135947405</v>
      </c>
      <c r="C67" s="48" t="n">
        <f aca="false">$C$7*B67</f>
        <v>0.805555555555556</v>
      </c>
      <c r="D67" s="49" t="n">
        <f aca="false">0.5*c_rho*'P3 Energie'!E8*'P3 Energie'!E7*(C67-c_Vv)^2+'P3 Energie'!E13+'P3 Energie'!E15+'P3 Energie'!E6*$C$7</f>
        <v>18411.5253791463</v>
      </c>
      <c r="E67" s="50" t="n">
        <f aca="false">D67*C67</f>
        <v>14831.5065554234</v>
      </c>
      <c r="F67" s="46" t="n">
        <v>59</v>
      </c>
      <c r="G67" s="47" t="n">
        <f aca="false">(F67-1)*$H$6</f>
        <v>0.104709303897878</v>
      </c>
      <c r="H67" s="48" t="n">
        <f aca="false">$H$7*G67</f>
        <v>0.805555555555556</v>
      </c>
      <c r="I67" s="49" t="n">
        <f aca="false">0.5*c_rho*'P3 Energie'!F8*'P3 Energie'!F7*(H67-c_Vv)^2+'P3 Energie'!F13+'P3 Energie'!F15+'P3 Energie'!F6*$H$7</f>
        <v>19239.3605259639</v>
      </c>
      <c r="J67" s="50" t="n">
        <f aca="false">I67*H67</f>
        <v>15498.3737570265</v>
      </c>
    </row>
    <row r="68" customFormat="false" ht="15" hidden="false" customHeight="false" outlineLevel="0" collapsed="false">
      <c r="A68" s="46" t="n">
        <v>60</v>
      </c>
      <c r="B68" s="47" t="n">
        <f aca="false">(A68-1)*$C$6</f>
        <v>0.106590758980981</v>
      </c>
      <c r="C68" s="48" t="n">
        <f aca="false">$C$7*B68</f>
        <v>0.819444444444445</v>
      </c>
      <c r="D68" s="49" t="n">
        <f aca="false">0.5*c_rho*'P3 Energie'!E8*'P3 Energie'!E7*(C68-c_Vv)^2+'P3 Energie'!E13+'P3 Energie'!E15+'P3 Energie'!E6*$C$7</f>
        <v>18411.5343942566</v>
      </c>
      <c r="E68" s="50" t="n">
        <f aca="false">D68*C68</f>
        <v>15087.2295730714</v>
      </c>
      <c r="F68" s="46" t="n">
        <v>60</v>
      </c>
      <c r="G68" s="47" t="n">
        <f aca="false">(F68-1)*$H$6</f>
        <v>0.106514636723703</v>
      </c>
      <c r="H68" s="48" t="n">
        <f aca="false">$H$7*G68</f>
        <v>0.819444444444444</v>
      </c>
      <c r="I68" s="49" t="n">
        <f aca="false">0.5*c_rho*'P3 Energie'!F8*'P3 Energie'!F7*(H68-c_Vv)^2+'P3 Energie'!F13+'P3 Energie'!F15+'P3 Energie'!F6*$H$7</f>
        <v>19239.368358491</v>
      </c>
      <c r="J68" s="50" t="n">
        <f aca="false">I68*H68</f>
        <v>15765.5935159857</v>
      </c>
    </row>
    <row r="69" customFormat="false" ht="15" hidden="false" customHeight="false" outlineLevel="0" collapsed="false">
      <c r="A69" s="46" t="n">
        <v>61</v>
      </c>
      <c r="B69" s="47" t="n">
        <f aca="false">(A69-1)*$C$6</f>
        <v>0.108397382014557</v>
      </c>
      <c r="C69" s="48" t="n">
        <f aca="false">$C$7*B69</f>
        <v>0.833333333333333</v>
      </c>
      <c r="D69" s="49" t="n">
        <f aca="false">0.5*c_rho*'P3 Energie'!E8*'P3 Energie'!E7*(C69-c_Vv)^2+'P3 Energie'!E13+'P3 Energie'!E15+'P3 Energie'!E6*$C$7</f>
        <v>18411.5435634713</v>
      </c>
      <c r="E69" s="50" t="n">
        <f aca="false">D69*C69</f>
        <v>15342.9529695594</v>
      </c>
      <c r="F69" s="46" t="n">
        <v>61</v>
      </c>
      <c r="G69" s="47" t="n">
        <f aca="false">(F69-1)*$H$6</f>
        <v>0.108319969549529</v>
      </c>
      <c r="H69" s="48" t="n">
        <f aca="false">$H$7*G69</f>
        <v>0.833333333333333</v>
      </c>
      <c r="I69" s="49" t="n">
        <f aca="false">0.5*c_rho*'P3 Energie'!F8*'P3 Energie'!F7*(H69-c_Vv)^2+'P3 Energie'!F13+'P3 Energie'!F15+'P3 Energie'!F6*$H$7</f>
        <v>19239.3763249074</v>
      </c>
      <c r="J69" s="50" t="n">
        <f aca="false">I69*H69</f>
        <v>16032.8136040895</v>
      </c>
    </row>
    <row r="70" customFormat="false" ht="15" hidden="false" customHeight="false" outlineLevel="0" collapsed="false">
      <c r="A70" s="46" t="n">
        <v>62</v>
      </c>
      <c r="B70" s="47" t="n">
        <f aca="false">(A70-1)*$C$6</f>
        <v>0.110204005048133</v>
      </c>
      <c r="C70" s="48" t="n">
        <f aca="false">$C$7*B70</f>
        <v>0.847222222222222</v>
      </c>
      <c r="D70" s="49" t="n">
        <f aca="false">0.5*c_rho*'P3 Energie'!E8*'P3 Energie'!E7*(C70-c_Vv)^2+'P3 Energie'!E13+'P3 Energie'!E15+'P3 Energie'!E6*$C$7</f>
        <v>18411.5528867905</v>
      </c>
      <c r="E70" s="50" t="n">
        <f aca="false">D70*C70</f>
        <v>15598.6767513086</v>
      </c>
      <c r="F70" s="46" t="n">
        <v>62</v>
      </c>
      <c r="G70" s="47" t="n">
        <f aca="false">(F70-1)*$H$6</f>
        <v>0.110125302375354</v>
      </c>
      <c r="H70" s="48" t="n">
        <f aca="false">$H$7*G70</f>
        <v>0.847222222222222</v>
      </c>
      <c r="I70" s="49" t="n">
        <f aca="false">0.5*c_rho*'P3 Energie'!F8*'P3 Energie'!F7*(H70-c_Vv)^2+'P3 Energie'!F13+'P3 Energie'!F15+'P3 Energie'!F6*$H$7</f>
        <v>19239.3844252132</v>
      </c>
      <c r="J70" s="50" t="n">
        <f aca="false">I70*H70</f>
        <v>16300.0340269167</v>
      </c>
    </row>
    <row r="71" customFormat="false" ht="15" hidden="false" customHeight="false" outlineLevel="0" collapsed="false">
      <c r="A71" s="46" t="n">
        <v>63</v>
      </c>
      <c r="B71" s="47" t="n">
        <f aca="false">(A71-1)*$C$6</f>
        <v>0.112010628081709</v>
      </c>
      <c r="C71" s="48" t="n">
        <f aca="false">$C$7*B71</f>
        <v>0.861111111111111</v>
      </c>
      <c r="D71" s="49" t="n">
        <f aca="false">0.5*c_rho*'P3 Energie'!E8*'P3 Energie'!E7*(C71-c_Vv)^2+'P3 Energie'!E13+'P3 Energie'!E15+'P3 Energie'!E6*$C$7</f>
        <v>18411.5623642141</v>
      </c>
      <c r="E71" s="50" t="n">
        <f aca="false">D71*C71</f>
        <v>15854.4009247399</v>
      </c>
      <c r="F71" s="46" t="n">
        <v>63</v>
      </c>
      <c r="G71" s="47" t="n">
        <f aca="false">(F71-1)*$H$6</f>
        <v>0.111930635201179</v>
      </c>
      <c r="H71" s="48" t="n">
        <f aca="false">$H$7*G71</f>
        <v>0.861111111111111</v>
      </c>
      <c r="I71" s="49" t="n">
        <f aca="false">0.5*c_rho*'P3 Energie'!F8*'P3 Energie'!F7*(H71-c_Vv)^2+'P3 Energie'!F13+'P3 Energie'!F15+'P3 Energie'!F6*$H$7</f>
        <v>19239.3926594083</v>
      </c>
      <c r="J71" s="50" t="n">
        <f aca="false">I71*H71</f>
        <v>16567.2547900461</v>
      </c>
    </row>
    <row r="72" customFormat="false" ht="15" hidden="false" customHeight="false" outlineLevel="0" collapsed="false">
      <c r="A72" s="46" t="n">
        <v>64</v>
      </c>
      <c r="B72" s="47" t="n">
        <f aca="false">(A72-1)*$C$6</f>
        <v>0.113817251115285</v>
      </c>
      <c r="C72" s="48" t="n">
        <f aca="false">$C$7*B72</f>
        <v>0.875</v>
      </c>
      <c r="D72" s="49" t="n">
        <f aca="false">0.5*c_rho*'P3 Energie'!E8*'P3 Energie'!E7*(C72-c_Vv)^2+'P3 Energie'!E13+'P3 Energie'!E15+'P3 Energie'!E6*$C$7</f>
        <v>18411.5719957422</v>
      </c>
      <c r="E72" s="50" t="n">
        <f aca="false">D72*C72</f>
        <v>16110.1254962744</v>
      </c>
      <c r="F72" s="46" t="n">
        <v>64</v>
      </c>
      <c r="G72" s="47" t="n">
        <f aca="false">(F72-1)*$H$6</f>
        <v>0.113735968027005</v>
      </c>
      <c r="H72" s="48" t="n">
        <f aca="false">$H$7*G72</f>
        <v>0.875</v>
      </c>
      <c r="I72" s="49" t="n">
        <f aca="false">0.5*c_rho*'P3 Energie'!F8*'P3 Energie'!F7*(H72-c_Vv)^2+'P3 Energie'!F13+'P3 Energie'!F15+'P3 Energie'!F6*$H$7</f>
        <v>19239.4010274928</v>
      </c>
      <c r="J72" s="50" t="n">
        <f aca="false">I72*H72</f>
        <v>16834.4758990562</v>
      </c>
    </row>
    <row r="73" customFormat="false" ht="15" hidden="false" customHeight="false" outlineLevel="0" collapsed="false">
      <c r="A73" s="46" t="n">
        <v>65</v>
      </c>
      <c r="B73" s="47" t="n">
        <f aca="false">(A73-1)*$C$6</f>
        <v>0.115623874148861</v>
      </c>
      <c r="C73" s="48" t="n">
        <f aca="false">$C$7*B73</f>
        <v>0.888888888888889</v>
      </c>
      <c r="D73" s="49" t="n">
        <f aca="false">0.5*c_rho*'P3 Energie'!E8*'P3 Energie'!E7*(C73-c_Vv)^2+'P3 Energie'!E13+'P3 Energie'!E15+'P3 Energie'!E6*$C$7</f>
        <v>18411.5817813747</v>
      </c>
      <c r="E73" s="50" t="n">
        <f aca="false">D73*C73</f>
        <v>16365.850472333</v>
      </c>
      <c r="F73" s="46" t="n">
        <v>65</v>
      </c>
      <c r="G73" s="47" t="n">
        <f aca="false">(F73-1)*$H$6</f>
        <v>0.11554130085283</v>
      </c>
      <c r="H73" s="48" t="n">
        <f aca="false">$H$7*G73</f>
        <v>0.888888888888889</v>
      </c>
      <c r="I73" s="49" t="n">
        <f aca="false">0.5*c_rho*'P3 Energie'!F8*'P3 Energie'!F7*(H73-c_Vv)^2+'P3 Energie'!F13+'P3 Energie'!F15+'P3 Energie'!F6*$H$7</f>
        <v>19239.4095294667</v>
      </c>
      <c r="J73" s="50" t="n">
        <f aca="false">I73*H73</f>
        <v>17101.6973595259</v>
      </c>
    </row>
    <row r="74" customFormat="false" ht="15" hidden="false" customHeight="false" outlineLevel="0" collapsed="false">
      <c r="A74" s="46" t="n">
        <v>66</v>
      </c>
      <c r="B74" s="47" t="n">
        <f aca="false">(A74-1)*$C$6</f>
        <v>0.117430497182437</v>
      </c>
      <c r="C74" s="48" t="n">
        <f aca="false">$C$7*B74</f>
        <v>0.902777777777778</v>
      </c>
      <c r="D74" s="49" t="n">
        <f aca="false">0.5*c_rho*'P3 Energie'!E8*'P3 Energie'!E7*(C74-c_Vv)^2+'P3 Energie'!E13+'P3 Energie'!E15+'P3 Energie'!E6*$C$7</f>
        <v>18411.5917211116</v>
      </c>
      <c r="E74" s="50" t="n">
        <f aca="false">D74*C74</f>
        <v>16621.5758593369</v>
      </c>
      <c r="F74" s="46" t="n">
        <v>66</v>
      </c>
      <c r="G74" s="47" t="n">
        <f aca="false">(F74-1)*$H$6</f>
        <v>0.117346633678656</v>
      </c>
      <c r="H74" s="48" t="n">
        <f aca="false">$H$7*G74</f>
        <v>0.902777777777778</v>
      </c>
      <c r="I74" s="49" t="n">
        <f aca="false">0.5*c_rho*'P3 Energie'!F8*'P3 Energie'!F7*(H74-c_Vv)^2+'P3 Energie'!F13+'P3 Energie'!F15+'P3 Energie'!F6*$H$7</f>
        <v>19239.4181653299</v>
      </c>
      <c r="J74" s="50" t="n">
        <f aca="false">I74*H74</f>
        <v>17368.9191770339</v>
      </c>
    </row>
    <row r="75" customFormat="false" ht="15" hidden="false" customHeight="false" outlineLevel="0" collapsed="false">
      <c r="A75" s="46" t="n">
        <v>67</v>
      </c>
      <c r="B75" s="47" t="n">
        <f aca="false">(A75-1)*$C$6</f>
        <v>0.119237120216013</v>
      </c>
      <c r="C75" s="48" t="n">
        <f aca="false">$C$7*B75</f>
        <v>0.916666666666667</v>
      </c>
      <c r="D75" s="49" t="n">
        <f aca="false">0.5*c_rho*'P3 Energie'!E8*'P3 Energie'!E7*(C75-c_Vv)^2+'P3 Energie'!E13+'P3 Energie'!E15+'P3 Energie'!E6*$C$7</f>
        <v>18411.6018149531</v>
      </c>
      <c r="E75" s="50" t="n">
        <f aca="false">D75*C75</f>
        <v>16877.301663707</v>
      </c>
      <c r="F75" s="46" t="n">
        <v>67</v>
      </c>
      <c r="G75" s="47" t="n">
        <f aca="false">(F75-1)*$H$6</f>
        <v>0.119151966504481</v>
      </c>
      <c r="H75" s="48" t="n">
        <f aca="false">$H$7*G75</f>
        <v>0.916666666666667</v>
      </c>
      <c r="I75" s="49" t="n">
        <f aca="false">0.5*c_rho*'P3 Energie'!F8*'P3 Energie'!F7*(H75-c_Vv)^2+'P3 Energie'!F13+'P3 Energie'!F15+'P3 Energie'!F6*$H$7</f>
        <v>19239.4269350824</v>
      </c>
      <c r="J75" s="50" t="n">
        <f aca="false">I75*H75</f>
        <v>17636.1413571589</v>
      </c>
    </row>
    <row r="76" customFormat="false" ht="15" hidden="false" customHeight="false" outlineLevel="0" collapsed="false">
      <c r="A76" s="46" t="n">
        <v>68</v>
      </c>
      <c r="B76" s="47" t="n">
        <f aca="false">(A76-1)*$C$6</f>
        <v>0.121043743249589</v>
      </c>
      <c r="C76" s="48" t="n">
        <f aca="false">$C$7*B76</f>
        <v>0.930555555555556</v>
      </c>
      <c r="D76" s="49" t="n">
        <f aca="false">0.5*c_rho*'P3 Energie'!E8*'P3 Energie'!E7*(C76-c_Vv)^2+'P3 Energie'!E13+'P3 Energie'!E15+'P3 Energie'!E6*$C$7</f>
        <v>18411.6120628989</v>
      </c>
      <c r="E76" s="50" t="n">
        <f aca="false">D76*C76</f>
        <v>17133.0278918643</v>
      </c>
      <c r="F76" s="46" t="n">
        <v>68</v>
      </c>
      <c r="G76" s="47" t="n">
        <f aca="false">(F76-1)*$H$6</f>
        <v>0.120957299330307</v>
      </c>
      <c r="H76" s="48" t="n">
        <f aca="false">$H$7*G76</f>
        <v>0.930555555555556</v>
      </c>
      <c r="I76" s="49" t="n">
        <f aca="false">0.5*c_rho*'P3 Energie'!F8*'P3 Energie'!F7*(H76-c_Vv)^2+'P3 Energie'!F13+'P3 Energie'!F15+'P3 Energie'!F6*$H$7</f>
        <v>19239.4358387243</v>
      </c>
      <c r="J76" s="50" t="n">
        <f aca="false">I76*H76</f>
        <v>17903.3639054796</v>
      </c>
    </row>
    <row r="77" customFormat="false" ht="15" hidden="false" customHeight="false" outlineLevel="0" collapsed="false">
      <c r="A77" s="46" t="n">
        <v>69</v>
      </c>
      <c r="B77" s="47" t="n">
        <f aca="false">(A77-1)*$C$6</f>
        <v>0.122850366283165</v>
      </c>
      <c r="C77" s="48" t="n">
        <f aca="false">$C$7*B77</f>
        <v>0.944444444444445</v>
      </c>
      <c r="D77" s="49" t="n">
        <f aca="false">0.5*c_rho*'P3 Energie'!E8*'P3 Energie'!E7*(C77-c_Vv)^2+'P3 Energie'!E13+'P3 Energie'!E15+'P3 Energie'!E6*$C$7</f>
        <v>18411.6224649492</v>
      </c>
      <c r="E77" s="50" t="n">
        <f aca="false">D77*C77</f>
        <v>17388.7545502298</v>
      </c>
      <c r="F77" s="46" t="n">
        <v>69</v>
      </c>
      <c r="G77" s="47" t="n">
        <f aca="false">(F77-1)*$H$6</f>
        <v>0.122762632156132</v>
      </c>
      <c r="H77" s="48" t="n">
        <f aca="false">$H$7*G77</f>
        <v>0.944444444444445</v>
      </c>
      <c r="I77" s="49" t="n">
        <f aca="false">0.5*c_rho*'P3 Energie'!F8*'P3 Energie'!F7*(H77-c_Vv)^2+'P3 Energie'!F13+'P3 Energie'!F15+'P3 Energie'!F6*$H$7</f>
        <v>19239.4448762556</v>
      </c>
      <c r="J77" s="50" t="n">
        <f aca="false">I77*H77</f>
        <v>18170.5868275747</v>
      </c>
    </row>
    <row r="78" customFormat="false" ht="15" hidden="false" customHeight="false" outlineLevel="0" collapsed="false">
      <c r="A78" s="46" t="n">
        <v>70</v>
      </c>
      <c r="B78" s="47" t="n">
        <f aca="false">(A78-1)*$C$6</f>
        <v>0.124656989316741</v>
      </c>
      <c r="C78" s="48" t="n">
        <f aca="false">$C$7*B78</f>
        <v>0.958333333333333</v>
      </c>
      <c r="D78" s="49" t="n">
        <f aca="false">0.5*c_rho*'P3 Energie'!E8*'P3 Energie'!E7*(C78-c_Vv)^2+'P3 Energie'!E13+'P3 Energie'!E15+'P3 Energie'!E6*$C$7</f>
        <v>18411.633021104</v>
      </c>
      <c r="E78" s="50" t="n">
        <f aca="false">D78*C78</f>
        <v>17644.4816452247</v>
      </c>
      <c r="F78" s="46" t="n">
        <v>70</v>
      </c>
      <c r="G78" s="47" t="n">
        <f aca="false">(F78-1)*$H$6</f>
        <v>0.124567964981958</v>
      </c>
      <c r="H78" s="48" t="n">
        <f aca="false">$H$7*G78</f>
        <v>0.958333333333333</v>
      </c>
      <c r="I78" s="49" t="n">
        <f aca="false">0.5*c_rho*'P3 Energie'!F8*'P3 Energie'!F7*(H78-c_Vv)^2+'P3 Energie'!F13+'P3 Energie'!F15+'P3 Energie'!F6*$H$7</f>
        <v>19239.4540476762</v>
      </c>
      <c r="J78" s="50" t="n">
        <f aca="false">I78*H78</f>
        <v>18437.810129023</v>
      </c>
    </row>
    <row r="79" customFormat="false" ht="15" hidden="false" customHeight="false" outlineLevel="0" collapsed="false">
      <c r="A79" s="46" t="n">
        <v>71</v>
      </c>
      <c r="B79" s="47" t="n">
        <f aca="false">(A79-1)*$C$6</f>
        <v>0.126463612350317</v>
      </c>
      <c r="C79" s="48" t="n">
        <f aca="false">$C$7*B79</f>
        <v>0.972222222222222</v>
      </c>
      <c r="D79" s="49" t="n">
        <f aca="false">0.5*c_rho*'P3 Energie'!E8*'P3 Energie'!E7*(C79-c_Vv)^2+'P3 Energie'!E13+'P3 Energie'!E15+'P3 Energie'!E6*$C$7</f>
        <v>18411.6437313632</v>
      </c>
      <c r="E79" s="50" t="n">
        <f aca="false">D79*C79</f>
        <v>17900.2091832698</v>
      </c>
      <c r="F79" s="46" t="n">
        <v>71</v>
      </c>
      <c r="G79" s="47" t="n">
        <f aca="false">(F79-1)*$H$6</f>
        <v>0.126373297807783</v>
      </c>
      <c r="H79" s="48" t="n">
        <f aca="false">$H$7*G79</f>
        <v>0.972222222222222</v>
      </c>
      <c r="I79" s="49" t="n">
        <f aca="false">0.5*c_rho*'P3 Energie'!F8*'P3 Energie'!F7*(H79-c_Vv)^2+'P3 Energie'!F13+'P3 Energie'!F15+'P3 Energie'!F6*$H$7</f>
        <v>19239.4633529861</v>
      </c>
      <c r="J79" s="50" t="n">
        <f aca="false">I79*H79</f>
        <v>18705.0338154032</v>
      </c>
    </row>
    <row r="80" customFormat="false" ht="15" hidden="false" customHeight="false" outlineLevel="0" collapsed="false">
      <c r="A80" s="46" t="n">
        <v>72</v>
      </c>
      <c r="B80" s="47" t="n">
        <f aca="false">(A80-1)*$C$6</f>
        <v>0.128270235383893</v>
      </c>
      <c r="C80" s="48" t="n">
        <f aca="false">$C$7*B80</f>
        <v>0.986111111111111</v>
      </c>
      <c r="D80" s="49" t="n">
        <f aca="false">0.5*c_rho*'P3 Energie'!E8*'P3 Energie'!E7*(C80-c_Vv)^2+'P3 Energie'!E13+'P3 Energie'!E15+'P3 Energie'!E6*$C$7</f>
        <v>18411.6545957269</v>
      </c>
      <c r="E80" s="50" t="n">
        <f aca="false">D80*C80</f>
        <v>18155.9371707862</v>
      </c>
      <c r="F80" s="46" t="n">
        <v>72</v>
      </c>
      <c r="G80" s="47" t="n">
        <f aca="false">(F80-1)*$H$6</f>
        <v>0.128178630633609</v>
      </c>
      <c r="H80" s="48" t="n">
        <f aca="false">$H$7*G80</f>
        <v>0.986111111111111</v>
      </c>
      <c r="I80" s="49" t="n">
        <f aca="false">0.5*c_rho*'P3 Energie'!F8*'P3 Energie'!F7*(H80-c_Vv)^2+'P3 Energie'!F13+'P3 Energie'!F15+'P3 Energie'!F6*$H$7</f>
        <v>19239.4727921854</v>
      </c>
      <c r="J80" s="50" t="n">
        <f aca="false">I80*H80</f>
        <v>18972.257892294</v>
      </c>
    </row>
    <row r="81" customFormat="false" ht="15" hidden="false" customHeight="false" outlineLevel="0" collapsed="false">
      <c r="A81" s="46" t="n">
        <v>73</v>
      </c>
      <c r="B81" s="47" t="n">
        <f aca="false">(A81-1)*$C$6</f>
        <v>0.130076858417469</v>
      </c>
      <c r="C81" s="48" t="n">
        <f aca="false">$C$7*B81</f>
        <v>1</v>
      </c>
      <c r="D81" s="49" t="n">
        <f aca="false">0.5*c_rho*'P3 Energie'!E8*'P3 Energie'!E7*(C81-c_Vv)^2+'P3 Energie'!E13+'P3 Energie'!E15+'P3 Energie'!E6*$C$7</f>
        <v>18411.665614195</v>
      </c>
      <c r="E81" s="50" t="n">
        <f aca="false">D81*C81</f>
        <v>18411.665614195</v>
      </c>
      <c r="F81" s="46" t="n">
        <v>73</v>
      </c>
      <c r="G81" s="47" t="n">
        <f aca="false">(F81-1)*$H$6</f>
        <v>0.129983963459434</v>
      </c>
      <c r="H81" s="48" t="n">
        <f aca="false">$H$7*G81</f>
        <v>1</v>
      </c>
      <c r="I81" s="49" t="n">
        <f aca="false">0.5*c_rho*'P3 Energie'!F8*'P3 Energie'!F7*(H81-c_Vv)^2+'P3 Energie'!F13+'P3 Energie'!F15+'P3 Energie'!F6*$H$7</f>
        <v>19239.4823652741</v>
      </c>
      <c r="J81" s="50" t="n">
        <f aca="false">I81*H81</f>
        <v>19239.4823652741</v>
      </c>
    </row>
    <row r="82" customFormat="false" ht="15" hidden="false" customHeight="false" outlineLevel="0" collapsed="false">
      <c r="A82" s="46" t="n">
        <v>74</v>
      </c>
      <c r="B82" s="47" t="n">
        <f aca="false">(A82-1)*$C$6</f>
        <v>0.131883481451045</v>
      </c>
      <c r="C82" s="48" t="n">
        <f aca="false">$C$7*B82</f>
        <v>1.01388888888889</v>
      </c>
      <c r="D82" s="49" t="n">
        <f aca="false">0.5*c_rho*'P3 Energie'!E8*'P3 Energie'!E7*(C82-c_Vv)^2+'P3 Energie'!E13+'P3 Energie'!E15+'P3 Energie'!E6*$C$7</f>
        <v>18411.6767867675</v>
      </c>
      <c r="E82" s="50" t="n">
        <f aca="false">D82*C82</f>
        <v>18667.3945199171</v>
      </c>
      <c r="F82" s="46" t="n">
        <v>74</v>
      </c>
      <c r="G82" s="47" t="n">
        <f aca="false">(F82-1)*$H$6</f>
        <v>0.13178929628526</v>
      </c>
      <c r="H82" s="48" t="n">
        <f aca="false">$H$7*G82</f>
        <v>1.01388888888889</v>
      </c>
      <c r="I82" s="49" t="n">
        <f aca="false">0.5*c_rho*'P3 Energie'!F8*'P3 Energie'!F7*(H82-c_Vv)^2+'P3 Energie'!F13+'P3 Energie'!F15+'P3 Energie'!F6*$H$7</f>
        <v>19239.4920722521</v>
      </c>
      <c r="J82" s="50" t="n">
        <f aca="false">I82*H82</f>
        <v>19506.7072399223</v>
      </c>
    </row>
    <row r="83" customFormat="false" ht="15" hidden="false" customHeight="false" outlineLevel="0" collapsed="false">
      <c r="A83" s="46" t="n">
        <v>75</v>
      </c>
      <c r="B83" s="47" t="n">
        <f aca="false">(A83-1)*$C$6</f>
        <v>0.133690104484621</v>
      </c>
      <c r="C83" s="48" t="n">
        <f aca="false">$C$7*B83</f>
        <v>1.02777777777778</v>
      </c>
      <c r="D83" s="49" t="n">
        <f aca="false">0.5*c_rho*'P3 Energie'!E8*'P3 Energie'!E7*(C83-c_Vv)^2+'P3 Energie'!E13+'P3 Energie'!E15+'P3 Energie'!E6*$C$7</f>
        <v>18411.6881134445</v>
      </c>
      <c r="E83" s="50" t="n">
        <f aca="false">D83*C83</f>
        <v>18923.1238943735</v>
      </c>
      <c r="F83" s="46" t="n">
        <v>75</v>
      </c>
      <c r="G83" s="47" t="n">
        <f aca="false">(F83-1)*$H$6</f>
        <v>0.133594629111085</v>
      </c>
      <c r="H83" s="48" t="n">
        <f aca="false">$H$7*G83</f>
        <v>1.02777777777778</v>
      </c>
      <c r="I83" s="49" t="n">
        <f aca="false">0.5*c_rho*'P3 Energie'!F8*'P3 Energie'!F7*(H83-c_Vv)^2+'P3 Energie'!F13+'P3 Energie'!F15+'P3 Energie'!F6*$H$7</f>
        <v>19239.5019131194</v>
      </c>
      <c r="J83" s="50" t="n">
        <f aca="false">I83*H83</f>
        <v>19773.9325218172</v>
      </c>
    </row>
    <row r="84" customFormat="false" ht="15" hidden="false" customHeight="false" outlineLevel="0" collapsed="false">
      <c r="A84" s="46" t="n">
        <v>76</v>
      </c>
      <c r="B84" s="47" t="n">
        <f aca="false">(A84-1)*$C$6</f>
        <v>0.135496727518197</v>
      </c>
      <c r="C84" s="48" t="n">
        <f aca="false">$C$7*B84</f>
        <v>1.04166666666667</v>
      </c>
      <c r="D84" s="49" t="n">
        <f aca="false">0.5*c_rho*'P3 Energie'!E8*'P3 Energie'!E7*(C84-c_Vv)^2+'P3 Energie'!E13+'P3 Energie'!E15+'P3 Energie'!E6*$C$7</f>
        <v>18411.699594226</v>
      </c>
      <c r="E84" s="50" t="n">
        <f aca="false">D84*C84</f>
        <v>19178.8537439854</v>
      </c>
      <c r="F84" s="46" t="n">
        <v>76</v>
      </c>
      <c r="G84" s="47" t="n">
        <f aca="false">(F84-1)*$H$6</f>
        <v>0.135399961936911</v>
      </c>
      <c r="H84" s="48" t="n">
        <f aca="false">$H$7*G84</f>
        <v>1.04166666666667</v>
      </c>
      <c r="I84" s="49" t="n">
        <f aca="false">0.5*c_rho*'P3 Energie'!F8*'P3 Energie'!F7*(H84-c_Vv)^2+'P3 Energie'!F13+'P3 Energie'!F15+'P3 Energie'!F6*$H$7</f>
        <v>19239.5118878762</v>
      </c>
      <c r="J84" s="50" t="n">
        <f aca="false">I84*H84</f>
        <v>20041.1582165377</v>
      </c>
    </row>
    <row r="85" customFormat="false" ht="15" hidden="false" customHeight="false" outlineLevel="0" collapsed="false">
      <c r="A85" s="46" t="n">
        <v>77</v>
      </c>
      <c r="B85" s="47" t="n">
        <f aca="false">(A85-1)*$C$6</f>
        <v>0.137303350551772</v>
      </c>
      <c r="C85" s="48" t="n">
        <f aca="false">$C$7*B85</f>
        <v>1.05555555555556</v>
      </c>
      <c r="D85" s="49" t="n">
        <f aca="false">0.5*c_rho*'P3 Energie'!E8*'P3 Energie'!E7*(C85-c_Vv)^2+'P3 Energie'!E13+'P3 Energie'!E15+'P3 Energie'!E6*$C$7</f>
        <v>18411.7112291119</v>
      </c>
      <c r="E85" s="50" t="n">
        <f aca="false">D85*C85</f>
        <v>19434.5840751737</v>
      </c>
      <c r="F85" s="46" t="n">
        <v>77</v>
      </c>
      <c r="G85" s="47" t="n">
        <f aca="false">(F85-1)*$H$6</f>
        <v>0.137205294762736</v>
      </c>
      <c r="H85" s="48" t="n">
        <f aca="false">$H$7*G85</f>
        <v>1.05555555555556</v>
      </c>
      <c r="I85" s="49" t="n">
        <f aca="false">0.5*c_rho*'P3 Energie'!F8*'P3 Energie'!F7*(H85-c_Vv)^2+'P3 Energie'!F13+'P3 Energie'!F15+'P3 Energie'!F6*$H$7</f>
        <v>19239.5219965222</v>
      </c>
      <c r="J85" s="50" t="n">
        <f aca="false">I85*H85</f>
        <v>20308.3843296624</v>
      </c>
    </row>
    <row r="86" customFormat="false" ht="15" hidden="false" customHeight="false" outlineLevel="0" collapsed="false">
      <c r="A86" s="46" t="n">
        <v>78</v>
      </c>
      <c r="B86" s="47" t="n">
        <f aca="false">(A86-1)*$C$6</f>
        <v>0.139109973585348</v>
      </c>
      <c r="C86" s="48" t="n">
        <f aca="false">$C$7*B86</f>
        <v>1.06944444444444</v>
      </c>
      <c r="D86" s="49" t="n">
        <f aca="false">0.5*c_rho*'P3 Energie'!E8*'P3 Energie'!E7*(C86-c_Vv)^2+'P3 Energie'!E13+'P3 Energie'!E15+'P3 Energie'!E6*$C$7</f>
        <v>18411.7230181023</v>
      </c>
      <c r="E86" s="50" t="n">
        <f aca="false">D86*C86</f>
        <v>19690.3148943594</v>
      </c>
      <c r="F86" s="46" t="n">
        <v>78</v>
      </c>
      <c r="G86" s="47" t="n">
        <f aca="false">(F86-1)*$H$6</f>
        <v>0.139010627588562</v>
      </c>
      <c r="H86" s="48" t="n">
        <f aca="false">$H$7*G86</f>
        <v>1.06944444444444</v>
      </c>
      <c r="I86" s="49" t="n">
        <f aca="false">0.5*c_rho*'P3 Energie'!F8*'P3 Energie'!F7*(H86-c_Vv)^2+'P3 Energie'!F13+'P3 Energie'!F15+'P3 Energie'!F6*$H$7</f>
        <v>19239.5322390576</v>
      </c>
      <c r="J86" s="50" t="n">
        <f aca="false">I86*H86</f>
        <v>20575.61086677</v>
      </c>
    </row>
    <row r="87" customFormat="false" ht="15" hidden="false" customHeight="false" outlineLevel="0" collapsed="false">
      <c r="A87" s="46" t="n">
        <v>79</v>
      </c>
      <c r="B87" s="47" t="n">
        <f aca="false">(A87-1)*$C$6</f>
        <v>0.140916596618924</v>
      </c>
      <c r="C87" s="48" t="n">
        <f aca="false">$C$7*B87</f>
        <v>1.08333333333333</v>
      </c>
      <c r="D87" s="49" t="n">
        <f aca="false">0.5*c_rho*'P3 Energie'!E8*'P3 Energie'!E7*(C87-c_Vv)^2+'P3 Energie'!E13+'P3 Energie'!E15+'P3 Energie'!E6*$C$7</f>
        <v>18411.7349611971</v>
      </c>
      <c r="E87" s="50" t="n">
        <f aca="false">D87*C87</f>
        <v>19946.0462079635</v>
      </c>
      <c r="F87" s="46" t="n">
        <v>79</v>
      </c>
      <c r="G87" s="47" t="n">
        <f aca="false">(F87-1)*$H$6</f>
        <v>0.140815960414387</v>
      </c>
      <c r="H87" s="48" t="n">
        <f aca="false">$H$7*G87</f>
        <v>1.08333333333333</v>
      </c>
      <c r="I87" s="49" t="n">
        <f aca="false">0.5*c_rho*'P3 Energie'!F8*'P3 Energie'!F7*(H87-c_Vv)^2+'P3 Energie'!F13+'P3 Energie'!F15+'P3 Energie'!F6*$H$7</f>
        <v>19239.5426154824</v>
      </c>
      <c r="J87" s="50" t="n">
        <f aca="false">I87*H87</f>
        <v>20842.8378334393</v>
      </c>
    </row>
    <row r="88" customFormat="false" ht="15" hidden="false" customHeight="false" outlineLevel="0" collapsed="false">
      <c r="A88" s="46" t="n">
        <v>80</v>
      </c>
      <c r="B88" s="47" t="n">
        <f aca="false">(A88-1)*$C$6</f>
        <v>0.1427232196525</v>
      </c>
      <c r="C88" s="48" t="n">
        <f aca="false">$C$7*B88</f>
        <v>1.09722222222222</v>
      </c>
      <c r="D88" s="49" t="n">
        <f aca="false">0.5*c_rho*'P3 Energie'!E8*'P3 Energie'!E7*(C88-c_Vv)^2+'P3 Energie'!E13+'P3 Energie'!E15+'P3 Energie'!E6*$C$7</f>
        <v>18411.7470583963</v>
      </c>
      <c r="E88" s="50" t="n">
        <f aca="false">D88*C88</f>
        <v>20201.7780224071</v>
      </c>
      <c r="F88" s="46" t="n">
        <v>80</v>
      </c>
      <c r="G88" s="47" t="n">
        <f aca="false">(F88-1)*$H$6</f>
        <v>0.142621293240213</v>
      </c>
      <c r="H88" s="48" t="n">
        <f aca="false">$H$7*G88</f>
        <v>1.09722222222222</v>
      </c>
      <c r="I88" s="49" t="n">
        <f aca="false">0.5*c_rho*'P3 Energie'!F8*'P3 Energie'!F7*(H88-c_Vv)^2+'P3 Energie'!F13+'P3 Energie'!F15+'P3 Energie'!F6*$H$7</f>
        <v>19239.5531257965</v>
      </c>
      <c r="J88" s="50" t="n">
        <f aca="false">I88*H88</f>
        <v>21110.065235249</v>
      </c>
    </row>
    <row r="89" customFormat="false" ht="15" hidden="false" customHeight="false" outlineLevel="0" collapsed="false">
      <c r="A89" s="46" t="n">
        <v>81</v>
      </c>
      <c r="B89" s="47" t="n">
        <f aca="false">(A89-1)*$C$6</f>
        <v>0.144529842686076</v>
      </c>
      <c r="C89" s="48" t="n">
        <f aca="false">$C$7*B89</f>
        <v>1.11111111111111</v>
      </c>
      <c r="D89" s="49" t="n">
        <f aca="false">0.5*c_rho*'P3 Energie'!E8*'P3 Energie'!E7*(C89-c_Vv)^2+'P3 Energie'!E13+'P3 Energie'!E15+'P3 Energie'!E6*$C$7</f>
        <v>18411.7593097</v>
      </c>
      <c r="E89" s="50" t="n">
        <f aca="false">D89*C89</f>
        <v>20457.5103441111</v>
      </c>
      <c r="F89" s="46" t="n">
        <v>81</v>
      </c>
      <c r="G89" s="47" t="n">
        <f aca="false">(F89-1)*$H$6</f>
        <v>0.144426626066038</v>
      </c>
      <c r="H89" s="48" t="n">
        <f aca="false">$H$7*G89</f>
        <v>1.11111111111111</v>
      </c>
      <c r="I89" s="49" t="n">
        <f aca="false">0.5*c_rho*'P3 Energie'!F8*'P3 Energie'!F7*(H89-c_Vv)^2+'P3 Energie'!F13+'P3 Energie'!F15+'P3 Energie'!F6*$H$7</f>
        <v>19239.56377</v>
      </c>
      <c r="J89" s="50" t="n">
        <f aca="false">I89*H89</f>
        <v>21377.2930777778</v>
      </c>
    </row>
    <row r="90" customFormat="false" ht="15" hidden="false" customHeight="false" outlineLevel="0" collapsed="false">
      <c r="A90" s="46" t="n">
        <v>82</v>
      </c>
      <c r="B90" s="47" t="n">
        <f aca="false">(A90-1)*$C$6</f>
        <v>0.146336465719652</v>
      </c>
      <c r="C90" s="48" t="n">
        <f aca="false">$C$7*B90</f>
        <v>1.125</v>
      </c>
      <c r="D90" s="49" t="n">
        <f aca="false">0.5*c_rho*'P3 Energie'!E8*'P3 Energie'!E7*(C90-c_Vv)^2+'P3 Energie'!E13+'P3 Energie'!E15+'P3 Energie'!E6*$C$7</f>
        <v>18411.7717151082</v>
      </c>
      <c r="E90" s="50" t="n">
        <f aca="false">D90*C90</f>
        <v>20713.2431794967</v>
      </c>
      <c r="F90" s="46" t="n">
        <v>82</v>
      </c>
      <c r="G90" s="47" t="n">
        <f aca="false">(F90-1)*$H$6</f>
        <v>0.146231958891864</v>
      </c>
      <c r="H90" s="48" t="n">
        <f aca="false">$H$7*G90</f>
        <v>1.125</v>
      </c>
      <c r="I90" s="49" t="n">
        <f aca="false">0.5*c_rho*'P3 Energie'!F8*'P3 Energie'!F7*(H90-c_Vv)^2+'P3 Energie'!F13+'P3 Energie'!F15+'P3 Energie'!F6*$H$7</f>
        <v>19239.5745480928</v>
      </c>
      <c r="J90" s="50" t="n">
        <f aca="false">I90*H90</f>
        <v>21644.5213666044</v>
      </c>
    </row>
    <row r="91" customFormat="false" ht="15" hidden="false" customHeight="false" outlineLevel="0" collapsed="false">
      <c r="A91" s="46" t="n">
        <v>83</v>
      </c>
      <c r="B91" s="47" t="n">
        <f aca="false">(A91-1)*$C$6</f>
        <v>0.148143088753228</v>
      </c>
      <c r="C91" s="48" t="n">
        <f aca="false">$C$7*B91</f>
        <v>1.13888888888889</v>
      </c>
      <c r="D91" s="49" t="n">
        <f aca="false">0.5*c_rho*'P3 Energie'!E8*'P3 Energie'!E7*(C91-c_Vv)^2+'P3 Energie'!E13+'P3 Energie'!E15+'P3 Energie'!E6*$C$7</f>
        <v>18411.7842746208</v>
      </c>
      <c r="E91" s="50" t="n">
        <f aca="false">D91*C91</f>
        <v>20968.9765349848</v>
      </c>
      <c r="F91" s="46" t="n">
        <v>83</v>
      </c>
      <c r="G91" s="47" t="n">
        <f aca="false">(F91-1)*$H$6</f>
        <v>0.148037291717689</v>
      </c>
      <c r="H91" s="48" t="n">
        <f aca="false">$H$7*G91</f>
        <v>1.13888888888889</v>
      </c>
      <c r="I91" s="49" t="n">
        <f aca="false">0.5*c_rho*'P3 Energie'!F8*'P3 Energie'!F7*(H91-c_Vv)^2+'P3 Energie'!F13+'P3 Energie'!F15+'P3 Energie'!F6*$H$7</f>
        <v>19239.585460075</v>
      </c>
      <c r="J91" s="50" t="n">
        <f aca="false">I91*H91</f>
        <v>21911.7501073076</v>
      </c>
    </row>
    <row r="92" customFormat="false" ht="15" hidden="false" customHeight="false" outlineLevel="0" collapsed="false">
      <c r="A92" s="46" t="n">
        <v>84</v>
      </c>
      <c r="B92" s="47" t="n">
        <f aca="false">(A92-1)*$C$6</f>
        <v>0.149949711786804</v>
      </c>
      <c r="C92" s="48" t="n">
        <f aca="false">$C$7*B92</f>
        <v>1.15277777777778</v>
      </c>
      <c r="D92" s="49" t="n">
        <f aca="false">0.5*c_rho*'P3 Energie'!E8*'P3 Energie'!E7*(C92-c_Vv)^2+'P3 Energie'!E13+'P3 Energie'!E15+'P3 Energie'!E6*$C$7</f>
        <v>18411.7969882378</v>
      </c>
      <c r="E92" s="50" t="n">
        <f aca="false">D92*C92</f>
        <v>21224.7104169964</v>
      </c>
      <c r="F92" s="46" t="n">
        <v>84</v>
      </c>
      <c r="G92" s="47" t="n">
        <f aca="false">(F92-1)*$H$6</f>
        <v>0.149842624543514</v>
      </c>
      <c r="H92" s="48" t="n">
        <f aca="false">$H$7*G92</f>
        <v>1.15277777777778</v>
      </c>
      <c r="I92" s="49" t="n">
        <f aca="false">0.5*c_rho*'P3 Energie'!F8*'P3 Energie'!F7*(H92-c_Vv)^2+'P3 Energie'!F13+'P3 Energie'!F15+'P3 Energie'!F6*$H$7</f>
        <v>19239.5965059465</v>
      </c>
      <c r="J92" s="50" t="n">
        <f aca="false">I92*H92</f>
        <v>22178.9793054661</v>
      </c>
    </row>
    <row r="93" customFormat="false" ht="15" hidden="false" customHeight="false" outlineLevel="0" collapsed="false">
      <c r="A93" s="46" t="n">
        <v>85</v>
      </c>
      <c r="B93" s="47" t="n">
        <f aca="false">(A93-1)*$C$6</f>
        <v>0.15175633482038</v>
      </c>
      <c r="C93" s="48" t="n">
        <f aca="false">$C$7*B93</f>
        <v>1.16666666666667</v>
      </c>
      <c r="D93" s="49" t="n">
        <f aca="false">0.5*c_rho*'P3 Energie'!E8*'P3 Energie'!E7*(C93-c_Vv)^2+'P3 Energie'!E13+'P3 Energie'!E15+'P3 Energie'!E6*$C$7</f>
        <v>18411.8098559593</v>
      </c>
      <c r="E93" s="50" t="n">
        <f aca="false">D93*C93</f>
        <v>21480.4448319525</v>
      </c>
      <c r="F93" s="46" t="n">
        <v>85</v>
      </c>
      <c r="G93" s="47" t="n">
        <f aca="false">(F93-1)*$H$6</f>
        <v>0.15164795736934</v>
      </c>
      <c r="H93" s="48" t="n">
        <f aca="false">$H$7*G93</f>
        <v>1.16666666666667</v>
      </c>
      <c r="I93" s="49" t="n">
        <f aca="false">0.5*c_rho*'P3 Energie'!F8*'P3 Energie'!F7*(H93-c_Vv)^2+'P3 Energie'!F13+'P3 Energie'!F15+'P3 Energie'!F6*$H$7</f>
        <v>19239.6076857074</v>
      </c>
      <c r="J93" s="50" t="n">
        <f aca="false">I93*H93</f>
        <v>22446.2089666586</v>
      </c>
    </row>
    <row r="94" customFormat="false" ht="15" hidden="false" customHeight="false" outlineLevel="0" collapsed="false">
      <c r="A94" s="46" t="n">
        <v>86</v>
      </c>
      <c r="B94" s="47" t="n">
        <f aca="false">(A94-1)*$C$6</f>
        <v>0.153562957853956</v>
      </c>
      <c r="C94" s="48" t="n">
        <f aca="false">$C$7*B94</f>
        <v>1.18055555555556</v>
      </c>
      <c r="D94" s="49" t="n">
        <f aca="false">0.5*c_rho*'P3 Energie'!E8*'P3 Energie'!E7*(C94-c_Vv)^2+'P3 Energie'!E13+'P3 Energie'!E15+'P3 Energie'!E6*$C$7</f>
        <v>18411.8228777853</v>
      </c>
      <c r="E94" s="50" t="n">
        <f aca="false">D94*C94</f>
        <v>21736.1797862743</v>
      </c>
      <c r="F94" s="46" t="n">
        <v>86</v>
      </c>
      <c r="G94" s="47" t="n">
        <f aca="false">(F94-1)*$H$6</f>
        <v>0.153453290195165</v>
      </c>
      <c r="H94" s="48" t="n">
        <f aca="false">$H$7*G94</f>
        <v>1.18055555555556</v>
      </c>
      <c r="I94" s="49" t="n">
        <f aca="false">0.5*c_rho*'P3 Energie'!F8*'P3 Energie'!F7*(H94-c_Vv)^2+'P3 Energie'!F13+'P3 Energie'!F15+'P3 Energie'!F6*$H$7</f>
        <v>19239.6189993576</v>
      </c>
      <c r="J94" s="50" t="n">
        <f aca="false">I94*H94</f>
        <v>22713.4390964639</v>
      </c>
    </row>
    <row r="95" customFormat="false" ht="15" hidden="false" customHeight="false" outlineLevel="0" collapsed="false">
      <c r="A95" s="46" t="n">
        <v>87</v>
      </c>
      <c r="B95" s="47" t="n">
        <f aca="false">(A95-1)*$C$6</f>
        <v>0.155369580887532</v>
      </c>
      <c r="C95" s="48" t="n">
        <f aca="false">$C$7*B95</f>
        <v>1.19444444444444</v>
      </c>
      <c r="D95" s="49" t="n">
        <f aca="false">0.5*c_rho*'P3 Energie'!E8*'P3 Energie'!E7*(C95-c_Vv)^2+'P3 Energie'!E13+'P3 Energie'!E15+'P3 Energie'!E6*$C$7</f>
        <v>18411.8360537156</v>
      </c>
      <c r="E95" s="50" t="n">
        <f aca="false">D95*C95</f>
        <v>21991.9152863826</v>
      </c>
      <c r="F95" s="46" t="n">
        <v>87</v>
      </c>
      <c r="G95" s="47" t="n">
        <f aca="false">(F95-1)*$H$6</f>
        <v>0.155258623020991</v>
      </c>
      <c r="H95" s="48" t="n">
        <f aca="false">$H$7*G95</f>
        <v>1.19444444444444</v>
      </c>
      <c r="I95" s="49" t="n">
        <f aca="false">0.5*c_rho*'P3 Energie'!F8*'P3 Energie'!F7*(H95-c_Vv)^2+'P3 Energie'!F13+'P3 Energie'!F15+'P3 Energie'!F6*$H$7</f>
        <v>19239.6304468972</v>
      </c>
      <c r="J95" s="50" t="n">
        <f aca="false">I95*H95</f>
        <v>22980.6697004606</v>
      </c>
    </row>
    <row r="96" customFormat="false" ht="15" hidden="false" customHeight="false" outlineLevel="0" collapsed="false">
      <c r="A96" s="46" t="n">
        <v>88</v>
      </c>
      <c r="B96" s="47" t="n">
        <f aca="false">(A96-1)*$C$6</f>
        <v>0.157176203921108</v>
      </c>
      <c r="C96" s="48" t="n">
        <f aca="false">$C$7*B96</f>
        <v>1.20833333333333</v>
      </c>
      <c r="D96" s="49" t="n">
        <f aca="false">0.5*c_rho*'P3 Energie'!E8*'P3 Energie'!E7*(C96-c_Vv)^2+'P3 Energie'!E13+'P3 Energie'!E15+'P3 Energie'!E6*$C$7</f>
        <v>18411.8493837505</v>
      </c>
      <c r="E96" s="50" t="n">
        <f aca="false">D96*C96</f>
        <v>22247.6513386985</v>
      </c>
      <c r="F96" s="46" t="n">
        <v>88</v>
      </c>
      <c r="G96" s="47" t="n">
        <f aca="false">(F96-1)*$H$6</f>
        <v>0.157063955846816</v>
      </c>
      <c r="H96" s="48" t="n">
        <f aca="false">$H$7*G96</f>
        <v>1.20833333333333</v>
      </c>
      <c r="I96" s="49" t="n">
        <f aca="false">0.5*c_rho*'P3 Energie'!F8*'P3 Energie'!F7*(H96-c_Vv)^2+'P3 Energie'!F13+'P3 Energie'!F15+'P3 Energie'!F6*$H$7</f>
        <v>19239.6420283262</v>
      </c>
      <c r="J96" s="50" t="n">
        <f aca="false">I96*H96</f>
        <v>23247.9007842274</v>
      </c>
    </row>
    <row r="97" customFormat="false" ht="15" hidden="false" customHeight="false" outlineLevel="0" collapsed="false">
      <c r="A97" s="46" t="n">
        <v>89</v>
      </c>
      <c r="B97" s="47" t="n">
        <f aca="false">(A97-1)*$C$6</f>
        <v>0.158982826954684</v>
      </c>
      <c r="C97" s="48" t="n">
        <f aca="false">$C$7*B97</f>
        <v>1.22222222222222</v>
      </c>
      <c r="D97" s="49" t="n">
        <f aca="false">0.5*c_rho*'P3 Energie'!E8*'P3 Energie'!E7*(C97-c_Vv)^2+'P3 Energie'!E13+'P3 Energie'!E15+'P3 Energie'!E6*$C$7</f>
        <v>18411.8628678898</v>
      </c>
      <c r="E97" s="50" t="n">
        <f aca="false">D97*C97</f>
        <v>22503.3879496431</v>
      </c>
      <c r="F97" s="46" t="n">
        <v>89</v>
      </c>
      <c r="G97" s="47" t="n">
        <f aca="false">(F97-1)*$H$6</f>
        <v>0.158869288672642</v>
      </c>
      <c r="H97" s="48" t="n">
        <f aca="false">$H$7*G97</f>
        <v>1.22222222222222</v>
      </c>
      <c r="I97" s="49" t="n">
        <f aca="false">0.5*c_rho*'P3 Energie'!F8*'P3 Energie'!F7*(H97-c_Vv)^2+'P3 Energie'!F13+'P3 Energie'!F15+'P3 Energie'!F6*$H$7</f>
        <v>19239.6537436444</v>
      </c>
      <c r="J97" s="50" t="n">
        <f aca="false">I97*H97</f>
        <v>23515.1323533432</v>
      </c>
    </row>
    <row r="98" customFormat="false" ht="15" hidden="false" customHeight="false" outlineLevel="0" collapsed="false">
      <c r="A98" s="46" t="n">
        <v>90</v>
      </c>
      <c r="B98" s="47" t="n">
        <f aca="false">(A98-1)*$C$6</f>
        <v>0.16078944998826</v>
      </c>
      <c r="C98" s="48" t="n">
        <f aca="false">$C$7*B98</f>
        <v>1.23611111111111</v>
      </c>
      <c r="D98" s="49" t="n">
        <f aca="false">0.5*c_rho*'P3 Energie'!E8*'P3 Energie'!E7*(C98-c_Vv)^2+'P3 Energie'!E13+'P3 Energie'!E15+'P3 Energie'!E6*$C$7</f>
        <v>18411.8765061335</v>
      </c>
      <c r="E98" s="50" t="n">
        <f aca="false">D98*C98</f>
        <v>22759.1251256373</v>
      </c>
      <c r="F98" s="46" t="n">
        <v>90</v>
      </c>
      <c r="G98" s="47" t="n">
        <f aca="false">(F98-1)*$H$6</f>
        <v>0.160674621498467</v>
      </c>
      <c r="H98" s="48" t="n">
        <f aca="false">$H$7*G98</f>
        <v>1.23611111111111</v>
      </c>
      <c r="I98" s="49" t="n">
        <f aca="false">0.5*c_rho*'P3 Energie'!F8*'P3 Energie'!F7*(H98-c_Vv)^2+'P3 Energie'!F13+'P3 Energie'!F15+'P3 Energie'!F6*$H$7</f>
        <v>19239.6655928521</v>
      </c>
      <c r="J98" s="50" t="n">
        <f aca="false">I98*H98</f>
        <v>23782.3644133866</v>
      </c>
    </row>
    <row r="99" customFormat="false" ht="15" hidden="false" customHeight="false" outlineLevel="0" collapsed="false">
      <c r="A99" s="46" t="n">
        <v>91</v>
      </c>
      <c r="B99" s="47" t="n">
        <f aca="false">(A99-1)*$C$6</f>
        <v>0.162596073021836</v>
      </c>
      <c r="C99" s="48" t="n">
        <f aca="false">$C$7*B99</f>
        <v>1.25</v>
      </c>
      <c r="D99" s="49" t="n">
        <f aca="false">0.5*c_rho*'P3 Energie'!E8*'P3 Energie'!E7*(C99-c_Vv)^2+'P3 Energie'!E13+'P3 Energie'!E15+'P3 Energie'!E6*$C$7</f>
        <v>18411.8902984817</v>
      </c>
      <c r="E99" s="50" t="n">
        <f aca="false">D99*C99</f>
        <v>23014.8628731021</v>
      </c>
      <c r="F99" s="46" t="n">
        <v>91</v>
      </c>
      <c r="G99" s="47" t="n">
        <f aca="false">(F99-1)*$H$6</f>
        <v>0.162479954324293</v>
      </c>
      <c r="H99" s="48" t="n">
        <f aca="false">$H$7*G99</f>
        <v>1.25</v>
      </c>
      <c r="I99" s="49" t="n">
        <f aca="false">0.5*c_rho*'P3 Energie'!F8*'P3 Energie'!F7*(H99-c_Vv)^2+'P3 Energie'!F13+'P3 Energie'!F15+'P3 Energie'!F6*$H$7</f>
        <v>19239.6775759491</v>
      </c>
      <c r="J99" s="50" t="n">
        <f aca="false">I99*H99</f>
        <v>24049.5969699364</v>
      </c>
    </row>
    <row r="100" customFormat="false" ht="15" hidden="false" customHeight="false" outlineLevel="0" collapsed="false">
      <c r="A100" s="46" t="n">
        <v>92</v>
      </c>
      <c r="B100" s="47" t="n">
        <f aca="false">(A100-1)*$C$6</f>
        <v>0.164402696055412</v>
      </c>
      <c r="C100" s="48" t="n">
        <f aca="false">$C$7*B100</f>
        <v>1.26388888888889</v>
      </c>
      <c r="D100" s="49" t="n">
        <f aca="false">0.5*c_rho*'P3 Energie'!E8*'P3 Energie'!E7*(C100-c_Vv)^2+'P3 Energie'!E13+'P3 Energie'!E15+'P3 Energie'!E6*$C$7</f>
        <v>18411.9042449344</v>
      </c>
      <c r="E100" s="50" t="n">
        <f aca="false">D100*C100</f>
        <v>23270.6011984587</v>
      </c>
      <c r="F100" s="46" t="n">
        <v>92</v>
      </c>
      <c r="G100" s="47" t="n">
        <f aca="false">(F100-1)*$H$6</f>
        <v>0.164285287150118</v>
      </c>
      <c r="H100" s="48" t="n">
        <f aca="false">$H$7*G100</f>
        <v>1.26388888888889</v>
      </c>
      <c r="I100" s="49" t="n">
        <f aca="false">0.5*c_rho*'P3 Energie'!F8*'P3 Energie'!F7*(H100-c_Vv)^2+'P3 Energie'!F13+'P3 Energie'!F15+'P3 Energie'!F6*$H$7</f>
        <v>19239.6896929354</v>
      </c>
      <c r="J100" s="50" t="n">
        <f aca="false">I100*H100</f>
        <v>24316.8300285712</v>
      </c>
    </row>
    <row r="101" customFormat="false" ht="15" hidden="false" customHeight="false" outlineLevel="0" collapsed="false">
      <c r="A101" s="46" t="n">
        <v>93</v>
      </c>
      <c r="B101" s="47" t="n">
        <f aca="false">(A101-1)*$C$6</f>
        <v>0.166209319088988</v>
      </c>
      <c r="C101" s="48" t="n">
        <f aca="false">$C$7*B101</f>
        <v>1.27777777777778</v>
      </c>
      <c r="D101" s="49" t="n">
        <f aca="false">0.5*c_rho*'P3 Energie'!E8*'P3 Energie'!E7*(C101-c_Vv)^2+'P3 Energie'!E13+'P3 Energie'!E15+'P3 Energie'!E6*$C$7</f>
        <v>18411.9183454915</v>
      </c>
      <c r="E101" s="50" t="n">
        <f aca="false">D101*C101</f>
        <v>23526.340108128</v>
      </c>
      <c r="F101" s="46" t="n">
        <v>93</v>
      </c>
      <c r="G101" s="47" t="n">
        <f aca="false">(F101-1)*$H$6</f>
        <v>0.166090619975944</v>
      </c>
      <c r="H101" s="48" t="n">
        <f aca="false">$H$7*G101</f>
        <v>1.27777777777778</v>
      </c>
      <c r="I101" s="49" t="n">
        <f aca="false">0.5*c_rho*'P3 Energie'!F8*'P3 Energie'!F7*(H101-c_Vv)^2+'P3 Energie'!F13+'P3 Energie'!F15+'P3 Energie'!F6*$H$7</f>
        <v>19239.7019438111</v>
      </c>
      <c r="J101" s="50" t="n">
        <f aca="false">I101*H101</f>
        <v>24584.0635948698</v>
      </c>
    </row>
    <row r="102" customFormat="false" ht="15" hidden="false" customHeight="false" outlineLevel="0" collapsed="false">
      <c r="A102" s="46" t="n">
        <v>94</v>
      </c>
      <c r="B102" s="47" t="n">
        <f aca="false">(A102-1)*$C$6</f>
        <v>0.168015942122564</v>
      </c>
      <c r="C102" s="48" t="n">
        <f aca="false">$C$7*B102</f>
        <v>1.29166666666667</v>
      </c>
      <c r="D102" s="49" t="n">
        <f aca="false">0.5*c_rho*'P3 Energie'!E8*'P3 Energie'!E7*(C102-c_Vv)^2+'P3 Energie'!E13+'P3 Energie'!E15+'P3 Energie'!E6*$C$7</f>
        <v>18411.932600153</v>
      </c>
      <c r="E102" s="50" t="n">
        <f aca="false">D102*C102</f>
        <v>23782.0796085309</v>
      </c>
      <c r="F102" s="46" t="n">
        <v>94</v>
      </c>
      <c r="G102" s="47" t="n">
        <f aca="false">(F102-1)*$H$6</f>
        <v>0.167895952801769</v>
      </c>
      <c r="H102" s="48" t="n">
        <f aca="false">$H$7*G102</f>
        <v>1.29166666666667</v>
      </c>
      <c r="I102" s="49" t="n">
        <f aca="false">0.5*c_rho*'P3 Energie'!F8*'P3 Energie'!F7*(H102-c_Vv)^2+'P3 Energie'!F13+'P3 Energie'!F15+'P3 Energie'!F6*$H$7</f>
        <v>19239.7143285762</v>
      </c>
      <c r="J102" s="50" t="n">
        <f aca="false">I102*H102</f>
        <v>24851.2976744109</v>
      </c>
    </row>
    <row r="103" customFormat="false" ht="15" hidden="false" customHeight="false" outlineLevel="0" collapsed="false">
      <c r="A103" s="46" t="n">
        <v>95</v>
      </c>
      <c r="B103" s="47" t="n">
        <f aca="false">(A103-1)*$C$6</f>
        <v>0.16982256515614</v>
      </c>
      <c r="C103" s="48" t="n">
        <f aca="false">$C$7*B103</f>
        <v>1.30555555555556</v>
      </c>
      <c r="D103" s="49" t="n">
        <f aca="false">0.5*c_rho*'P3 Energie'!E8*'P3 Energie'!E7*(C103-c_Vv)^2+'P3 Energie'!E13+'P3 Energie'!E15+'P3 Energie'!E6*$C$7</f>
        <v>18411.947008919</v>
      </c>
      <c r="E103" s="50" t="n">
        <f aca="false">D103*C103</f>
        <v>24037.8197060887</v>
      </c>
      <c r="F103" s="46" t="n">
        <v>95</v>
      </c>
      <c r="G103" s="47" t="n">
        <f aca="false">(F103-1)*$H$6</f>
        <v>0.169701285627595</v>
      </c>
      <c r="H103" s="48" t="n">
        <f aca="false">$H$7*G103</f>
        <v>1.30555555555556</v>
      </c>
      <c r="I103" s="49" t="n">
        <f aca="false">0.5*c_rho*'P3 Energie'!F8*'P3 Energie'!F7*(H103-c_Vv)^2+'P3 Energie'!F13+'P3 Energie'!F15+'P3 Energie'!F6*$H$7</f>
        <v>19239.7268472306</v>
      </c>
      <c r="J103" s="50" t="n">
        <f aca="false">I103*H103</f>
        <v>25118.5322727732</v>
      </c>
    </row>
    <row r="104" customFormat="false" ht="15" hidden="false" customHeight="false" outlineLevel="0" collapsed="false">
      <c r="A104" s="46" t="n">
        <v>96</v>
      </c>
      <c r="B104" s="47" t="n">
        <f aca="false">(A104-1)*$C$6</f>
        <v>0.171629188189716</v>
      </c>
      <c r="C104" s="48" t="n">
        <f aca="false">$C$7*B104</f>
        <v>1.31944444444444</v>
      </c>
      <c r="D104" s="49" t="n">
        <f aca="false">0.5*c_rho*'P3 Energie'!E8*'P3 Energie'!E7*(C104-c_Vv)^2+'P3 Energie'!E13+'P3 Energie'!E15+'P3 Energie'!E6*$C$7</f>
        <v>18411.9615717894</v>
      </c>
      <c r="E104" s="50" t="n">
        <f aca="false">D104*C104</f>
        <v>24293.5604072221</v>
      </c>
      <c r="F104" s="46" t="n">
        <v>96</v>
      </c>
      <c r="G104" s="47" t="n">
        <f aca="false">(F104-1)*$H$6</f>
        <v>0.17150661845342</v>
      </c>
      <c r="H104" s="48" t="n">
        <f aca="false">$H$7*G104</f>
        <v>1.31944444444444</v>
      </c>
      <c r="I104" s="49" t="n">
        <f aca="false">0.5*c_rho*'P3 Energie'!F8*'P3 Energie'!F7*(H104-c_Vv)^2+'P3 Energie'!F13+'P3 Energie'!F15+'P3 Energie'!F6*$H$7</f>
        <v>19239.7394997743</v>
      </c>
      <c r="J104" s="50" t="n">
        <f aca="false">I104*H104</f>
        <v>25385.7673955355</v>
      </c>
    </row>
    <row r="105" customFormat="false" ht="15" hidden="false" customHeight="false" outlineLevel="0" collapsed="false">
      <c r="A105" s="46" t="n">
        <v>97</v>
      </c>
      <c r="B105" s="47" t="n">
        <f aca="false">(A105-1)*$C$6</f>
        <v>0.173435811223292</v>
      </c>
      <c r="C105" s="48" t="n">
        <f aca="false">$C$7*B105</f>
        <v>1.33333333333333</v>
      </c>
      <c r="D105" s="49" t="n">
        <f aca="false">0.5*c_rho*'P3 Energie'!E8*'P3 Energie'!E7*(C105-c_Vv)^2+'P3 Energie'!E13+'P3 Energie'!E15+'P3 Energie'!E6*$C$7</f>
        <v>18411.9762887643</v>
      </c>
      <c r="E105" s="50" t="n">
        <f aca="false">D105*C105</f>
        <v>24549.3017183524</v>
      </c>
      <c r="F105" s="46" t="n">
        <v>97</v>
      </c>
      <c r="G105" s="47" t="n">
        <f aca="false">(F105-1)*$H$6</f>
        <v>0.173311951279246</v>
      </c>
      <c r="H105" s="48" t="n">
        <f aca="false">$H$7*G105</f>
        <v>1.33333333333333</v>
      </c>
      <c r="I105" s="49" t="n">
        <f aca="false">0.5*c_rho*'P3 Energie'!F8*'P3 Energie'!F7*(H105-c_Vv)^2+'P3 Energie'!F13+'P3 Energie'!F15+'P3 Energie'!F6*$H$7</f>
        <v>19239.7522862074</v>
      </c>
      <c r="J105" s="50" t="n">
        <f aca="false">I105*H105</f>
        <v>25653.0030482765</v>
      </c>
    </row>
    <row r="106" customFormat="false" ht="15" hidden="false" customHeight="false" outlineLevel="0" collapsed="false">
      <c r="A106" s="46" t="n">
        <v>98</v>
      </c>
      <c r="B106" s="47" t="n">
        <f aca="false">(A106-1)*$C$6</f>
        <v>0.175242434256867</v>
      </c>
      <c r="C106" s="48" t="n">
        <f aca="false">$C$7*B106</f>
        <v>1.34722222222222</v>
      </c>
      <c r="D106" s="49" t="n">
        <f aca="false">0.5*c_rho*'P3 Energie'!E8*'P3 Energie'!E7*(C106-c_Vv)^2+'P3 Energie'!E13+'P3 Energie'!E15+'P3 Energie'!E6*$C$7</f>
        <v>18411.9911598436</v>
      </c>
      <c r="E106" s="50" t="n">
        <f aca="false">D106*C106</f>
        <v>24805.0436459005</v>
      </c>
      <c r="F106" s="46" t="n">
        <v>98</v>
      </c>
      <c r="G106" s="47" t="n">
        <f aca="false">(F106-1)*$H$6</f>
        <v>0.175117284105071</v>
      </c>
      <c r="H106" s="48" t="n">
        <f aca="false">$H$7*G106</f>
        <v>1.34722222222222</v>
      </c>
      <c r="I106" s="49" t="n">
        <f aca="false">0.5*c_rho*'P3 Energie'!F8*'P3 Energie'!F7*(H106-c_Vv)^2+'P3 Energie'!F13+'P3 Energie'!F15+'P3 Energie'!F6*$H$7</f>
        <v>19239.7652065299</v>
      </c>
      <c r="J106" s="50" t="n">
        <f aca="false">I106*H106</f>
        <v>25920.239236575</v>
      </c>
    </row>
    <row r="107" customFormat="false" ht="15" hidden="false" customHeight="false" outlineLevel="0" collapsed="false">
      <c r="A107" s="46" t="n">
        <v>99</v>
      </c>
      <c r="B107" s="47" t="n">
        <f aca="false">(A107-1)*$C$6</f>
        <v>0.177049057290443</v>
      </c>
      <c r="C107" s="48" t="n">
        <f aca="false">$C$7*B107</f>
        <v>1.36111111111111</v>
      </c>
      <c r="D107" s="49" t="n">
        <f aca="false">0.5*c_rho*'P3 Energie'!E8*'P3 Energie'!E7*(C107-c_Vv)^2+'P3 Energie'!E13+'P3 Energie'!E15+'P3 Energie'!E6*$C$7</f>
        <v>18412.0061850274</v>
      </c>
      <c r="E107" s="50" t="n">
        <f aca="false">D107*C107</f>
        <v>25060.7861962873</v>
      </c>
      <c r="F107" s="46" t="n">
        <v>99</v>
      </c>
      <c r="G107" s="47" t="n">
        <f aca="false">(F107-1)*$H$6</f>
        <v>0.176922616930897</v>
      </c>
      <c r="H107" s="48" t="n">
        <f aca="false">$H$7*G107</f>
        <v>1.36111111111111</v>
      </c>
      <c r="I107" s="49" t="n">
        <f aca="false">0.5*c_rho*'P3 Energie'!F8*'P3 Energie'!F7*(H107-c_Vv)^2+'P3 Energie'!F13+'P3 Energie'!F15+'P3 Energie'!F6*$H$7</f>
        <v>19239.7782607417</v>
      </c>
      <c r="J107" s="50" t="n">
        <f aca="false">I107*H107</f>
        <v>26187.4759660095</v>
      </c>
    </row>
    <row r="108" customFormat="false" ht="15" hidden="false" customHeight="false" outlineLevel="0" collapsed="false">
      <c r="A108" s="46" t="n">
        <v>100</v>
      </c>
      <c r="B108" s="47" t="n">
        <f aca="false">(A108-1)*$C$6</f>
        <v>0.178855680324019</v>
      </c>
      <c r="C108" s="48" t="n">
        <f aca="false">$C$7*B108</f>
        <v>1.375</v>
      </c>
      <c r="D108" s="49" t="n">
        <f aca="false">0.5*c_rho*'P3 Energie'!E8*'P3 Energie'!E7*(C108-c_Vv)^2+'P3 Energie'!E13+'P3 Energie'!E15+'P3 Energie'!E6*$C$7</f>
        <v>18412.0213643157</v>
      </c>
      <c r="E108" s="50" t="n">
        <f aca="false">D108*C108</f>
        <v>25316.529375934</v>
      </c>
      <c r="F108" s="46" t="n">
        <v>100</v>
      </c>
      <c r="G108" s="47" t="n">
        <f aca="false">(F108-1)*$H$6</f>
        <v>0.178727949756722</v>
      </c>
      <c r="H108" s="48" t="n">
        <f aca="false">$H$7*G108</f>
        <v>1.375</v>
      </c>
      <c r="I108" s="49" t="n">
        <f aca="false">0.5*c_rho*'P3 Energie'!F8*'P3 Energie'!F7*(H108-c_Vv)^2+'P3 Energie'!F13+'P3 Energie'!F15+'P3 Energie'!F6*$H$7</f>
        <v>19239.7914488428</v>
      </c>
      <c r="J108" s="50" t="n">
        <f aca="false">I108*H108</f>
        <v>26454.7132421589</v>
      </c>
    </row>
    <row r="109" customFormat="false" ht="15" hidden="false" customHeight="false" outlineLevel="0" collapsed="false">
      <c r="A109" s="46" t="n">
        <v>101</v>
      </c>
      <c r="B109" s="47" t="n">
        <f aca="false">(A109-1)*$C$6</f>
        <v>0.180662303357595</v>
      </c>
      <c r="C109" s="48" t="n">
        <f aca="false">$C$7*B109</f>
        <v>1.38888888888889</v>
      </c>
      <c r="D109" s="49" t="n">
        <f aca="false">0.5*c_rho*'P3 Energie'!E8*'P3 Energie'!E7*(C109-c_Vv)^2+'P3 Energie'!E13+'P3 Energie'!E15+'P3 Energie'!E6*$C$7</f>
        <v>18412.0366977083</v>
      </c>
      <c r="E109" s="50" t="n">
        <f aca="false">D109*C109</f>
        <v>25572.2731912616</v>
      </c>
      <c r="F109" s="46" t="n">
        <v>101</v>
      </c>
      <c r="G109" s="47" t="n">
        <f aca="false">(F109-1)*$H$6</f>
        <v>0.180533282582548</v>
      </c>
      <c r="H109" s="48" t="n">
        <f aca="false">$H$7*G109</f>
        <v>1.38888888888889</v>
      </c>
      <c r="I109" s="49" t="n">
        <f aca="false">0.5*c_rho*'P3 Energie'!F8*'P3 Energie'!F7*(H109-c_Vv)^2+'P3 Energie'!F13+'P3 Energie'!F15+'P3 Energie'!F6*$H$7</f>
        <v>19239.8047708333</v>
      </c>
      <c r="J109" s="50" t="n">
        <f aca="false">I109*H109</f>
        <v>26721.9510706019</v>
      </c>
    </row>
    <row r="110" customFormat="false" ht="15" hidden="false" customHeight="false" outlineLevel="0" collapsed="false">
      <c r="A110" s="46" t="n">
        <v>102</v>
      </c>
      <c r="B110" s="47" t="n">
        <f aca="false">(A110-1)*$C$6</f>
        <v>0.182468926391171</v>
      </c>
      <c r="C110" s="48" t="n">
        <f aca="false">$C$7*B110</f>
        <v>1.40277777777778</v>
      </c>
      <c r="D110" s="49" t="n">
        <f aca="false">0.5*c_rho*'P3 Energie'!E8*'P3 Energie'!E7*(C110-c_Vv)^2+'P3 Energie'!E13+'P3 Energie'!E15+'P3 Energie'!E6*$C$7</f>
        <v>18412.0521852055</v>
      </c>
      <c r="E110" s="50" t="n">
        <f aca="false">D110*C110</f>
        <v>25828.017648691</v>
      </c>
      <c r="F110" s="46" t="n">
        <v>102</v>
      </c>
      <c r="G110" s="47" t="n">
        <f aca="false">(F110-1)*$H$6</f>
        <v>0.182338615408373</v>
      </c>
      <c r="H110" s="48" t="n">
        <f aca="false">$H$7*G110</f>
        <v>1.40277777777778</v>
      </c>
      <c r="I110" s="49" t="n">
        <f aca="false">0.5*c_rho*'P3 Energie'!F8*'P3 Energie'!F7*(H110-c_Vv)^2+'P3 Energie'!F13+'P3 Energie'!F15+'P3 Energie'!F6*$H$7</f>
        <v>19239.8182267132</v>
      </c>
      <c r="J110" s="50" t="n">
        <f aca="false">I110*H110</f>
        <v>26989.1894569171</v>
      </c>
    </row>
    <row r="111" customFormat="false" ht="15" hidden="false" customHeight="false" outlineLevel="0" collapsed="false">
      <c r="A111" s="46" t="n">
        <v>103</v>
      </c>
      <c r="B111" s="47" t="n">
        <f aca="false">(A111-1)*$C$6</f>
        <v>0.184275549424747</v>
      </c>
      <c r="C111" s="48" t="n">
        <f aca="false">$C$7*B111</f>
        <v>1.41666666666667</v>
      </c>
      <c r="D111" s="49" t="n">
        <f aca="false">0.5*c_rho*'P3 Energie'!E8*'P3 Energie'!E7*(C111-c_Vv)^2+'P3 Energie'!E13+'P3 Energie'!E15+'P3 Energie'!E6*$C$7</f>
        <v>18412.0678268071</v>
      </c>
      <c r="E111" s="50" t="n">
        <f aca="false">D111*C111</f>
        <v>26083.7627546433</v>
      </c>
      <c r="F111" s="46" t="n">
        <v>103</v>
      </c>
      <c r="G111" s="47" t="n">
        <f aca="false">(F111-1)*$H$6</f>
        <v>0.184143948234199</v>
      </c>
      <c r="H111" s="48" t="n">
        <f aca="false">$H$7*G111</f>
        <v>1.41666666666667</v>
      </c>
      <c r="I111" s="49" t="n">
        <f aca="false">0.5*c_rho*'P3 Energie'!F8*'P3 Energie'!F7*(H111-c_Vv)^2+'P3 Energie'!F13+'P3 Energie'!F15+'P3 Energie'!F6*$H$7</f>
        <v>19239.8318164824</v>
      </c>
      <c r="J111" s="50" t="n">
        <f aca="false">I111*H111</f>
        <v>27256.4284066834</v>
      </c>
    </row>
    <row r="112" customFormat="false" ht="15" hidden="false" customHeight="false" outlineLevel="0" collapsed="false">
      <c r="A112" s="46" t="n">
        <v>104</v>
      </c>
      <c r="B112" s="47" t="n">
        <f aca="false">(A112-1)*$C$6</f>
        <v>0.186082172458323</v>
      </c>
      <c r="C112" s="48" t="n">
        <f aca="false">$C$7*B112</f>
        <v>1.43055555555556</v>
      </c>
      <c r="D112" s="49" t="n">
        <f aca="false">0.5*c_rho*'P3 Energie'!E8*'P3 Energie'!E7*(C112-c_Vv)^2+'P3 Energie'!E13+'P3 Energie'!E15+'P3 Energie'!E6*$C$7</f>
        <v>18412.0836225131</v>
      </c>
      <c r="E112" s="50" t="n">
        <f aca="false">D112*C112</f>
        <v>26339.5085155395</v>
      </c>
      <c r="F112" s="46" t="n">
        <v>104</v>
      </c>
      <c r="G112" s="47" t="n">
        <f aca="false">(F112-1)*$H$6</f>
        <v>0.185949281060024</v>
      </c>
      <c r="H112" s="48" t="n">
        <f aca="false">$H$7*G112</f>
        <v>1.43055555555556</v>
      </c>
      <c r="I112" s="49" t="n">
        <f aca="false">0.5*c_rho*'P3 Energie'!F8*'P3 Energie'!F7*(H112-c_Vv)^2+'P3 Energie'!F13+'P3 Energie'!F15+'P3 Energie'!F6*$H$7</f>
        <v>19239.845540141</v>
      </c>
      <c r="J112" s="50" t="n">
        <f aca="false">I112*H112</f>
        <v>27523.6679254795</v>
      </c>
    </row>
    <row r="113" customFormat="false" ht="15" hidden="false" customHeight="false" outlineLevel="0" collapsed="false">
      <c r="A113" s="46" t="n">
        <v>105</v>
      </c>
      <c r="B113" s="47" t="n">
        <f aca="false">(A113-1)*$C$6</f>
        <v>0.187888795491899</v>
      </c>
      <c r="C113" s="48" t="n">
        <f aca="false">$C$7*B113</f>
        <v>1.44444444444444</v>
      </c>
      <c r="D113" s="49" t="n">
        <f aca="false">0.5*c_rho*'P3 Energie'!E8*'P3 Energie'!E7*(C113-c_Vv)^2+'P3 Energie'!E13+'P3 Energie'!E15+'P3 Energie'!E6*$C$7</f>
        <v>18412.0995723236</v>
      </c>
      <c r="E113" s="50" t="n">
        <f aca="false">D113*C113</f>
        <v>26595.2549378007</v>
      </c>
      <c r="F113" s="46" t="n">
        <v>105</v>
      </c>
      <c r="G113" s="47" t="n">
        <f aca="false">(F113-1)*$H$6</f>
        <v>0.187754613885849</v>
      </c>
      <c r="H113" s="48" t="n">
        <f aca="false">$H$7*G113</f>
        <v>1.44444444444444</v>
      </c>
      <c r="I113" s="49" t="n">
        <f aca="false">0.5*c_rho*'P3 Energie'!F8*'P3 Energie'!F7*(H113-c_Vv)^2+'P3 Energie'!F13+'P3 Energie'!F15+'P3 Energie'!F6*$H$7</f>
        <v>19239.8593976889</v>
      </c>
      <c r="J113" s="50" t="n">
        <f aca="false">I113*H113</f>
        <v>27790.908018884</v>
      </c>
    </row>
    <row r="114" customFormat="false" ht="15" hidden="false" customHeight="false" outlineLevel="0" collapsed="false">
      <c r="A114" s="46" t="n">
        <v>106</v>
      </c>
      <c r="B114" s="47" t="n">
        <f aca="false">(A114-1)*$C$6</f>
        <v>0.189695418525475</v>
      </c>
      <c r="C114" s="48" t="n">
        <f aca="false">$C$7*B114</f>
        <v>1.45833333333333</v>
      </c>
      <c r="D114" s="49" t="n">
        <f aca="false">0.5*c_rho*'P3 Energie'!E8*'P3 Energie'!E7*(C114-c_Vv)^2+'P3 Energie'!E13+'P3 Energie'!E15+'P3 Energie'!E6*$C$7</f>
        <v>18412.1156762385</v>
      </c>
      <c r="E114" s="50" t="n">
        <f aca="false">D114*C114</f>
        <v>26851.0020278478</v>
      </c>
      <c r="F114" s="46" t="n">
        <v>106</v>
      </c>
      <c r="G114" s="47" t="n">
        <f aca="false">(F114-1)*$H$6</f>
        <v>0.189559946711675</v>
      </c>
      <c r="H114" s="48" t="n">
        <f aca="false">$H$7*G114</f>
        <v>1.45833333333333</v>
      </c>
      <c r="I114" s="49" t="n">
        <f aca="false">0.5*c_rho*'P3 Energie'!F8*'P3 Energie'!F7*(H114-c_Vv)^2+'P3 Energie'!F13+'P3 Energie'!F15+'P3 Energie'!F6*$H$7</f>
        <v>19239.8733891262</v>
      </c>
      <c r="J114" s="50" t="n">
        <f aca="false">I114*H114</f>
        <v>28058.1486924756</v>
      </c>
    </row>
    <row r="115" customFormat="false" ht="15" hidden="false" customHeight="false" outlineLevel="0" collapsed="false">
      <c r="A115" s="46" t="n">
        <v>107</v>
      </c>
      <c r="B115" s="47" t="n">
        <f aca="false">(A115-1)*$C$6</f>
        <v>0.191502041559051</v>
      </c>
      <c r="C115" s="48" t="n">
        <f aca="false">$C$7*B115</f>
        <v>1.47222222222222</v>
      </c>
      <c r="D115" s="49" t="n">
        <f aca="false">0.5*c_rho*'P3 Energie'!E8*'P3 Energie'!E7*(C115-c_Vv)^2+'P3 Energie'!E13+'P3 Energie'!E15+'P3 Energie'!E6*$C$7</f>
        <v>18412.1319342579</v>
      </c>
      <c r="E115" s="50" t="n">
        <f aca="false">D115*C115</f>
        <v>27106.7497921019</v>
      </c>
      <c r="F115" s="46" t="n">
        <v>107</v>
      </c>
      <c r="G115" s="47" t="n">
        <f aca="false">(F115-1)*$H$6</f>
        <v>0.1913652795375</v>
      </c>
      <c r="H115" s="48" t="n">
        <f aca="false">$H$7*G115</f>
        <v>1.47222222222222</v>
      </c>
      <c r="I115" s="49" t="n">
        <f aca="false">0.5*c_rho*'P3 Energie'!F8*'P3 Energie'!F7*(H115-c_Vv)^2+'P3 Energie'!F13+'P3 Energie'!F15+'P3 Energie'!F6*$H$7</f>
        <v>19239.8875144528</v>
      </c>
      <c r="J115" s="50" t="n">
        <f aca="false">I115*H115</f>
        <v>28325.3899518333</v>
      </c>
    </row>
    <row r="116" customFormat="false" ht="15" hidden="false" customHeight="false" outlineLevel="0" collapsed="false">
      <c r="A116" s="46" t="n">
        <v>108</v>
      </c>
      <c r="B116" s="47" t="n">
        <f aca="false">(A116-1)*$C$6</f>
        <v>0.193308664592627</v>
      </c>
      <c r="C116" s="48" t="n">
        <f aca="false">$C$7*B116</f>
        <v>1.48611111111111</v>
      </c>
      <c r="D116" s="49" t="n">
        <f aca="false">0.5*c_rho*'P3 Energie'!E8*'P3 Energie'!E7*(C116-c_Vv)^2+'P3 Energie'!E13+'P3 Energie'!E15+'P3 Energie'!E6*$C$7</f>
        <v>18412.1483463817</v>
      </c>
      <c r="E116" s="50" t="n">
        <f aca="false">D116*C116</f>
        <v>27362.4982369839</v>
      </c>
      <c r="F116" s="46" t="n">
        <v>108</v>
      </c>
      <c r="G116" s="47" t="n">
        <f aca="false">(F116-1)*$H$6</f>
        <v>0.193170612363326</v>
      </c>
      <c r="H116" s="48" t="n">
        <f aca="false">$H$7*G116</f>
        <v>1.48611111111111</v>
      </c>
      <c r="I116" s="49" t="n">
        <f aca="false">0.5*c_rho*'P3 Energie'!F8*'P3 Energie'!F7*(H116-c_Vv)^2+'P3 Energie'!F13+'P3 Energie'!F15+'P3 Energie'!F6*$H$7</f>
        <v>19239.9017736688</v>
      </c>
      <c r="J116" s="50" t="n">
        <f aca="false">I116*H116</f>
        <v>28592.6318025355</v>
      </c>
    </row>
    <row r="117" customFormat="false" ht="15" hidden="false" customHeight="false" outlineLevel="0" collapsed="false">
      <c r="A117" s="46" t="n">
        <v>109</v>
      </c>
      <c r="B117" s="47" t="n">
        <f aca="false">(A117-1)*$C$6</f>
        <v>0.195115287626203</v>
      </c>
      <c r="C117" s="48" t="n">
        <f aca="false">$C$7*B117</f>
        <v>1.5</v>
      </c>
      <c r="D117" s="49" t="n">
        <f aca="false">0.5*c_rho*'P3 Energie'!E8*'P3 Energie'!E7*(C117-c_Vv)^2+'P3 Energie'!E13+'P3 Energie'!E15+'P3 Energie'!E6*$C$7</f>
        <v>18412.16491261</v>
      </c>
      <c r="E117" s="50" t="n">
        <f aca="false">D117*C117</f>
        <v>27618.247368915</v>
      </c>
      <c r="F117" s="46" t="n">
        <v>109</v>
      </c>
      <c r="G117" s="47" t="n">
        <f aca="false">(F117-1)*$H$6</f>
        <v>0.194975945189151</v>
      </c>
      <c r="H117" s="48" t="n">
        <f aca="false">$H$7*G117</f>
        <v>1.5</v>
      </c>
      <c r="I117" s="49" t="n">
        <f aca="false">0.5*c_rho*'P3 Energie'!F8*'P3 Energie'!F7*(H117-c_Vv)^2+'P3 Energie'!F13+'P3 Energie'!F15+'P3 Energie'!F6*$H$7</f>
        <v>19239.9161667741</v>
      </c>
      <c r="J117" s="50" t="n">
        <f aca="false">I117*H117</f>
        <v>28859.8742501611</v>
      </c>
    </row>
    <row r="118" customFormat="false" ht="15" hidden="false" customHeight="false" outlineLevel="0" collapsed="false">
      <c r="A118" s="46" t="n">
        <v>110</v>
      </c>
      <c r="B118" s="47" t="n">
        <f aca="false">(A118-1)*$C$6</f>
        <v>0.196921910659779</v>
      </c>
      <c r="C118" s="48" t="n">
        <f aca="false">$C$7*B118</f>
        <v>1.51388888888889</v>
      </c>
      <c r="D118" s="49" t="n">
        <f aca="false">0.5*c_rho*'P3 Energie'!E8*'P3 Energie'!E7*(C118-c_Vv)^2+'P3 Energie'!E13+'P3 Energie'!E15+'P3 Energie'!E6*$C$7</f>
        <v>18412.1816329427</v>
      </c>
      <c r="E118" s="50" t="n">
        <f aca="false">D118*C118</f>
        <v>27873.997194316</v>
      </c>
      <c r="F118" s="46" t="n">
        <v>110</v>
      </c>
      <c r="G118" s="47" t="n">
        <f aca="false">(F118-1)*$H$6</f>
        <v>0.196781278014977</v>
      </c>
      <c r="H118" s="48" t="n">
        <f aca="false">$H$7*G118</f>
        <v>1.51388888888889</v>
      </c>
      <c r="I118" s="49" t="n">
        <f aca="false">0.5*c_rho*'P3 Energie'!F8*'P3 Energie'!F7*(H118-c_Vv)^2+'P3 Energie'!F13+'P3 Energie'!F15+'P3 Energie'!F6*$H$7</f>
        <v>19239.9306937688</v>
      </c>
      <c r="J118" s="50" t="n">
        <f aca="false">I118*H118</f>
        <v>29127.1173002888</v>
      </c>
    </row>
    <row r="119" customFormat="false" ht="15" hidden="false" customHeight="false" outlineLevel="0" collapsed="false">
      <c r="A119" s="46" t="n">
        <v>111</v>
      </c>
      <c r="B119" s="47" t="n">
        <f aca="false">(A119-1)*$C$6</f>
        <v>0.198728533693355</v>
      </c>
      <c r="C119" s="48" t="n">
        <f aca="false">$C$7*B119</f>
        <v>1.52777777777778</v>
      </c>
      <c r="D119" s="49" t="n">
        <f aca="false">0.5*c_rho*'P3 Energie'!E8*'P3 Energie'!E7*(C119-c_Vv)^2+'P3 Energie'!E13+'P3 Energie'!E15+'P3 Energie'!E6*$C$7</f>
        <v>18412.1985073799</v>
      </c>
      <c r="E119" s="50" t="n">
        <f aca="false">D119*C119</f>
        <v>28129.7477196081</v>
      </c>
      <c r="F119" s="46" t="n">
        <v>111</v>
      </c>
      <c r="G119" s="47" t="n">
        <f aca="false">(F119-1)*$H$6</f>
        <v>0.198586610840802</v>
      </c>
      <c r="H119" s="48" t="n">
        <f aca="false">$H$7*G119</f>
        <v>1.52777777777778</v>
      </c>
      <c r="I119" s="49" t="n">
        <f aca="false">0.5*c_rho*'P3 Energie'!F8*'P3 Energie'!F7*(H119-c_Vv)^2+'P3 Energie'!F13+'P3 Energie'!F15+'P3 Energie'!F6*$H$7</f>
        <v>19239.9453546528</v>
      </c>
      <c r="J119" s="50" t="n">
        <f aca="false">I119*H119</f>
        <v>29394.3609584973</v>
      </c>
    </row>
    <row r="120" customFormat="false" ht="15" hidden="false" customHeight="false" outlineLevel="0" collapsed="false">
      <c r="A120" s="46" t="n">
        <v>112</v>
      </c>
      <c r="B120" s="47" t="n">
        <f aca="false">(A120-1)*$C$6</f>
        <v>0.200535156726931</v>
      </c>
      <c r="C120" s="48" t="n">
        <f aca="false">$C$7*B120</f>
        <v>1.54166666666667</v>
      </c>
      <c r="D120" s="49" t="n">
        <f aca="false">0.5*c_rho*'P3 Energie'!E8*'P3 Energie'!E7*(C120-c_Vv)^2+'P3 Energie'!E13+'P3 Energie'!E15+'P3 Energie'!E6*$C$7</f>
        <v>18412.2155359215</v>
      </c>
      <c r="E120" s="50" t="n">
        <f aca="false">D120*C120</f>
        <v>28385.4989512123</v>
      </c>
      <c r="F120" s="46" t="n">
        <v>112</v>
      </c>
      <c r="G120" s="47" t="n">
        <f aca="false">(F120-1)*$H$6</f>
        <v>0.200391943666628</v>
      </c>
      <c r="H120" s="48" t="n">
        <f aca="false">$H$7*G120</f>
        <v>1.54166666666667</v>
      </c>
      <c r="I120" s="49" t="n">
        <f aca="false">0.5*c_rho*'P3 Energie'!F8*'P3 Energie'!F7*(H120-c_Vv)^2+'P3 Energie'!F13+'P3 Energie'!F15+'P3 Energie'!F6*$H$7</f>
        <v>19239.9601494262</v>
      </c>
      <c r="J120" s="50" t="n">
        <f aca="false">I120*H120</f>
        <v>29661.6052303653</v>
      </c>
    </row>
    <row r="121" customFormat="false" ht="15" hidden="false" customHeight="false" outlineLevel="0" collapsed="false">
      <c r="A121" s="46" t="n">
        <v>113</v>
      </c>
      <c r="B121" s="47" t="n">
        <f aca="false">(A121-1)*$C$6</f>
        <v>0.202341779760507</v>
      </c>
      <c r="C121" s="48" t="n">
        <f aca="false">$C$7*B121</f>
        <v>1.55555555555556</v>
      </c>
      <c r="D121" s="49" t="n">
        <f aca="false">0.5*c_rho*'P3 Energie'!E8*'P3 Energie'!E7*(C121-c_Vv)^2+'P3 Energie'!E13+'P3 Energie'!E15+'P3 Energie'!E6*$C$7</f>
        <v>18412.2327185676</v>
      </c>
      <c r="E121" s="50" t="n">
        <f aca="false">D121*C121</f>
        <v>28641.2508955495</v>
      </c>
      <c r="F121" s="46" t="n">
        <v>113</v>
      </c>
      <c r="G121" s="47" t="n">
        <f aca="false">(F121-1)*$H$6</f>
        <v>0.202197276492453</v>
      </c>
      <c r="H121" s="48" t="n">
        <f aca="false">$H$7*G121</f>
        <v>1.55555555555556</v>
      </c>
      <c r="I121" s="49" t="n">
        <f aca="false">0.5*c_rho*'P3 Energie'!F8*'P3 Energie'!F7*(H121-c_Vv)^2+'P3 Energie'!F13+'P3 Energie'!F15+'P3 Energie'!F6*$H$7</f>
        <v>19239.9750780889</v>
      </c>
      <c r="J121" s="50" t="n">
        <f aca="false">I121*H121</f>
        <v>29928.8501214716</v>
      </c>
    </row>
    <row r="122" customFormat="false" ht="15" hidden="false" customHeight="false" outlineLevel="0" collapsed="false">
      <c r="A122" s="46" t="n">
        <v>114</v>
      </c>
      <c r="B122" s="47" t="n">
        <f aca="false">(A122-1)*$C$6</f>
        <v>0.204148402794083</v>
      </c>
      <c r="C122" s="48" t="n">
        <f aca="false">$C$7*B122</f>
        <v>1.56944444444444</v>
      </c>
      <c r="D122" s="49" t="n">
        <f aca="false">0.5*c_rho*'P3 Energie'!E8*'P3 Energie'!E7*(C122-c_Vv)^2+'P3 Energie'!E13+'P3 Energie'!E15+'P3 Energie'!E6*$C$7</f>
        <v>18412.2500553181</v>
      </c>
      <c r="E122" s="50" t="n">
        <f aca="false">D122*C122</f>
        <v>28897.0035590409</v>
      </c>
      <c r="F122" s="46" t="n">
        <v>114</v>
      </c>
      <c r="G122" s="47" t="n">
        <f aca="false">(F122-1)*$H$6</f>
        <v>0.204002609318279</v>
      </c>
      <c r="H122" s="48" t="n">
        <f aca="false">$H$7*G122</f>
        <v>1.56944444444444</v>
      </c>
      <c r="I122" s="49" t="n">
        <f aca="false">0.5*c_rho*'P3 Energie'!F8*'P3 Energie'!F7*(H122-c_Vv)^2+'P3 Energie'!F13+'P3 Energie'!F15+'P3 Energie'!F6*$H$7</f>
        <v>19239.990140641</v>
      </c>
      <c r="J122" s="50" t="n">
        <f aca="false">I122*H122</f>
        <v>30196.0956373949</v>
      </c>
    </row>
    <row r="123" customFormat="false" ht="15" hidden="false" customHeight="false" outlineLevel="0" collapsed="false">
      <c r="A123" s="46" t="n">
        <v>115</v>
      </c>
      <c r="B123" s="47" t="n">
        <f aca="false">(A123-1)*$C$6</f>
        <v>0.205955025827659</v>
      </c>
      <c r="C123" s="48" t="n">
        <f aca="false">$C$7*B123</f>
        <v>1.58333333333333</v>
      </c>
      <c r="D123" s="49" t="n">
        <f aca="false">0.5*c_rho*'P3 Energie'!E8*'P3 Energie'!E7*(C123-c_Vv)^2+'P3 Energie'!E13+'P3 Energie'!E15+'P3 Energie'!E6*$C$7</f>
        <v>18412.2675461731</v>
      </c>
      <c r="E123" s="50" t="n">
        <f aca="false">D123*C123</f>
        <v>29152.7569481073</v>
      </c>
      <c r="F123" s="46" t="n">
        <v>115</v>
      </c>
      <c r="G123" s="47" t="n">
        <f aca="false">(F123-1)*$H$6</f>
        <v>0.205807942144104</v>
      </c>
      <c r="H123" s="48" t="n">
        <f aca="false">$H$7*G123</f>
        <v>1.58333333333333</v>
      </c>
      <c r="I123" s="49" t="n">
        <f aca="false">0.5*c_rho*'P3 Energie'!F8*'P3 Energie'!F7*(H123-c_Vv)^2+'P3 Energie'!F13+'P3 Energie'!F15+'P3 Energie'!F6*$H$7</f>
        <v>19240.0053370824</v>
      </c>
      <c r="J123" s="50" t="n">
        <f aca="false">I123*H123</f>
        <v>30463.3417837138</v>
      </c>
    </row>
    <row r="124" customFormat="false" ht="15" hidden="false" customHeight="false" outlineLevel="0" collapsed="false">
      <c r="A124" s="46" t="n">
        <v>116</v>
      </c>
      <c r="B124" s="47" t="n">
        <f aca="false">(A124-1)*$C$6</f>
        <v>0.207761648861235</v>
      </c>
      <c r="C124" s="48" t="n">
        <f aca="false">$C$7*B124</f>
        <v>1.59722222222222</v>
      </c>
      <c r="D124" s="49" t="n">
        <f aca="false">0.5*c_rho*'P3 Energie'!E8*'P3 Energie'!E7*(C124-c_Vv)^2+'P3 Energie'!E13+'P3 Energie'!E15+'P3 Energie'!E6*$C$7</f>
        <v>18412.2851911325</v>
      </c>
      <c r="E124" s="50" t="n">
        <f aca="false">D124*C124</f>
        <v>29408.5110691699</v>
      </c>
      <c r="F124" s="46" t="n">
        <v>116</v>
      </c>
      <c r="G124" s="47" t="n">
        <f aca="false">(F124-1)*$H$6</f>
        <v>0.20761327496993</v>
      </c>
      <c r="H124" s="48" t="n">
        <f aca="false">$H$7*G124</f>
        <v>1.59722222222222</v>
      </c>
      <c r="I124" s="49" t="n">
        <f aca="false">0.5*c_rho*'P3 Energie'!F8*'P3 Energie'!F7*(H124-c_Vv)^2+'P3 Energie'!F13+'P3 Energie'!F15+'P3 Energie'!F6*$H$7</f>
        <v>19240.0206674132</v>
      </c>
      <c r="J124" s="50" t="n">
        <f aca="false">I124*H124</f>
        <v>30730.5885660072</v>
      </c>
    </row>
    <row r="125" customFormat="false" ht="15" hidden="false" customHeight="false" outlineLevel="0" collapsed="false">
      <c r="A125" s="46" t="n">
        <v>117</v>
      </c>
      <c r="B125" s="47" t="n">
        <f aca="false">(A125-1)*$C$6</f>
        <v>0.209568271894811</v>
      </c>
      <c r="C125" s="48" t="n">
        <f aca="false">$C$7*B125</f>
        <v>1.61111111111111</v>
      </c>
      <c r="D125" s="49" t="n">
        <f aca="false">0.5*c_rho*'P3 Energie'!E8*'P3 Energie'!E7*(C125-c_Vv)^2+'P3 Energie'!E13+'P3 Energie'!E15+'P3 Energie'!E6*$C$7</f>
        <v>18412.3029901963</v>
      </c>
      <c r="E125" s="50" t="n">
        <f aca="false">D125*C125</f>
        <v>29664.2659286497</v>
      </c>
      <c r="F125" s="46" t="n">
        <v>117</v>
      </c>
      <c r="G125" s="47" t="n">
        <f aca="false">(F125-1)*$H$6</f>
        <v>0.209418607795755</v>
      </c>
      <c r="H125" s="48" t="n">
        <f aca="false">$H$7*G125</f>
        <v>1.61111111111111</v>
      </c>
      <c r="I125" s="49" t="n">
        <f aca="false">0.5*c_rho*'P3 Energie'!F8*'P3 Energie'!F7*(H125-c_Vv)^2+'P3 Energie'!F13+'P3 Energie'!F15+'P3 Energie'!F6*$H$7</f>
        <v>19240.0361316333</v>
      </c>
      <c r="J125" s="50" t="n">
        <f aca="false">I125*H125</f>
        <v>30997.8359898537</v>
      </c>
    </row>
    <row r="126" customFormat="false" ht="15" hidden="false" customHeight="false" outlineLevel="0" collapsed="false">
      <c r="A126" s="46" t="n">
        <v>118</v>
      </c>
      <c r="B126" s="47" t="n">
        <f aca="false">(A126-1)*$C$6</f>
        <v>0.211374894928387</v>
      </c>
      <c r="C126" s="48" t="n">
        <f aca="false">$C$7*B126</f>
        <v>1.625</v>
      </c>
      <c r="D126" s="49" t="n">
        <f aca="false">0.5*c_rho*'P3 Energie'!E8*'P3 Energie'!E7*(C126-c_Vv)^2+'P3 Energie'!E13+'P3 Energie'!E15+'P3 Energie'!E6*$C$7</f>
        <v>18412.3209433647</v>
      </c>
      <c r="E126" s="50" t="n">
        <f aca="false">D126*C126</f>
        <v>29920.0215329676</v>
      </c>
      <c r="F126" s="46" t="n">
        <v>118</v>
      </c>
      <c r="G126" s="47" t="n">
        <f aca="false">(F126-1)*$H$6</f>
        <v>0.211223940621581</v>
      </c>
      <c r="H126" s="48" t="n">
        <f aca="false">$H$7*G126</f>
        <v>1.625</v>
      </c>
      <c r="I126" s="49" t="n">
        <f aca="false">0.5*c_rho*'P3 Energie'!F8*'P3 Energie'!F7*(H126-c_Vv)^2+'P3 Energie'!F13+'P3 Energie'!F15+'P3 Energie'!F6*$H$7</f>
        <v>19240.0517297428</v>
      </c>
      <c r="J126" s="50" t="n">
        <f aca="false">I126*H126</f>
        <v>31265.0840608321</v>
      </c>
    </row>
    <row r="127" customFormat="false" ht="15" hidden="false" customHeight="false" outlineLevel="0" collapsed="false">
      <c r="A127" s="46" t="n">
        <v>119</v>
      </c>
      <c r="B127" s="47" t="n">
        <f aca="false">(A127-1)*$C$6</f>
        <v>0.213181517961963</v>
      </c>
      <c r="C127" s="48" t="n">
        <f aca="false">$C$7*B127</f>
        <v>1.63888888888889</v>
      </c>
      <c r="D127" s="49" t="n">
        <f aca="false">0.5*c_rho*'P3 Energie'!E8*'P3 Energie'!E7*(C127-c_Vv)^2+'P3 Energie'!E13+'P3 Energie'!E15+'P3 Energie'!E6*$C$7</f>
        <v>18412.3390506374</v>
      </c>
      <c r="E127" s="50" t="n">
        <f aca="false">D127*C127</f>
        <v>30175.7778885447</v>
      </c>
      <c r="F127" s="46" t="n">
        <v>119</v>
      </c>
      <c r="G127" s="47" t="n">
        <f aca="false">(F127-1)*$H$6</f>
        <v>0.213029273447406</v>
      </c>
      <c r="H127" s="48" t="n">
        <f aca="false">$H$7*G127</f>
        <v>1.63888888888889</v>
      </c>
      <c r="I127" s="49" t="n">
        <f aca="false">0.5*c_rho*'P3 Energie'!F8*'P3 Energie'!F7*(H127-c_Vv)^2+'P3 Energie'!F13+'P3 Energie'!F15+'P3 Energie'!F6*$H$7</f>
        <v>19240.0674617417</v>
      </c>
      <c r="J127" s="50" t="n">
        <f aca="false">I127*H127</f>
        <v>31532.3327845211</v>
      </c>
    </row>
    <row r="128" customFormat="false" ht="15" hidden="false" customHeight="false" outlineLevel="0" collapsed="false">
      <c r="A128" s="46" t="n">
        <v>120</v>
      </c>
      <c r="B128" s="47" t="n">
        <f aca="false">(A128-1)*$C$6</f>
        <v>0.214988140995538</v>
      </c>
      <c r="C128" s="48" t="n">
        <f aca="false">$C$7*B128</f>
        <v>1.65277777777778</v>
      </c>
      <c r="D128" s="49" t="n">
        <f aca="false">0.5*c_rho*'P3 Energie'!E8*'P3 Energie'!E7*(C128-c_Vv)^2+'P3 Energie'!E13+'P3 Energie'!E15+'P3 Energie'!E6*$C$7</f>
        <v>18412.3573120146</v>
      </c>
      <c r="E128" s="50" t="n">
        <f aca="false">D128*C128</f>
        <v>30431.535001802</v>
      </c>
      <c r="F128" s="46" t="n">
        <v>120</v>
      </c>
      <c r="G128" s="47" t="n">
        <f aca="false">(F128-1)*$H$6</f>
        <v>0.214834606273232</v>
      </c>
      <c r="H128" s="48" t="n">
        <f aca="false">$H$7*G128</f>
        <v>1.65277777777778</v>
      </c>
      <c r="I128" s="49" t="n">
        <f aca="false">0.5*c_rho*'P3 Energie'!F8*'P3 Energie'!F7*(H128-c_Vv)^2+'P3 Energie'!F13+'P3 Energie'!F15+'P3 Energie'!F6*$H$7</f>
        <v>19240.0833276299</v>
      </c>
      <c r="J128" s="50" t="n">
        <f aca="false">I128*H128</f>
        <v>31799.5821664994</v>
      </c>
    </row>
    <row r="129" customFormat="false" ht="15" hidden="false" customHeight="false" outlineLevel="0" collapsed="false">
      <c r="A129" s="46" t="n">
        <v>121</v>
      </c>
      <c r="B129" s="47" t="n">
        <f aca="false">(A129-1)*$C$6</f>
        <v>0.216794764029114</v>
      </c>
      <c r="C129" s="48" t="n">
        <f aca="false">$C$7*B129</f>
        <v>1.66666666666667</v>
      </c>
      <c r="D129" s="49" t="n">
        <f aca="false">0.5*c_rho*'P3 Energie'!E8*'P3 Energie'!E7*(C129-c_Vv)^2+'P3 Energie'!E13+'P3 Energie'!E15+'P3 Energie'!E6*$C$7</f>
        <v>18412.3757274963</v>
      </c>
      <c r="E129" s="50" t="n">
        <f aca="false">D129*C129</f>
        <v>30687.2928791605</v>
      </c>
      <c r="F129" s="46" t="n">
        <v>121</v>
      </c>
      <c r="G129" s="47" t="n">
        <f aca="false">(F129-1)*$H$6</f>
        <v>0.216639939099057</v>
      </c>
      <c r="H129" s="48" t="n">
        <f aca="false">$H$7*G129</f>
        <v>1.66666666666667</v>
      </c>
      <c r="I129" s="49" t="n">
        <f aca="false">0.5*c_rho*'P3 Energie'!F8*'P3 Energie'!F7*(H129-c_Vv)^2+'P3 Energie'!F13+'P3 Energie'!F15+'P3 Energie'!F6*$H$7</f>
        <v>19240.0993274074</v>
      </c>
      <c r="J129" s="50" t="n">
        <f aca="false">I129*H129</f>
        <v>32066.8322123457</v>
      </c>
    </row>
    <row r="130" customFormat="false" ht="15" hidden="false" customHeight="false" outlineLevel="0" collapsed="false">
      <c r="A130" s="46" t="n">
        <v>122</v>
      </c>
      <c r="B130" s="47" t="n">
        <f aca="false">(A130-1)*$C$6</f>
        <v>0.21860138706269</v>
      </c>
      <c r="C130" s="48" t="n">
        <f aca="false">$C$7*B130</f>
        <v>1.68055555555556</v>
      </c>
      <c r="D130" s="49" t="n">
        <f aca="false">0.5*c_rho*'P3 Energie'!E8*'P3 Energie'!E7*(C130-c_Vv)^2+'P3 Energie'!E13+'P3 Energie'!E15+'P3 Energie'!E6*$C$7</f>
        <v>18412.3942970824</v>
      </c>
      <c r="E130" s="50" t="n">
        <f aca="false">D130*C130</f>
        <v>30943.0515270413</v>
      </c>
      <c r="F130" s="46" t="n">
        <v>122</v>
      </c>
      <c r="G130" s="47" t="n">
        <f aca="false">(F130-1)*$H$6</f>
        <v>0.218445271924883</v>
      </c>
      <c r="H130" s="48" t="n">
        <f aca="false">$H$7*G130</f>
        <v>1.68055555555556</v>
      </c>
      <c r="I130" s="49" t="n">
        <f aca="false">0.5*c_rho*'P3 Energie'!F8*'P3 Energie'!F7*(H130-c_Vv)^2+'P3 Energie'!F13+'P3 Energie'!F15+'P3 Energie'!F6*$H$7</f>
        <v>19240.1154610743</v>
      </c>
      <c r="J130" s="50" t="n">
        <f aca="false">I130*H130</f>
        <v>32334.0829276388</v>
      </c>
    </row>
    <row r="131" customFormat="false" ht="15" hidden="false" customHeight="false" outlineLevel="0" collapsed="false">
      <c r="A131" s="46" t="n">
        <v>123</v>
      </c>
      <c r="B131" s="47" t="n">
        <f aca="false">(A131-1)*$C$6</f>
        <v>0.220408010096266</v>
      </c>
      <c r="C131" s="48" t="n">
        <f aca="false">$C$7*B131</f>
        <v>1.69444444444444</v>
      </c>
      <c r="D131" s="49" t="n">
        <f aca="false">0.5*c_rho*'P3 Energie'!E8*'P3 Energie'!E7*(C131-c_Vv)^2+'P3 Energie'!E13+'P3 Energie'!E15+'P3 Energie'!E6*$C$7</f>
        <v>18412.413020773</v>
      </c>
      <c r="E131" s="50" t="n">
        <f aca="false">D131*C131</f>
        <v>31198.8109518653</v>
      </c>
      <c r="F131" s="46" t="n">
        <v>123</v>
      </c>
      <c r="G131" s="47" t="n">
        <f aca="false">(F131-1)*$H$6</f>
        <v>0.220250604750708</v>
      </c>
      <c r="H131" s="48" t="n">
        <f aca="false">$H$7*G131</f>
        <v>1.69444444444444</v>
      </c>
      <c r="I131" s="49" t="n">
        <f aca="false">0.5*c_rho*'P3 Energie'!F8*'P3 Energie'!F7*(H131-c_Vv)^2+'P3 Energie'!F13+'P3 Energie'!F15+'P3 Energie'!F6*$H$7</f>
        <v>19240.1317286306</v>
      </c>
      <c r="J131" s="50" t="n">
        <f aca="false">I131*H131</f>
        <v>32601.3343179573</v>
      </c>
    </row>
    <row r="132" customFormat="false" ht="15" hidden="false" customHeight="false" outlineLevel="0" collapsed="false">
      <c r="A132" s="46" t="n">
        <v>124</v>
      </c>
      <c r="B132" s="47" t="n">
        <f aca="false">(A132-1)*$C$6</f>
        <v>0.222214633129842</v>
      </c>
      <c r="C132" s="48" t="n">
        <f aca="false">$C$7*B132</f>
        <v>1.70833333333333</v>
      </c>
      <c r="D132" s="49" t="n">
        <f aca="false">0.5*c_rho*'P3 Energie'!E8*'P3 Energie'!E7*(C132-c_Vv)^2+'P3 Energie'!E13+'P3 Energie'!E15+'P3 Energie'!E6*$C$7</f>
        <v>18412.431898568</v>
      </c>
      <c r="E132" s="50" t="n">
        <f aca="false">D132*C132</f>
        <v>31454.5711600537</v>
      </c>
      <c r="F132" s="46" t="n">
        <v>124</v>
      </c>
      <c r="G132" s="47" t="n">
        <f aca="false">(F132-1)*$H$6</f>
        <v>0.222055937576534</v>
      </c>
      <c r="H132" s="48" t="n">
        <f aca="false">$H$7*G132</f>
        <v>1.70833333333333</v>
      </c>
      <c r="I132" s="49" t="n">
        <f aca="false">0.5*c_rho*'P3 Energie'!F8*'P3 Energie'!F7*(H132-c_Vv)^2+'P3 Energie'!F13+'P3 Energie'!F15+'P3 Energie'!F6*$H$7</f>
        <v>19240.1481300762</v>
      </c>
      <c r="J132" s="50" t="n">
        <f aca="false">I132*H132</f>
        <v>32868.5863888801</v>
      </c>
    </row>
    <row r="133" customFormat="false" ht="15" hidden="false" customHeight="false" outlineLevel="0" collapsed="false">
      <c r="A133" s="46" t="n">
        <v>125</v>
      </c>
      <c r="B133" s="47" t="n">
        <f aca="false">(A133-1)*$C$6</f>
        <v>0.224021256163418</v>
      </c>
      <c r="C133" s="48" t="n">
        <f aca="false">$C$7*B133</f>
        <v>1.72222222222222</v>
      </c>
      <c r="D133" s="49" t="n">
        <f aca="false">0.5*c_rho*'P3 Energie'!E8*'P3 Energie'!E7*(C133-c_Vv)^2+'P3 Energie'!E13+'P3 Energie'!E15+'P3 Energie'!E6*$C$7</f>
        <v>18412.4509304675</v>
      </c>
      <c r="E133" s="50" t="n">
        <f aca="false">D133*C133</f>
        <v>31710.3321580273</v>
      </c>
      <c r="F133" s="46" t="n">
        <v>125</v>
      </c>
      <c r="G133" s="47" t="n">
        <f aca="false">(F133-1)*$H$6</f>
        <v>0.223861270402359</v>
      </c>
      <c r="H133" s="48" t="n">
        <f aca="false">$H$7*G133</f>
        <v>1.72222222222222</v>
      </c>
      <c r="I133" s="49" t="n">
        <f aca="false">0.5*c_rho*'P3 Energie'!F8*'P3 Energie'!F7*(H133-c_Vv)^2+'P3 Energie'!F13+'P3 Energie'!F15+'P3 Energie'!F6*$H$7</f>
        <v>19240.1646654111</v>
      </c>
      <c r="J133" s="50" t="n">
        <f aca="false">I133*H133</f>
        <v>33135.8391459858</v>
      </c>
    </row>
    <row r="134" customFormat="false" ht="15" hidden="false" customHeight="false" outlineLevel="0" collapsed="false">
      <c r="A134" s="46" t="n">
        <v>126</v>
      </c>
      <c r="B134" s="47" t="n">
        <f aca="false">(A134-1)*$C$6</f>
        <v>0.225827879196994</v>
      </c>
      <c r="C134" s="48" t="n">
        <f aca="false">$C$7*B134</f>
        <v>1.73611111111111</v>
      </c>
      <c r="D134" s="49" t="n">
        <f aca="false">0.5*c_rho*'P3 Energie'!E8*'P3 Energie'!E7*(C134-c_Vv)^2+'P3 Energie'!E13+'P3 Energie'!E15+'P3 Energie'!E6*$C$7</f>
        <v>18412.4701164714</v>
      </c>
      <c r="E134" s="50" t="n">
        <f aca="false">D134*C134</f>
        <v>31966.0939522072</v>
      </c>
      <c r="F134" s="46" t="n">
        <v>126</v>
      </c>
      <c r="G134" s="47" t="n">
        <f aca="false">(F134-1)*$H$6</f>
        <v>0.225666603228184</v>
      </c>
      <c r="H134" s="48" t="n">
        <f aca="false">$H$7*G134</f>
        <v>1.73611111111111</v>
      </c>
      <c r="I134" s="49" t="n">
        <f aca="false">0.5*c_rho*'P3 Energie'!F8*'P3 Energie'!F7*(H134-c_Vv)^2+'P3 Energie'!F13+'P3 Energie'!F15+'P3 Energie'!F6*$H$7</f>
        <v>19240.1813346354</v>
      </c>
      <c r="J134" s="50" t="n">
        <f aca="false">I134*H134</f>
        <v>33403.0925948532</v>
      </c>
    </row>
    <row r="135" customFormat="false" ht="15" hidden="false" customHeight="false" outlineLevel="0" collapsed="false">
      <c r="A135" s="46" t="n">
        <v>127</v>
      </c>
      <c r="B135" s="47" t="n">
        <f aca="false">(A135-1)*$C$6</f>
        <v>0.22763450223057</v>
      </c>
      <c r="C135" s="48" t="n">
        <f aca="false">$C$7*B135</f>
        <v>1.75</v>
      </c>
      <c r="D135" s="49" t="n">
        <f aca="false">0.5*c_rho*'P3 Energie'!E8*'P3 Energie'!E7*(C135-c_Vv)^2+'P3 Energie'!E13+'P3 Energie'!E15+'P3 Energie'!E6*$C$7</f>
        <v>18412.4894565797</v>
      </c>
      <c r="E135" s="50" t="n">
        <f aca="false">D135*C135</f>
        <v>32221.8565490145</v>
      </c>
      <c r="F135" s="46" t="n">
        <v>127</v>
      </c>
      <c r="G135" s="47" t="n">
        <f aca="false">(F135-1)*$H$6</f>
        <v>0.22747193605401</v>
      </c>
      <c r="H135" s="48" t="n">
        <f aca="false">$H$7*G135</f>
        <v>1.75</v>
      </c>
      <c r="I135" s="49" t="n">
        <f aca="false">0.5*c_rho*'P3 Energie'!F8*'P3 Energie'!F7*(H135-c_Vv)^2+'P3 Energie'!F13+'P3 Energie'!F15+'P3 Energie'!F6*$H$7</f>
        <v>19240.1981377491</v>
      </c>
      <c r="J135" s="50" t="n">
        <f aca="false">I135*H135</f>
        <v>33670.3467410609</v>
      </c>
    </row>
    <row r="136" customFormat="false" ht="15" hidden="false" customHeight="false" outlineLevel="0" collapsed="false">
      <c r="A136" s="46" t="n">
        <v>128</v>
      </c>
      <c r="B136" s="47" t="n">
        <f aca="false">(A136-1)*$C$6</f>
        <v>0.229441125264146</v>
      </c>
      <c r="C136" s="48" t="n">
        <f aca="false">$C$7*B136</f>
        <v>1.76388888888889</v>
      </c>
      <c r="D136" s="49" t="n">
        <f aca="false">0.5*c_rho*'P3 Energie'!E8*'P3 Energie'!E7*(C136-c_Vv)^2+'P3 Energie'!E13+'P3 Energie'!E15+'P3 Energie'!E6*$C$7</f>
        <v>18412.5089507925</v>
      </c>
      <c r="E136" s="50" t="n">
        <f aca="false">D136*C136</f>
        <v>32477.6199548701</v>
      </c>
      <c r="F136" s="46" t="n">
        <v>128</v>
      </c>
      <c r="G136" s="47" t="n">
        <f aca="false">(F136-1)*$H$6</f>
        <v>0.229277268879835</v>
      </c>
      <c r="H136" s="48" t="n">
        <f aca="false">$H$7*G136</f>
        <v>1.76388888888889</v>
      </c>
      <c r="I136" s="49" t="n">
        <f aca="false">0.5*c_rho*'P3 Energie'!F8*'P3 Energie'!F7*(H136-c_Vv)^2+'P3 Energie'!F13+'P3 Energie'!F15+'P3 Energie'!F6*$H$7</f>
        <v>19240.2150747521</v>
      </c>
      <c r="J136" s="50" t="n">
        <f aca="false">I136*H136</f>
        <v>33937.6015901877</v>
      </c>
    </row>
    <row r="137" customFormat="false" ht="15" hidden="false" customHeight="false" outlineLevel="0" collapsed="false">
      <c r="A137" s="46" t="n">
        <v>129</v>
      </c>
      <c r="B137" s="47" t="n">
        <f aca="false">(A137-1)*$C$6</f>
        <v>0.231247748297722</v>
      </c>
      <c r="C137" s="48" t="n">
        <f aca="false">$C$7*B137</f>
        <v>1.77777777777778</v>
      </c>
      <c r="D137" s="49" t="n">
        <f aca="false">0.5*c_rho*'P3 Energie'!E8*'P3 Energie'!E7*(C137-c_Vv)^2+'P3 Energie'!E13+'P3 Energie'!E15+'P3 Energie'!E6*$C$7</f>
        <v>18412.5285991098</v>
      </c>
      <c r="E137" s="50" t="n">
        <f aca="false">D137*C137</f>
        <v>32733.3841761952</v>
      </c>
      <c r="F137" s="46" t="n">
        <v>129</v>
      </c>
      <c r="G137" s="47" t="n">
        <f aca="false">(F137-1)*$H$6</f>
        <v>0.231082601705661</v>
      </c>
      <c r="H137" s="48" t="n">
        <f aca="false">$H$7*G137</f>
        <v>1.77777777777778</v>
      </c>
      <c r="I137" s="49" t="n">
        <f aca="false">0.5*c_rho*'P3 Energie'!F8*'P3 Energie'!F7*(H137-c_Vv)^2+'P3 Energie'!F13+'P3 Energie'!F15+'P3 Energie'!F6*$H$7</f>
        <v>19240.2321456444</v>
      </c>
      <c r="J137" s="50" t="n">
        <f aca="false">I137*H137</f>
        <v>34204.8571478124</v>
      </c>
    </row>
    <row r="138" customFormat="false" ht="15" hidden="false" customHeight="false" outlineLevel="0" collapsed="false">
      <c r="A138" s="46" t="n">
        <v>130</v>
      </c>
      <c r="B138" s="47" t="n">
        <f aca="false">(A138-1)*$C$6</f>
        <v>0.233054371331298</v>
      </c>
      <c r="C138" s="48" t="n">
        <f aca="false">$C$7*B138</f>
        <v>1.79166666666667</v>
      </c>
      <c r="D138" s="49" t="n">
        <f aca="false">0.5*c_rho*'P3 Energie'!E8*'P3 Energie'!E7*(C138-c_Vv)^2+'P3 Energie'!E13+'P3 Energie'!E15+'P3 Energie'!E6*$C$7</f>
        <v>18412.5484015315</v>
      </c>
      <c r="E138" s="50" t="n">
        <f aca="false">D138*C138</f>
        <v>32989.1492194106</v>
      </c>
      <c r="F138" s="46" t="n">
        <v>130</v>
      </c>
      <c r="G138" s="47" t="n">
        <f aca="false">(F138-1)*$H$6</f>
        <v>0.232887934531486</v>
      </c>
      <c r="H138" s="48" t="n">
        <f aca="false">$H$7*G138</f>
        <v>1.79166666666667</v>
      </c>
      <c r="I138" s="49" t="n">
        <f aca="false">0.5*c_rho*'P3 Energie'!F8*'P3 Energie'!F7*(H138-c_Vv)^2+'P3 Energie'!F13+'P3 Energie'!F15+'P3 Energie'!F6*$H$7</f>
        <v>19240.2493504262</v>
      </c>
      <c r="J138" s="50" t="n">
        <f aca="false">I138*H138</f>
        <v>34472.1134195135</v>
      </c>
    </row>
    <row r="139" customFormat="false" ht="15" hidden="false" customHeight="false" outlineLevel="0" collapsed="false">
      <c r="A139" s="46" t="n">
        <v>131</v>
      </c>
      <c r="B139" s="47" t="n">
        <f aca="false">(A139-1)*$C$6</f>
        <v>0.234860994364874</v>
      </c>
      <c r="C139" s="48" t="n">
        <f aca="false">$C$7*B139</f>
        <v>1.80555555555556</v>
      </c>
      <c r="D139" s="49" t="n">
        <f aca="false">0.5*c_rho*'P3 Energie'!E8*'P3 Energie'!E7*(C139-c_Vv)^2+'P3 Energie'!E13+'P3 Energie'!E15+'P3 Energie'!E6*$C$7</f>
        <v>18412.5683580576</v>
      </c>
      <c r="E139" s="50" t="n">
        <f aca="false">D139*C139</f>
        <v>33244.9150909374</v>
      </c>
      <c r="F139" s="46" t="n">
        <v>131</v>
      </c>
      <c r="G139" s="47" t="n">
        <f aca="false">(F139-1)*$H$6</f>
        <v>0.234693267357312</v>
      </c>
      <c r="H139" s="48" t="n">
        <f aca="false">$H$7*G139</f>
        <v>1.80555555555556</v>
      </c>
      <c r="I139" s="49" t="n">
        <f aca="false">0.5*c_rho*'P3 Energie'!F8*'P3 Energie'!F7*(H139-c_Vv)^2+'P3 Energie'!F13+'P3 Energie'!F15+'P3 Energie'!F6*$H$7</f>
        <v>19240.2666890972</v>
      </c>
      <c r="J139" s="50" t="n">
        <f aca="false">I139*H139</f>
        <v>34739.37041087</v>
      </c>
    </row>
    <row r="140" customFormat="false" ht="15" hidden="false" customHeight="false" outlineLevel="0" collapsed="false">
      <c r="A140" s="46" t="n">
        <v>132</v>
      </c>
      <c r="B140" s="47" t="n">
        <f aca="false">(A140-1)*$C$6</f>
        <v>0.23666761739845</v>
      </c>
      <c r="C140" s="48" t="n">
        <f aca="false">$C$7*B140</f>
        <v>1.81944444444444</v>
      </c>
      <c r="D140" s="49" t="n">
        <f aca="false">0.5*c_rho*'P3 Energie'!E8*'P3 Energie'!E7*(C140-c_Vv)^2+'P3 Energie'!E13+'P3 Energie'!E15+'P3 Energie'!E6*$C$7</f>
        <v>18412.5884686883</v>
      </c>
      <c r="E140" s="50" t="n">
        <f aca="false">D140*C140</f>
        <v>33500.6817971967</v>
      </c>
      <c r="F140" s="46" t="n">
        <v>132</v>
      </c>
      <c r="G140" s="47" t="n">
        <f aca="false">(F140-1)*$H$6</f>
        <v>0.236498600183137</v>
      </c>
      <c r="H140" s="48" t="n">
        <f aca="false">$H$7*G140</f>
        <v>1.81944444444444</v>
      </c>
      <c r="I140" s="49" t="n">
        <f aca="false">0.5*c_rho*'P3 Energie'!F8*'P3 Energie'!F7*(H140-c_Vv)^2+'P3 Energie'!F13+'P3 Energie'!F15+'P3 Energie'!F6*$H$7</f>
        <v>19240.2841616576</v>
      </c>
      <c r="J140" s="50" t="n">
        <f aca="false">I140*H140</f>
        <v>35006.6281274604</v>
      </c>
    </row>
    <row r="141" customFormat="false" ht="15" hidden="false" customHeight="false" outlineLevel="0" collapsed="false">
      <c r="A141" s="46" t="n">
        <v>133</v>
      </c>
      <c r="B141" s="47" t="n">
        <f aca="false">(A141-1)*$C$6</f>
        <v>0.238474240432026</v>
      </c>
      <c r="C141" s="48" t="n">
        <f aca="false">$C$7*B141</f>
        <v>1.83333333333333</v>
      </c>
      <c r="D141" s="49" t="n">
        <f aca="false">0.5*c_rho*'P3 Energie'!E8*'P3 Energie'!E7*(C141-c_Vv)^2+'P3 Energie'!E13+'P3 Energie'!E15+'P3 Energie'!E6*$C$7</f>
        <v>18412.6087334233</v>
      </c>
      <c r="E141" s="50" t="n">
        <f aca="false">D141*C141</f>
        <v>33756.4493446094</v>
      </c>
      <c r="F141" s="46" t="n">
        <v>133</v>
      </c>
      <c r="G141" s="47" t="n">
        <f aca="false">(F141-1)*$H$6</f>
        <v>0.238303933008963</v>
      </c>
      <c r="H141" s="48" t="n">
        <f aca="false">$H$7*G141</f>
        <v>1.83333333333333</v>
      </c>
      <c r="I141" s="49" t="n">
        <f aca="false">0.5*c_rho*'P3 Energie'!F8*'P3 Energie'!F7*(H141-c_Vv)^2+'P3 Energie'!F13+'P3 Energie'!F15+'P3 Energie'!F6*$H$7</f>
        <v>19240.3017681074</v>
      </c>
      <c r="J141" s="50" t="n">
        <f aca="false">I141*H141</f>
        <v>35273.8865748636</v>
      </c>
    </row>
    <row r="142" customFormat="false" ht="15" hidden="false" customHeight="false" outlineLevel="0" collapsed="false">
      <c r="A142" s="46" t="n">
        <v>134</v>
      </c>
      <c r="B142" s="47" t="n">
        <f aca="false">(A142-1)*$C$6</f>
        <v>0.240280863465602</v>
      </c>
      <c r="C142" s="48" t="n">
        <f aca="false">$C$7*B142</f>
        <v>1.84722222222222</v>
      </c>
      <c r="D142" s="49" t="n">
        <f aca="false">0.5*c_rho*'P3 Energie'!E8*'P3 Energie'!E7*(C142-c_Vv)^2+'P3 Energie'!E13+'P3 Energie'!E15+'P3 Energie'!E6*$C$7</f>
        <v>18412.6291522628</v>
      </c>
      <c r="E142" s="50" t="n">
        <f aca="false">D142*C142</f>
        <v>34012.2177395966</v>
      </c>
      <c r="F142" s="46" t="n">
        <v>134</v>
      </c>
      <c r="G142" s="47" t="n">
        <f aca="false">(F142-1)*$H$6</f>
        <v>0.240109265834788</v>
      </c>
      <c r="H142" s="48" t="n">
        <f aca="false">$H$7*G142</f>
        <v>1.84722222222222</v>
      </c>
      <c r="I142" s="49" t="n">
        <f aca="false">0.5*c_rho*'P3 Energie'!F8*'P3 Energie'!F7*(H142-c_Vv)^2+'P3 Energie'!F13+'P3 Energie'!F15+'P3 Energie'!F6*$H$7</f>
        <v>19240.3195084465</v>
      </c>
      <c r="J142" s="50" t="n">
        <f aca="false">I142*H142</f>
        <v>35541.1457586582</v>
      </c>
    </row>
    <row r="143" customFormat="false" ht="15" hidden="false" customHeight="false" outlineLevel="0" collapsed="false">
      <c r="A143" s="46" t="n">
        <v>135</v>
      </c>
      <c r="B143" s="47" t="n">
        <f aca="false">(A143-1)*$C$6</f>
        <v>0.242087486499178</v>
      </c>
      <c r="C143" s="48" t="n">
        <f aca="false">$C$7*B143</f>
        <v>1.86111111111111</v>
      </c>
      <c r="D143" s="49" t="n">
        <f aca="false">0.5*c_rho*'P3 Energie'!E8*'P3 Energie'!E7*(C143-c_Vv)^2+'P3 Energie'!E13+'P3 Energie'!E15+'P3 Energie'!E6*$C$7</f>
        <v>18412.6497252068</v>
      </c>
      <c r="E143" s="50" t="n">
        <f aca="false">D143*C143</f>
        <v>34267.9869885792</v>
      </c>
      <c r="F143" s="46" t="n">
        <v>135</v>
      </c>
      <c r="G143" s="47" t="n">
        <f aca="false">(F143-1)*$H$6</f>
        <v>0.241914598660614</v>
      </c>
      <c r="H143" s="48" t="n">
        <f aca="false">$H$7*G143</f>
        <v>1.86111111111111</v>
      </c>
      <c r="I143" s="49" t="n">
        <f aca="false">0.5*c_rho*'P3 Energie'!F8*'P3 Energie'!F7*(H143-c_Vv)^2+'P3 Energie'!F13+'P3 Energie'!F15+'P3 Energie'!F6*$H$7</f>
        <v>19240.337382675</v>
      </c>
      <c r="J143" s="50" t="n">
        <f aca="false">I143*H143</f>
        <v>35808.4056844229</v>
      </c>
    </row>
    <row r="144" customFormat="false" ht="15" hidden="false" customHeight="false" outlineLevel="0" collapsed="false">
      <c r="A144" s="46" t="n">
        <v>136</v>
      </c>
      <c r="B144" s="47" t="n">
        <f aca="false">(A144-1)*$C$6</f>
        <v>0.243894109532754</v>
      </c>
      <c r="C144" s="48" t="n">
        <f aca="false">$C$7*B144</f>
        <v>1.875</v>
      </c>
      <c r="D144" s="49" t="n">
        <f aca="false">0.5*c_rho*'P3 Energie'!E8*'P3 Energie'!E7*(C144-c_Vv)^2+'P3 Energie'!E13+'P3 Energie'!E15+'P3 Energie'!E6*$C$7</f>
        <v>18412.6704522552</v>
      </c>
      <c r="E144" s="50" t="n">
        <f aca="false">D144*C144</f>
        <v>34523.7570979784</v>
      </c>
      <c r="F144" s="46" t="n">
        <v>136</v>
      </c>
      <c r="G144" s="47" t="n">
        <f aca="false">(F144-1)*$H$6</f>
        <v>0.243719931486439</v>
      </c>
      <c r="H144" s="48" t="n">
        <f aca="false">$H$7*G144</f>
        <v>1.875</v>
      </c>
      <c r="I144" s="49" t="n">
        <f aca="false">0.5*c_rho*'P3 Energie'!F8*'P3 Energie'!F7*(H144-c_Vv)^2+'P3 Energie'!F13+'P3 Energie'!F15+'P3 Energie'!F6*$H$7</f>
        <v>19240.3553907928</v>
      </c>
      <c r="J144" s="50" t="n">
        <f aca="false">I144*H144</f>
        <v>36075.6663577366</v>
      </c>
    </row>
    <row r="145" customFormat="false" ht="15" hidden="false" customHeight="false" outlineLevel="0" collapsed="false">
      <c r="A145" s="46" t="n">
        <v>137</v>
      </c>
      <c r="B145" s="47" t="n">
        <f aca="false">(A145-1)*$C$6</f>
        <v>0.24570073256633</v>
      </c>
      <c r="C145" s="48" t="n">
        <f aca="false">$C$7*B145</f>
        <v>1.88888888888889</v>
      </c>
      <c r="D145" s="49" t="n">
        <f aca="false">0.5*c_rho*'P3 Energie'!E8*'P3 Energie'!E7*(C145-c_Vv)^2+'P3 Energie'!E13+'P3 Energie'!E15+'P3 Energie'!E6*$C$7</f>
        <v>18412.691333408</v>
      </c>
      <c r="E145" s="50" t="n">
        <f aca="false">D145*C145</f>
        <v>34779.5280742151</v>
      </c>
      <c r="F145" s="46" t="n">
        <v>137</v>
      </c>
      <c r="G145" s="47" t="n">
        <f aca="false">(F145-1)*$H$6</f>
        <v>0.245525264312265</v>
      </c>
      <c r="H145" s="48" t="n">
        <f aca="false">$H$7*G145</f>
        <v>1.88888888888889</v>
      </c>
      <c r="I145" s="49" t="n">
        <f aca="false">0.5*c_rho*'P3 Energie'!F8*'P3 Energie'!F7*(H145-c_Vv)^2+'P3 Energie'!F13+'P3 Energie'!F15+'P3 Energie'!F6*$H$7</f>
        <v>19240.3735328</v>
      </c>
      <c r="J145" s="50" t="n">
        <f aca="false">I145*H145</f>
        <v>36342.9277841778</v>
      </c>
    </row>
    <row r="146" customFormat="false" ht="15" hidden="false" customHeight="false" outlineLevel="0" collapsed="false">
      <c r="A146" s="46" t="n">
        <v>138</v>
      </c>
      <c r="B146" s="47" t="n">
        <f aca="false">(A146-1)*$C$6</f>
        <v>0.247507355599906</v>
      </c>
      <c r="C146" s="48" t="n">
        <f aca="false">$C$7*B146</f>
        <v>1.90277777777778</v>
      </c>
      <c r="D146" s="49" t="n">
        <f aca="false">0.5*c_rho*'P3 Energie'!E8*'P3 Energie'!E7*(C146-c_Vv)^2+'P3 Energie'!E13+'P3 Energie'!E15+'P3 Energie'!E6*$C$7</f>
        <v>18412.7123686653</v>
      </c>
      <c r="E146" s="50" t="n">
        <f aca="false">D146*C146</f>
        <v>35035.2999237104</v>
      </c>
      <c r="F146" s="46" t="n">
        <v>138</v>
      </c>
      <c r="G146" s="47" t="n">
        <f aca="false">(F146-1)*$H$6</f>
        <v>0.24733059713809</v>
      </c>
      <c r="H146" s="48" t="n">
        <f aca="false">$H$7*G146</f>
        <v>1.90277777777778</v>
      </c>
      <c r="I146" s="49" t="n">
        <f aca="false">0.5*c_rho*'P3 Energie'!F8*'P3 Energie'!F7*(H146-c_Vv)^2+'P3 Energie'!F13+'P3 Energie'!F15+'P3 Energie'!F6*$H$7</f>
        <v>19240.3918086965</v>
      </c>
      <c r="J146" s="50" t="n">
        <f aca="false">I146*H146</f>
        <v>36610.1899693253</v>
      </c>
    </row>
    <row r="147" customFormat="false" ht="15" hidden="false" customHeight="false" outlineLevel="0" collapsed="false">
      <c r="A147" s="46" t="n">
        <v>139</v>
      </c>
      <c r="B147" s="47" t="n">
        <f aca="false">(A147-1)*$C$6</f>
        <v>0.249313978633482</v>
      </c>
      <c r="C147" s="48" t="n">
        <f aca="false">$C$7*B147</f>
        <v>1.91666666666667</v>
      </c>
      <c r="D147" s="49" t="n">
        <f aca="false">0.5*c_rho*'P3 Energie'!E8*'P3 Energie'!E7*(C147-c_Vv)^2+'P3 Energie'!E13+'P3 Energie'!E15+'P3 Energie'!E6*$C$7</f>
        <v>18412.7335580271</v>
      </c>
      <c r="E147" s="50" t="n">
        <f aca="false">D147*C147</f>
        <v>35291.0726528852</v>
      </c>
      <c r="F147" s="46" t="n">
        <v>139</v>
      </c>
      <c r="G147" s="47" t="n">
        <f aca="false">(F147-1)*$H$6</f>
        <v>0.249135929963916</v>
      </c>
      <c r="H147" s="48" t="n">
        <f aca="false">$H$7*G147</f>
        <v>1.91666666666667</v>
      </c>
      <c r="I147" s="49" t="n">
        <f aca="false">0.5*c_rho*'P3 Energie'!F8*'P3 Energie'!F7*(H147-c_Vv)^2+'P3 Energie'!F13+'P3 Energie'!F15+'P3 Energie'!F6*$H$7</f>
        <v>19240.4102184824</v>
      </c>
      <c r="J147" s="50" t="n">
        <f aca="false">I147*H147</f>
        <v>36877.452918758</v>
      </c>
    </row>
    <row r="148" customFormat="false" ht="15" hidden="false" customHeight="false" outlineLevel="0" collapsed="false">
      <c r="A148" s="46" t="n">
        <v>140</v>
      </c>
      <c r="B148" s="47" t="n">
        <f aca="false">(A148-1)*$C$6</f>
        <v>0.251120601667058</v>
      </c>
      <c r="C148" s="48" t="n">
        <f aca="false">$C$7*B148</f>
        <v>1.93055555555556</v>
      </c>
      <c r="D148" s="49" t="n">
        <f aca="false">0.5*c_rho*'P3 Energie'!E8*'P3 Energie'!E7*(C148-c_Vv)^2+'P3 Energie'!E13+'P3 Energie'!E15+'P3 Energie'!E6*$C$7</f>
        <v>18412.7549014933</v>
      </c>
      <c r="E148" s="50" t="n">
        <f aca="false">D148*C148</f>
        <v>35546.8462681606</v>
      </c>
      <c r="F148" s="46" t="n">
        <v>140</v>
      </c>
      <c r="G148" s="47" t="n">
        <f aca="false">(F148-1)*$H$6</f>
        <v>0.250941262789741</v>
      </c>
      <c r="H148" s="48" t="n">
        <f aca="false">$H$7*G148</f>
        <v>1.93055555555556</v>
      </c>
      <c r="I148" s="49" t="n">
        <f aca="false">0.5*c_rho*'P3 Energie'!F8*'P3 Energie'!F7*(H148-c_Vv)^2+'P3 Energie'!F13+'P3 Energie'!F15+'P3 Energie'!F6*$H$7</f>
        <v>19240.4287621576</v>
      </c>
      <c r="J148" s="50" t="n">
        <f aca="false">I148*H148</f>
        <v>37144.7166380543</v>
      </c>
    </row>
    <row r="149" customFormat="false" ht="15" hidden="false" customHeight="false" outlineLevel="0" collapsed="false">
      <c r="A149" s="46" t="n">
        <v>141</v>
      </c>
      <c r="B149" s="47" t="n">
        <f aca="false">(A149-1)*$C$6</f>
        <v>0.252927224700633</v>
      </c>
      <c r="C149" s="48" t="n">
        <f aca="false">$C$7*B149</f>
        <v>1.94444444444444</v>
      </c>
      <c r="D149" s="49" t="n">
        <f aca="false">0.5*c_rho*'P3 Energie'!E8*'P3 Energie'!E7*(C149-c_Vv)^2+'P3 Energie'!E13+'P3 Energie'!E15+'P3 Energie'!E6*$C$7</f>
        <v>18412.7763990639</v>
      </c>
      <c r="E149" s="50" t="n">
        <f aca="false">D149*C149</f>
        <v>35802.6207759576</v>
      </c>
      <c r="F149" s="46" t="n">
        <v>141</v>
      </c>
      <c r="G149" s="47" t="n">
        <f aca="false">(F149-1)*$H$6</f>
        <v>0.252746595615567</v>
      </c>
      <c r="H149" s="48" t="n">
        <f aca="false">$H$7*G149</f>
        <v>1.94444444444444</v>
      </c>
      <c r="I149" s="49" t="n">
        <f aca="false">0.5*c_rho*'P3 Energie'!F8*'P3 Energie'!F7*(H149-c_Vv)^2+'P3 Energie'!F13+'P3 Energie'!F15+'P3 Energie'!F6*$H$7</f>
        <v>19240.4474397222</v>
      </c>
      <c r="J149" s="50" t="n">
        <f aca="false">I149*H149</f>
        <v>37411.9811327932</v>
      </c>
    </row>
    <row r="150" customFormat="false" ht="15" hidden="false" customHeight="false" outlineLevel="0" collapsed="false">
      <c r="A150" s="46" t="n">
        <v>142</v>
      </c>
      <c r="B150" s="47" t="n">
        <f aca="false">(A150-1)*$C$6</f>
        <v>0.254733847734209</v>
      </c>
      <c r="C150" s="48" t="n">
        <f aca="false">$C$7*B150</f>
        <v>1.95833333333333</v>
      </c>
      <c r="D150" s="49" t="n">
        <f aca="false">0.5*c_rho*'P3 Energie'!E8*'P3 Energie'!E7*(C150-c_Vv)^2+'P3 Energie'!E13+'P3 Energie'!E15+'P3 Energie'!E6*$C$7</f>
        <v>18412.798050739</v>
      </c>
      <c r="E150" s="50" t="n">
        <f aca="false">D150*C150</f>
        <v>36058.3961826972</v>
      </c>
      <c r="F150" s="46" t="n">
        <v>142</v>
      </c>
      <c r="G150" s="47" t="n">
        <f aca="false">(F150-1)*$H$6</f>
        <v>0.254551928441392</v>
      </c>
      <c r="H150" s="48" t="n">
        <f aca="false">$H$7*G150</f>
        <v>1.95833333333333</v>
      </c>
      <c r="I150" s="49" t="n">
        <f aca="false">0.5*c_rho*'P3 Energie'!F8*'P3 Energie'!F7*(H150-c_Vv)^2+'P3 Energie'!F13+'P3 Energie'!F15+'P3 Energie'!F6*$H$7</f>
        <v>19240.4662511762</v>
      </c>
      <c r="J150" s="50" t="n">
        <f aca="false">I150*H150</f>
        <v>37679.2464085533</v>
      </c>
    </row>
    <row r="151" customFormat="false" ht="15" hidden="false" customHeight="false" outlineLevel="0" collapsed="false">
      <c r="A151" s="46" t="n">
        <v>143</v>
      </c>
      <c r="B151" s="47" t="n">
        <f aca="false">(A151-1)*$C$6</f>
        <v>0.256540470767785</v>
      </c>
      <c r="C151" s="48" t="n">
        <f aca="false">$C$7*B151</f>
        <v>1.97222222222222</v>
      </c>
      <c r="D151" s="49" t="n">
        <f aca="false">0.5*c_rho*'P3 Energie'!E8*'P3 Energie'!E7*(C151-c_Vv)^2+'P3 Energie'!E13+'P3 Energie'!E15+'P3 Energie'!E6*$C$7</f>
        <v>18412.8198565185</v>
      </c>
      <c r="E151" s="50" t="n">
        <f aca="false">D151*C151</f>
        <v>36314.1724948004</v>
      </c>
      <c r="F151" s="46" t="n">
        <v>143</v>
      </c>
      <c r="G151" s="47" t="n">
        <f aca="false">(F151-1)*$H$6</f>
        <v>0.256357261267218</v>
      </c>
      <c r="H151" s="48" t="n">
        <f aca="false">$H$7*G151</f>
        <v>1.97222222222222</v>
      </c>
      <c r="I151" s="49" t="n">
        <f aca="false">0.5*c_rho*'P3 Energie'!F8*'P3 Energie'!F7*(H151-c_Vv)^2+'P3 Energie'!F13+'P3 Energie'!F15+'P3 Energie'!F6*$H$7</f>
        <v>19240.4851965194</v>
      </c>
      <c r="J151" s="50" t="n">
        <f aca="false">I151*H151</f>
        <v>37946.5124709134</v>
      </c>
    </row>
    <row r="152" customFormat="false" ht="15" hidden="false" customHeight="false" outlineLevel="0" collapsed="false">
      <c r="A152" s="46" t="n">
        <v>144</v>
      </c>
      <c r="B152" s="47" t="n">
        <f aca="false">(A152-1)*$C$6</f>
        <v>0.258347093801361</v>
      </c>
      <c r="C152" s="48" t="n">
        <f aca="false">$C$7*B152</f>
        <v>1.98611111111111</v>
      </c>
      <c r="D152" s="49" t="n">
        <f aca="false">0.5*c_rho*'P3 Energie'!E8*'P3 Energie'!E7*(C152-c_Vv)^2+'P3 Energie'!E13+'P3 Energie'!E15+'P3 Energie'!E6*$C$7</f>
        <v>18412.8418164025</v>
      </c>
      <c r="E152" s="50" t="n">
        <f aca="false">D152*C152</f>
        <v>36569.9497186884</v>
      </c>
      <c r="F152" s="46" t="n">
        <v>144</v>
      </c>
      <c r="G152" s="47" t="n">
        <f aca="false">(F152-1)*$H$6</f>
        <v>0.258162594093043</v>
      </c>
      <c r="H152" s="48" t="n">
        <f aca="false">$H$7*G152</f>
        <v>1.98611111111111</v>
      </c>
      <c r="I152" s="49" t="n">
        <f aca="false">0.5*c_rho*'P3 Energie'!F8*'P3 Energie'!F7*(H152-c_Vv)^2+'P3 Energie'!F13+'P3 Energie'!F15+'P3 Energie'!F6*$H$7</f>
        <v>19240.5042757521</v>
      </c>
      <c r="J152" s="50" t="n">
        <f aca="false">I152*H152</f>
        <v>38213.7793254521</v>
      </c>
    </row>
    <row r="153" customFormat="false" ht="15" hidden="false" customHeight="false" outlineLevel="0" collapsed="false">
      <c r="A153" s="46" t="n">
        <v>145</v>
      </c>
      <c r="B153" s="47" t="n">
        <f aca="false">(A153-1)*$C$6</f>
        <v>0.260153716834937</v>
      </c>
      <c r="C153" s="48" t="n">
        <f aca="false">$C$7*B153</f>
        <v>2</v>
      </c>
      <c r="D153" s="49" t="n">
        <f aca="false">0.5*c_rho*'P3 Energie'!E8*'P3 Energie'!E7*(C153-c_Vv)^2+'P3 Energie'!E13+'P3 Energie'!E15+'P3 Energie'!E6*$C$7</f>
        <v>18412.863930391</v>
      </c>
      <c r="E153" s="50" t="n">
        <f aca="false">D153*C153</f>
        <v>36825.7278607819</v>
      </c>
      <c r="F153" s="46" t="n">
        <v>145</v>
      </c>
      <c r="G153" s="47" t="n">
        <f aca="false">(F153-1)*$H$6</f>
        <v>0.259967926918869</v>
      </c>
      <c r="H153" s="48" t="n">
        <f aca="false">$H$7*G153</f>
        <v>2</v>
      </c>
      <c r="I153" s="49" t="n">
        <f aca="false">0.5*c_rho*'P3 Energie'!F8*'P3 Energie'!F7*(H153-c_Vv)^2+'P3 Energie'!F13+'P3 Energie'!F15+'P3 Energie'!F6*$H$7</f>
        <v>19240.5234888741</v>
      </c>
      <c r="J153" s="50" t="n">
        <f aca="false">I153*H153</f>
        <v>38481.0469777482</v>
      </c>
    </row>
    <row r="154" customFormat="false" ht="15" hidden="false" customHeight="false" outlineLevel="0" collapsed="false">
      <c r="A154" s="46" t="n">
        <v>146</v>
      </c>
      <c r="B154" s="47" t="n">
        <f aca="false">(A154-1)*$C$6</f>
        <v>0.261960339868513</v>
      </c>
      <c r="C154" s="48" t="n">
        <f aca="false">$C$7*B154</f>
        <v>2.01388888888889</v>
      </c>
      <c r="D154" s="49" t="n">
        <f aca="false">0.5*c_rho*'P3 Energie'!E8*'P3 Energie'!E7*(C154-c_Vv)^2+'P3 Energie'!E13+'P3 Energie'!E15+'P3 Energie'!E6*$C$7</f>
        <v>18412.8861984839</v>
      </c>
      <c r="E154" s="50" t="n">
        <f aca="false">D154*C154</f>
        <v>37081.5069275022</v>
      </c>
      <c r="F154" s="46" t="n">
        <v>146</v>
      </c>
      <c r="G154" s="47" t="n">
        <f aca="false">(F154-1)*$H$6</f>
        <v>0.261773259744694</v>
      </c>
      <c r="H154" s="48" t="n">
        <f aca="false">$H$7*G154</f>
        <v>2.01388888888889</v>
      </c>
      <c r="I154" s="49" t="n">
        <f aca="false">0.5*c_rho*'P3 Energie'!F8*'P3 Energie'!F7*(H154-c_Vv)^2+'P3 Energie'!F13+'P3 Energie'!F15+'P3 Energie'!F6*$H$7</f>
        <v>19240.5428358854</v>
      </c>
      <c r="J154" s="50" t="n">
        <f aca="false">I154*H154</f>
        <v>38748.3154333804</v>
      </c>
    </row>
    <row r="155" customFormat="false" ht="15" hidden="false" customHeight="false" outlineLevel="0" collapsed="false">
      <c r="A155" s="46" t="n">
        <v>147</v>
      </c>
      <c r="B155" s="47" t="n">
        <f aca="false">(A155-1)*$C$6</f>
        <v>0.263766962902089</v>
      </c>
      <c r="C155" s="48" t="n">
        <f aca="false">$C$7*B155</f>
        <v>2.02777777777778</v>
      </c>
      <c r="D155" s="49" t="n">
        <f aca="false">0.5*c_rho*'P3 Energie'!E8*'P3 Energie'!E7*(C155-c_Vv)^2+'P3 Energie'!E13+'P3 Energie'!E15+'P3 Energie'!E6*$C$7</f>
        <v>18412.9086206812</v>
      </c>
      <c r="E155" s="50" t="n">
        <f aca="false">D155*C155</f>
        <v>37337.2869252702</v>
      </c>
      <c r="F155" s="46" t="n">
        <v>147</v>
      </c>
      <c r="G155" s="47" t="n">
        <f aca="false">(F155-1)*$H$6</f>
        <v>0.263578592570519</v>
      </c>
      <c r="H155" s="48" t="n">
        <f aca="false">$H$7*G155</f>
        <v>2.02777777777778</v>
      </c>
      <c r="I155" s="49" t="n">
        <f aca="false">0.5*c_rho*'P3 Energie'!F8*'P3 Energie'!F7*(H155-c_Vv)^2+'P3 Energie'!F13+'P3 Energie'!F15+'P3 Energie'!F6*$H$7</f>
        <v>19240.5623167861</v>
      </c>
      <c r="J155" s="50" t="n">
        <f aca="false">I155*H155</f>
        <v>39015.5846979274</v>
      </c>
    </row>
    <row r="156" customFormat="false" ht="15" hidden="false" customHeight="false" outlineLevel="0" collapsed="false">
      <c r="A156" s="46" t="n">
        <v>148</v>
      </c>
      <c r="B156" s="47" t="n">
        <f aca="false">(A156-1)*$C$6</f>
        <v>0.265573585935665</v>
      </c>
      <c r="C156" s="48" t="n">
        <f aca="false">$C$7*B156</f>
        <v>2.04166666666667</v>
      </c>
      <c r="D156" s="49" t="n">
        <f aca="false">0.5*c_rho*'P3 Energie'!E8*'P3 Energie'!E7*(C156-c_Vv)^2+'P3 Energie'!E13+'P3 Energie'!E15+'P3 Energie'!E6*$C$7</f>
        <v>18412.931196983</v>
      </c>
      <c r="E156" s="50" t="n">
        <f aca="false">D156*C156</f>
        <v>37593.0678605069</v>
      </c>
      <c r="F156" s="46" t="n">
        <v>148</v>
      </c>
      <c r="G156" s="47" t="n">
        <f aca="false">(F156-1)*$H$6</f>
        <v>0.265383925396345</v>
      </c>
      <c r="H156" s="48" t="n">
        <f aca="false">$H$7*G156</f>
        <v>2.04166666666667</v>
      </c>
      <c r="I156" s="49" t="n">
        <f aca="false">0.5*c_rho*'P3 Energie'!F8*'P3 Energie'!F7*(H156-c_Vv)^2+'P3 Energie'!F13+'P3 Energie'!F15+'P3 Energie'!F6*$H$7</f>
        <v>19240.5819315762</v>
      </c>
      <c r="J156" s="50" t="n">
        <f aca="false">I156*H156</f>
        <v>39282.854776968</v>
      </c>
    </row>
    <row r="157" customFormat="false" ht="15" hidden="false" customHeight="false" outlineLevel="0" collapsed="false">
      <c r="A157" s="46" t="n">
        <v>149</v>
      </c>
      <c r="B157" s="47" t="n">
        <f aca="false">(A157-1)*$C$6</f>
        <v>0.267380208969241</v>
      </c>
      <c r="C157" s="48" t="n">
        <f aca="false">$C$7*B157</f>
        <v>2.05555555555556</v>
      </c>
      <c r="D157" s="49" t="n">
        <f aca="false">0.5*c_rho*'P3 Energie'!E8*'P3 Energie'!E7*(C157-c_Vv)^2+'P3 Energie'!E13+'P3 Energie'!E15+'P3 Energie'!E6*$C$7</f>
        <v>18412.9539273892</v>
      </c>
      <c r="E157" s="50" t="n">
        <f aca="false">D157*C157</f>
        <v>37848.8497396334</v>
      </c>
      <c r="F157" s="46" t="n">
        <v>149</v>
      </c>
      <c r="G157" s="47" t="n">
        <f aca="false">(F157-1)*$H$6</f>
        <v>0.26718925822217</v>
      </c>
      <c r="H157" s="48" t="n">
        <f aca="false">$H$7*G157</f>
        <v>2.05555555555556</v>
      </c>
      <c r="I157" s="49" t="n">
        <f aca="false">0.5*c_rho*'P3 Energie'!F8*'P3 Energie'!F7*(H157-c_Vv)^2+'P3 Energie'!F13+'P3 Energie'!F15+'P3 Energie'!F6*$H$7</f>
        <v>19240.6016802556</v>
      </c>
      <c r="J157" s="50" t="n">
        <f aca="false">I157*H157</f>
        <v>39550.1256760809</v>
      </c>
    </row>
    <row r="158" customFormat="false" ht="15" hidden="false" customHeight="false" outlineLevel="0" collapsed="false">
      <c r="A158" s="46" t="n">
        <v>150</v>
      </c>
      <c r="B158" s="47" t="n">
        <f aca="false">(A158-1)*$C$6</f>
        <v>0.269186832002817</v>
      </c>
      <c r="C158" s="48" t="n">
        <f aca="false">$C$7*B158</f>
        <v>2.06944444444444</v>
      </c>
      <c r="D158" s="49" t="n">
        <f aca="false">0.5*c_rho*'P3 Energie'!E8*'P3 Energie'!E7*(C158-c_Vv)^2+'P3 Energie'!E13+'P3 Energie'!E15+'P3 Energie'!E6*$C$7</f>
        <v>18412.9768118999</v>
      </c>
      <c r="E158" s="50" t="n">
        <f aca="false">D158*C158</f>
        <v>38104.6325690707</v>
      </c>
      <c r="F158" s="46" t="n">
        <v>150</v>
      </c>
      <c r="G158" s="47" t="n">
        <f aca="false">(F158-1)*$H$6</f>
        <v>0.268994591047996</v>
      </c>
      <c r="H158" s="48" t="n">
        <f aca="false">$H$7*G158</f>
        <v>2.06944444444444</v>
      </c>
      <c r="I158" s="49" t="n">
        <f aca="false">0.5*c_rho*'P3 Energie'!F8*'P3 Energie'!F7*(H158-c_Vv)^2+'P3 Energie'!F13+'P3 Energie'!F15+'P3 Energie'!F6*$H$7</f>
        <v>19240.6215628243</v>
      </c>
      <c r="J158" s="50" t="n">
        <f aca="false">I158*H158</f>
        <v>39817.3974008448</v>
      </c>
    </row>
    <row r="159" customFormat="false" ht="15" hidden="false" customHeight="false" outlineLevel="0" collapsed="false">
      <c r="A159" s="46" t="n">
        <v>151</v>
      </c>
      <c r="B159" s="47" t="n">
        <f aca="false">(A159-1)*$C$6</f>
        <v>0.270993455036393</v>
      </c>
      <c r="C159" s="48" t="n">
        <f aca="false">$C$7*B159</f>
        <v>2.08333333333333</v>
      </c>
      <c r="D159" s="49" t="n">
        <f aca="false">0.5*c_rho*'P3 Energie'!E8*'P3 Energie'!E7*(C159-c_Vv)^2+'P3 Energie'!E13+'P3 Energie'!E15+'P3 Energie'!E6*$C$7</f>
        <v>18412.9998505151</v>
      </c>
      <c r="E159" s="50" t="n">
        <f aca="false">D159*C159</f>
        <v>38360.4163552397</v>
      </c>
      <c r="F159" s="46" t="n">
        <v>151</v>
      </c>
      <c r="G159" s="47" t="n">
        <f aca="false">(F159-1)*$H$6</f>
        <v>0.270799923873821</v>
      </c>
      <c r="H159" s="48" t="n">
        <f aca="false">$H$7*G159</f>
        <v>2.08333333333333</v>
      </c>
      <c r="I159" s="49" t="n">
        <f aca="false">0.5*c_rho*'P3 Energie'!F8*'P3 Energie'!F7*(H159-c_Vv)^2+'P3 Energie'!F13+'P3 Energie'!F15+'P3 Energie'!F6*$H$7</f>
        <v>19240.6415792824</v>
      </c>
      <c r="J159" s="50" t="n">
        <f aca="false">I159*H159</f>
        <v>40084.6699568384</v>
      </c>
    </row>
    <row r="160" customFormat="false" ht="15" hidden="false" customHeight="false" outlineLevel="0" collapsed="false">
      <c r="A160" s="46" t="n">
        <v>152</v>
      </c>
      <c r="B160" s="47" t="n">
        <f aca="false">(A160-1)*$C$6</f>
        <v>0.272800078069969</v>
      </c>
      <c r="C160" s="48" t="n">
        <f aca="false">$C$7*B160</f>
        <v>2.09722222222222</v>
      </c>
      <c r="D160" s="49" t="n">
        <f aca="false">0.5*c_rho*'P3 Energie'!E8*'P3 Energie'!E7*(C160-c_Vv)^2+'P3 Energie'!E13+'P3 Energie'!E15+'P3 Energie'!E6*$C$7</f>
        <v>18413.0230432346</v>
      </c>
      <c r="E160" s="50" t="n">
        <f aca="false">D160*C160</f>
        <v>38616.2011045615</v>
      </c>
      <c r="F160" s="46" t="n">
        <v>152</v>
      </c>
      <c r="G160" s="47" t="n">
        <f aca="false">(F160-1)*$H$6</f>
        <v>0.272605256699647</v>
      </c>
      <c r="H160" s="48" t="n">
        <f aca="false">$H$7*G160</f>
        <v>2.09722222222222</v>
      </c>
      <c r="I160" s="49" t="n">
        <f aca="false">0.5*c_rho*'P3 Energie'!F8*'P3 Energie'!F7*(H160-c_Vv)^2+'P3 Energie'!F13+'P3 Energie'!F15+'P3 Energie'!F6*$H$7</f>
        <v>19240.6617296299</v>
      </c>
      <c r="J160" s="50" t="n">
        <f aca="false">I160*H160</f>
        <v>40351.9433496404</v>
      </c>
    </row>
    <row r="161" customFormat="false" ht="15" hidden="false" customHeight="false" outlineLevel="0" collapsed="false">
      <c r="A161" s="46" t="n">
        <v>153</v>
      </c>
      <c r="B161" s="47" t="n">
        <f aca="false">(A161-1)*$C$6</f>
        <v>0.274606701103545</v>
      </c>
      <c r="C161" s="48" t="n">
        <f aca="false">$C$7*B161</f>
        <v>2.11111111111111</v>
      </c>
      <c r="D161" s="49" t="n">
        <f aca="false">0.5*c_rho*'P3 Energie'!E8*'P3 Energie'!E7*(C161-c_Vv)^2+'P3 Energie'!E13+'P3 Energie'!E15+'P3 Energie'!E6*$C$7</f>
        <v>18413.0463900587</v>
      </c>
      <c r="E161" s="50" t="n">
        <f aca="false">D161*C161</f>
        <v>38871.9868234572</v>
      </c>
      <c r="F161" s="46" t="n">
        <v>153</v>
      </c>
      <c r="G161" s="47" t="n">
        <f aca="false">(F161-1)*$H$6</f>
        <v>0.274410589525472</v>
      </c>
      <c r="H161" s="48" t="n">
        <f aca="false">$H$7*G161</f>
        <v>2.11111111111111</v>
      </c>
      <c r="I161" s="49" t="n">
        <f aca="false">0.5*c_rho*'P3 Energie'!F8*'P3 Energie'!F7*(H161-c_Vv)^2+'P3 Energie'!F13+'P3 Energie'!F15+'P3 Energie'!F6*$H$7</f>
        <v>19240.6820138667</v>
      </c>
      <c r="J161" s="50" t="n">
        <f aca="false">I161*H161</f>
        <v>40619.2175848296</v>
      </c>
    </row>
    <row r="162" customFormat="false" ht="15" hidden="false" customHeight="false" outlineLevel="0" collapsed="false">
      <c r="A162" s="46" t="n">
        <v>154</v>
      </c>
      <c r="B162" s="47" t="n">
        <f aca="false">(A162-1)*$C$6</f>
        <v>0.276413324137121</v>
      </c>
      <c r="C162" s="48" t="n">
        <f aca="false">$C$7*B162</f>
        <v>2.125</v>
      </c>
      <c r="D162" s="49" t="n">
        <f aca="false">0.5*c_rho*'P3 Energie'!E8*'P3 Energie'!E7*(C162-c_Vv)^2+'P3 Energie'!E13+'P3 Energie'!E15+'P3 Energie'!E6*$C$7</f>
        <v>18413.0698909872</v>
      </c>
      <c r="E162" s="50" t="n">
        <f aca="false">D162*C162</f>
        <v>39127.7735183477</v>
      </c>
      <c r="F162" s="46" t="n">
        <v>154</v>
      </c>
      <c r="G162" s="47" t="n">
        <f aca="false">(F162-1)*$H$6</f>
        <v>0.276215922351298</v>
      </c>
      <c r="H162" s="48" t="n">
        <f aca="false">$H$7*G162</f>
        <v>2.125</v>
      </c>
      <c r="I162" s="49" t="n">
        <f aca="false">0.5*c_rho*'P3 Energie'!F8*'P3 Energie'!F7*(H162-c_Vv)^2+'P3 Energie'!F13+'P3 Energie'!F15+'P3 Energie'!F6*$H$7</f>
        <v>19240.7024319928</v>
      </c>
      <c r="J162" s="50" t="n">
        <f aca="false">I162*H162</f>
        <v>40886.4926679848</v>
      </c>
    </row>
    <row r="163" customFormat="false" ht="15" hidden="false" customHeight="false" outlineLevel="0" collapsed="false">
      <c r="A163" s="46" t="n">
        <v>155</v>
      </c>
      <c r="B163" s="47" t="n">
        <f aca="false">(A163-1)*$C$6</f>
        <v>0.278219947170697</v>
      </c>
      <c r="C163" s="48" t="n">
        <f aca="false">$C$7*B163</f>
        <v>2.13888888888889</v>
      </c>
      <c r="D163" s="49" t="n">
        <f aca="false">0.5*c_rho*'P3 Energie'!E8*'P3 Energie'!E7*(C163-c_Vv)^2+'P3 Energie'!E13+'P3 Energie'!E15+'P3 Energie'!E6*$C$7</f>
        <v>18413.0935460201</v>
      </c>
      <c r="E163" s="50" t="n">
        <f aca="false">D163*C163</f>
        <v>39383.5611956541</v>
      </c>
      <c r="F163" s="46" t="n">
        <v>155</v>
      </c>
      <c r="G163" s="47" t="n">
        <f aca="false">(F163-1)*$H$6</f>
        <v>0.278021255177123</v>
      </c>
      <c r="H163" s="48" t="n">
        <f aca="false">$H$7*G163</f>
        <v>2.13888888888889</v>
      </c>
      <c r="I163" s="49" t="n">
        <f aca="false">0.5*c_rho*'P3 Energie'!F8*'P3 Energie'!F7*(H163-c_Vv)^2+'P3 Energie'!F13+'P3 Energie'!F15+'P3 Energie'!F6*$H$7</f>
        <v>19240.7229840083</v>
      </c>
      <c r="J163" s="50" t="n">
        <f aca="false">I163*H163</f>
        <v>41153.7686046845</v>
      </c>
    </row>
    <row r="164" customFormat="false" ht="15" hidden="false" customHeight="false" outlineLevel="0" collapsed="false">
      <c r="A164" s="46" t="n">
        <v>156</v>
      </c>
      <c r="B164" s="47" t="n">
        <f aca="false">(A164-1)*$C$6</f>
        <v>0.280026570204273</v>
      </c>
      <c r="C164" s="48" t="n">
        <f aca="false">$C$7*B164</f>
        <v>2.15277777777778</v>
      </c>
      <c r="D164" s="49" t="n">
        <f aca="false">0.5*c_rho*'P3 Energie'!E8*'P3 Energie'!E7*(C164-c_Vv)^2+'P3 Energie'!E13+'P3 Energie'!E15+'P3 Energie'!E6*$C$7</f>
        <v>18413.1173551575</v>
      </c>
      <c r="E164" s="50" t="n">
        <f aca="false">D164*C164</f>
        <v>39639.3498617973</v>
      </c>
      <c r="F164" s="46" t="n">
        <v>156</v>
      </c>
      <c r="G164" s="47" t="n">
        <f aca="false">(F164-1)*$H$6</f>
        <v>0.279826588002949</v>
      </c>
      <c r="H164" s="48" t="n">
        <f aca="false">$H$7*G164</f>
        <v>2.15277777777778</v>
      </c>
      <c r="I164" s="49" t="n">
        <f aca="false">0.5*c_rho*'P3 Energie'!F8*'P3 Energie'!F7*(H164-c_Vv)^2+'P3 Energie'!F13+'P3 Energie'!F15+'P3 Energie'!F6*$H$7</f>
        <v>19240.7436699132</v>
      </c>
      <c r="J164" s="50" t="n">
        <f aca="false">I164*H164</f>
        <v>41421.0454005076</v>
      </c>
    </row>
    <row r="165" customFormat="false" ht="15" hidden="false" customHeight="false" outlineLevel="0" collapsed="false">
      <c r="A165" s="46" t="n">
        <v>157</v>
      </c>
      <c r="B165" s="47" t="n">
        <f aca="false">(A165-1)*$C$6</f>
        <v>0.281833193237849</v>
      </c>
      <c r="C165" s="48" t="n">
        <f aca="false">$C$7*B165</f>
        <v>2.16666666666667</v>
      </c>
      <c r="D165" s="49" t="n">
        <f aca="false">0.5*c_rho*'P3 Energie'!E8*'P3 Energie'!E7*(C165-c_Vv)^2+'P3 Energie'!E13+'P3 Energie'!E15+'P3 Energie'!E6*$C$7</f>
        <v>18413.1413183993</v>
      </c>
      <c r="E165" s="50" t="n">
        <f aca="false">D165*C165</f>
        <v>39895.1395231985</v>
      </c>
      <c r="F165" s="46" t="n">
        <v>157</v>
      </c>
      <c r="G165" s="47" t="n">
        <f aca="false">(F165-1)*$H$6</f>
        <v>0.281631920828774</v>
      </c>
      <c r="H165" s="48" t="n">
        <f aca="false">$H$7*G165</f>
        <v>2.16666666666667</v>
      </c>
      <c r="I165" s="49" t="n">
        <f aca="false">0.5*c_rho*'P3 Energie'!F8*'P3 Energie'!F7*(H165-c_Vv)^2+'P3 Energie'!F13+'P3 Energie'!F15+'P3 Energie'!F6*$H$7</f>
        <v>19240.7644897074</v>
      </c>
      <c r="J165" s="50" t="n">
        <f aca="false">I165*H165</f>
        <v>41688.3230610327</v>
      </c>
    </row>
    <row r="166" customFormat="false" ht="15" hidden="false" customHeight="false" outlineLevel="0" collapsed="false">
      <c r="A166" s="46" t="n">
        <v>158</v>
      </c>
      <c r="B166" s="47" t="n">
        <f aca="false">(A166-1)*$C$6</f>
        <v>0.283639816271425</v>
      </c>
      <c r="C166" s="48" t="n">
        <f aca="false">$C$7*B166</f>
        <v>2.18055555555556</v>
      </c>
      <c r="D166" s="49" t="n">
        <f aca="false">0.5*c_rho*'P3 Energie'!E8*'P3 Energie'!E7*(C166-c_Vv)^2+'P3 Energie'!E13+'P3 Energie'!E15+'P3 Energie'!E6*$C$7</f>
        <v>18413.1654357456</v>
      </c>
      <c r="E166" s="50" t="n">
        <f aca="false">D166*C166</f>
        <v>40150.9301862786</v>
      </c>
      <c r="F166" s="46" t="n">
        <v>158</v>
      </c>
      <c r="G166" s="47" t="n">
        <f aca="false">(F166-1)*$H$6</f>
        <v>0.2834372536546</v>
      </c>
      <c r="H166" s="48" t="n">
        <f aca="false">$H$7*G166</f>
        <v>2.18055555555556</v>
      </c>
      <c r="I166" s="49" t="n">
        <f aca="false">0.5*c_rho*'P3 Energie'!F8*'P3 Energie'!F7*(H166-c_Vv)^2+'P3 Energie'!F13+'P3 Energie'!F15+'P3 Energie'!F6*$H$7</f>
        <v>19240.785443391</v>
      </c>
      <c r="J166" s="50" t="n">
        <f aca="false">I166*H166</f>
        <v>41955.6015918387</v>
      </c>
    </row>
    <row r="167" customFormat="false" ht="15" hidden="false" customHeight="false" outlineLevel="0" collapsed="false">
      <c r="A167" s="46" t="n">
        <v>159</v>
      </c>
      <c r="B167" s="47" t="n">
        <f aca="false">(A167-1)*$C$6</f>
        <v>0.285446439305001</v>
      </c>
      <c r="C167" s="48" t="n">
        <f aca="false">$C$7*B167</f>
        <v>2.19444444444444</v>
      </c>
      <c r="D167" s="49" t="n">
        <f aca="false">0.5*c_rho*'P3 Energie'!E8*'P3 Energie'!E7*(C167-c_Vv)^2+'P3 Energie'!E13+'P3 Energie'!E15+'P3 Energie'!E6*$C$7</f>
        <v>18413.1897071963</v>
      </c>
      <c r="E167" s="50" t="n">
        <f aca="false">D167*C167</f>
        <v>40406.7218574586</v>
      </c>
      <c r="F167" s="46" t="n">
        <v>159</v>
      </c>
      <c r="G167" s="47" t="n">
        <f aca="false">(F167-1)*$H$6</f>
        <v>0.285242586480425</v>
      </c>
      <c r="H167" s="48" t="n">
        <f aca="false">$H$7*G167</f>
        <v>2.19444444444444</v>
      </c>
      <c r="I167" s="49" t="n">
        <f aca="false">0.5*c_rho*'P3 Energie'!F8*'P3 Energie'!F7*(H167-c_Vv)^2+'P3 Energie'!F13+'P3 Energie'!F15+'P3 Energie'!F6*$H$7</f>
        <v>19240.8065309639</v>
      </c>
      <c r="J167" s="50" t="n">
        <f aca="false">I167*H167</f>
        <v>42222.8809985041</v>
      </c>
    </row>
    <row r="168" customFormat="false" ht="15" hidden="false" customHeight="false" outlineLevel="0" collapsed="false">
      <c r="A168" s="46" t="n">
        <v>160</v>
      </c>
      <c r="B168" s="47" t="n">
        <f aca="false">(A168-1)*$C$6</f>
        <v>0.287253062338577</v>
      </c>
      <c r="C168" s="48" t="n">
        <f aca="false">$C$7*B168</f>
        <v>2.20833333333333</v>
      </c>
      <c r="D168" s="49" t="n">
        <f aca="false">0.5*c_rho*'P3 Energie'!E8*'P3 Energie'!E7*(C168-c_Vv)^2+'P3 Energie'!E13+'P3 Energie'!E15+'P3 Energie'!E6*$C$7</f>
        <v>18413.2141327515</v>
      </c>
      <c r="E168" s="50" t="n">
        <f aca="false">D168*C168</f>
        <v>40662.5145431595</v>
      </c>
      <c r="F168" s="46" t="n">
        <v>160</v>
      </c>
      <c r="G168" s="47" t="n">
        <f aca="false">(F168-1)*$H$6</f>
        <v>0.287047919306251</v>
      </c>
      <c r="H168" s="48" t="n">
        <f aca="false">$H$7*G168</f>
        <v>2.20833333333333</v>
      </c>
      <c r="I168" s="49" t="n">
        <f aca="false">0.5*c_rho*'P3 Energie'!F8*'P3 Energie'!F7*(H168-c_Vv)^2+'P3 Energie'!F13+'P3 Energie'!F15+'P3 Energie'!F6*$H$7</f>
        <v>19240.8277524262</v>
      </c>
      <c r="J168" s="50" t="n">
        <f aca="false">I168*H168</f>
        <v>42490.1612866078</v>
      </c>
    </row>
    <row r="169" customFormat="false" ht="15" hidden="false" customHeight="false" outlineLevel="0" collapsed="false">
      <c r="A169" s="46" t="n">
        <v>161</v>
      </c>
      <c r="B169" s="47" t="n">
        <f aca="false">(A169-1)*$C$6</f>
        <v>0.289059685372153</v>
      </c>
      <c r="C169" s="48" t="n">
        <f aca="false">$C$7*B169</f>
        <v>2.22222222222222</v>
      </c>
      <c r="D169" s="49" t="n">
        <f aca="false">0.5*c_rho*'P3 Energie'!E8*'P3 Energie'!E7*(C169-c_Vv)^2+'P3 Energie'!E13+'P3 Energie'!E15+'P3 Energie'!E6*$C$7</f>
        <v>18413.2387124111</v>
      </c>
      <c r="E169" s="50" t="n">
        <f aca="false">D169*C169</f>
        <v>40918.3082498025</v>
      </c>
      <c r="F169" s="46" t="n">
        <v>161</v>
      </c>
      <c r="G169" s="47" t="n">
        <f aca="false">(F169-1)*$H$6</f>
        <v>0.288853252132076</v>
      </c>
      <c r="H169" s="48" t="n">
        <f aca="false">$H$7*G169</f>
        <v>2.22222222222222</v>
      </c>
      <c r="I169" s="49" t="n">
        <f aca="false">0.5*c_rho*'P3 Energie'!F8*'P3 Energie'!F7*(H169-c_Vv)^2+'P3 Energie'!F13+'P3 Energie'!F15+'P3 Energie'!F6*$H$7</f>
        <v>19240.8491077778</v>
      </c>
      <c r="J169" s="50" t="n">
        <f aca="false">I169*H169</f>
        <v>42757.4424617284</v>
      </c>
    </row>
    <row r="170" customFormat="false" ht="15" hidden="false" customHeight="false" outlineLevel="0" collapsed="false">
      <c r="A170" s="46" t="n">
        <v>162</v>
      </c>
      <c r="B170" s="47" t="n">
        <f aca="false">(A170-1)*$C$6</f>
        <v>0.290866308405728</v>
      </c>
      <c r="C170" s="48" t="n">
        <f aca="false">$C$7*B170</f>
        <v>2.23611111111111</v>
      </c>
      <c r="D170" s="49" t="n">
        <f aca="false">0.5*c_rho*'P3 Energie'!E8*'P3 Energie'!E7*(C170-c_Vv)^2+'P3 Energie'!E13+'P3 Energie'!E15+'P3 Energie'!E6*$C$7</f>
        <v>18413.2634461752</v>
      </c>
      <c r="E170" s="50" t="n">
        <f aca="false">D170*C170</f>
        <v>41174.1029838084</v>
      </c>
      <c r="F170" s="46" t="n">
        <v>162</v>
      </c>
      <c r="G170" s="47" t="n">
        <f aca="false">(F170-1)*$H$6</f>
        <v>0.290658584957902</v>
      </c>
      <c r="H170" s="48" t="n">
        <f aca="false">$H$7*G170</f>
        <v>2.23611111111111</v>
      </c>
      <c r="I170" s="49" t="n">
        <f aca="false">0.5*c_rho*'P3 Energie'!F8*'P3 Energie'!F7*(H170-c_Vv)^2+'P3 Energie'!F13+'P3 Energie'!F15+'P3 Energie'!F6*$H$7</f>
        <v>19240.8705970188</v>
      </c>
      <c r="J170" s="50" t="n">
        <f aca="false">I170*H170</f>
        <v>43024.7245294447</v>
      </c>
    </row>
    <row r="171" customFormat="false" ht="15" hidden="false" customHeight="false" outlineLevel="0" collapsed="false">
      <c r="A171" s="46" t="n">
        <v>163</v>
      </c>
      <c r="B171" s="47" t="n">
        <f aca="false">(A171-1)*$C$6</f>
        <v>0.292672931439304</v>
      </c>
      <c r="C171" s="48" t="n">
        <f aca="false">$C$7*B171</f>
        <v>2.25</v>
      </c>
      <c r="D171" s="49" t="n">
        <f aca="false">0.5*c_rho*'P3 Energie'!E8*'P3 Energie'!E7*(C171-c_Vv)^2+'P3 Energie'!E13+'P3 Energie'!E15+'P3 Energie'!E6*$C$7</f>
        <v>18413.2883340437</v>
      </c>
      <c r="E171" s="50" t="n">
        <f aca="false">D171*C171</f>
        <v>41429.8987515984</v>
      </c>
      <c r="F171" s="46" t="n">
        <v>163</v>
      </c>
      <c r="G171" s="47" t="n">
        <f aca="false">(F171-1)*$H$6</f>
        <v>0.292463917783727</v>
      </c>
      <c r="H171" s="48" t="n">
        <f aca="false">$H$7*G171</f>
        <v>2.25</v>
      </c>
      <c r="I171" s="49" t="n">
        <f aca="false">0.5*c_rho*'P3 Energie'!F8*'P3 Energie'!F7*(H171-c_Vv)^2+'P3 Energie'!F13+'P3 Energie'!F15+'P3 Energie'!F6*$H$7</f>
        <v>19240.8922201491</v>
      </c>
      <c r="J171" s="50" t="n">
        <f aca="false">I171*H171</f>
        <v>43292.0074953354</v>
      </c>
    </row>
    <row r="172" customFormat="false" ht="15" hidden="false" customHeight="false" outlineLevel="0" collapsed="false">
      <c r="A172" s="46" t="n">
        <v>164</v>
      </c>
      <c r="B172" s="47" t="n">
        <f aca="false">(A172-1)*$C$6</f>
        <v>0.29447955447288</v>
      </c>
      <c r="C172" s="48" t="n">
        <f aca="false">$C$7*B172</f>
        <v>2.26388888888889</v>
      </c>
      <c r="D172" s="49" t="n">
        <f aca="false">0.5*c_rho*'P3 Energie'!E8*'P3 Energie'!E7*(C172-c_Vv)^2+'P3 Energie'!E13+'P3 Energie'!E15+'P3 Energie'!E6*$C$7</f>
        <v>18413.3133760167</v>
      </c>
      <c r="E172" s="50" t="n">
        <f aca="false">D172*C172</f>
        <v>41685.6955595934</v>
      </c>
      <c r="F172" s="46" t="n">
        <v>164</v>
      </c>
      <c r="G172" s="47" t="n">
        <f aca="false">(F172-1)*$H$6</f>
        <v>0.294269250609553</v>
      </c>
      <c r="H172" s="48" t="n">
        <f aca="false">$H$7*G172</f>
        <v>2.26388888888889</v>
      </c>
      <c r="I172" s="49" t="n">
        <f aca="false">0.5*c_rho*'P3 Energie'!F8*'P3 Energie'!F7*(H172-c_Vv)^2+'P3 Energie'!F13+'P3 Energie'!F15+'P3 Energie'!F6*$H$7</f>
        <v>19240.9139771688</v>
      </c>
      <c r="J172" s="50" t="n">
        <f aca="false">I172*H172</f>
        <v>43559.2913649793</v>
      </c>
    </row>
    <row r="173" customFormat="false" ht="15" hidden="false" customHeight="false" outlineLevel="0" collapsed="false">
      <c r="A173" s="46" t="n">
        <v>165</v>
      </c>
      <c r="B173" s="47" t="n">
        <f aca="false">(A173-1)*$C$6</f>
        <v>0.296286177506456</v>
      </c>
      <c r="C173" s="48" t="n">
        <f aca="false">$C$7*B173</f>
        <v>2.27777777777778</v>
      </c>
      <c r="D173" s="49" t="n">
        <f aca="false">0.5*c_rho*'P3 Energie'!E8*'P3 Energie'!E7*(C173-c_Vv)^2+'P3 Energie'!E13+'P3 Energie'!E15+'P3 Energie'!E6*$C$7</f>
        <v>18413.3385720941</v>
      </c>
      <c r="E173" s="50" t="n">
        <f aca="false">D173*C173</f>
        <v>41941.4934142144</v>
      </c>
      <c r="F173" s="46" t="n">
        <v>165</v>
      </c>
      <c r="G173" s="47" t="n">
        <f aca="false">(F173-1)*$H$6</f>
        <v>0.296074583435378</v>
      </c>
      <c r="H173" s="48" t="n">
        <f aca="false">$H$7*G173</f>
        <v>2.27777777777778</v>
      </c>
      <c r="I173" s="49" t="n">
        <f aca="false">0.5*c_rho*'P3 Energie'!F8*'P3 Energie'!F7*(H173-c_Vv)^2+'P3 Energie'!F13+'P3 Energie'!F15+'P3 Energie'!F6*$H$7</f>
        <v>19240.9358680778</v>
      </c>
      <c r="J173" s="50" t="n">
        <f aca="false">I173*H173</f>
        <v>43826.5761439549</v>
      </c>
    </row>
    <row r="174" customFormat="false" ht="15" hidden="false" customHeight="false" outlineLevel="0" collapsed="false">
      <c r="A174" s="46" t="n">
        <v>166</v>
      </c>
      <c r="B174" s="47" t="n">
        <f aca="false">(A174-1)*$C$6</f>
        <v>0.298092800540032</v>
      </c>
      <c r="C174" s="48" t="n">
        <f aca="false">$C$7*B174</f>
        <v>2.29166666666667</v>
      </c>
      <c r="D174" s="49" t="n">
        <f aca="false">0.5*c_rho*'P3 Energie'!E8*'P3 Energie'!E7*(C174-c_Vv)^2+'P3 Energie'!E13+'P3 Energie'!E15+'P3 Energie'!E6*$C$7</f>
        <v>18413.363922276</v>
      </c>
      <c r="E174" s="50" t="n">
        <f aca="false">D174*C174</f>
        <v>42197.2923218825</v>
      </c>
      <c r="F174" s="46" t="n">
        <v>166</v>
      </c>
      <c r="G174" s="47" t="n">
        <f aca="false">(F174-1)*$H$6</f>
        <v>0.297879916261203</v>
      </c>
      <c r="H174" s="48" t="n">
        <f aca="false">$H$7*G174</f>
        <v>2.29166666666667</v>
      </c>
      <c r="I174" s="49" t="n">
        <f aca="false">0.5*c_rho*'P3 Energie'!F8*'P3 Energie'!F7*(H174-c_Vv)^2+'P3 Energie'!F13+'P3 Energie'!F15+'P3 Energie'!F6*$H$7</f>
        <v>19240.9578928762</v>
      </c>
      <c r="J174" s="50" t="n">
        <f aca="false">I174*H174</f>
        <v>44093.8618378412</v>
      </c>
    </row>
    <row r="175" customFormat="false" ht="15" hidden="false" customHeight="false" outlineLevel="0" collapsed="false">
      <c r="A175" s="46" t="n">
        <v>167</v>
      </c>
      <c r="B175" s="47" t="n">
        <f aca="false">(A175-1)*$C$6</f>
        <v>0.299899423573608</v>
      </c>
      <c r="C175" s="48" t="n">
        <f aca="false">$C$7*B175</f>
        <v>2.30555555555556</v>
      </c>
      <c r="D175" s="49" t="n">
        <f aca="false">0.5*c_rho*'P3 Energie'!E8*'P3 Energie'!E7*(C175-c_Vv)^2+'P3 Energie'!E13+'P3 Energie'!E15+'P3 Energie'!E6*$C$7</f>
        <v>18413.3894265623</v>
      </c>
      <c r="E175" s="50" t="n">
        <f aca="false">D175*C175</f>
        <v>42453.0922890187</v>
      </c>
      <c r="F175" s="46" t="n">
        <v>167</v>
      </c>
      <c r="G175" s="47" t="n">
        <f aca="false">(F175-1)*$H$6</f>
        <v>0.299685249087029</v>
      </c>
      <c r="H175" s="48" t="n">
        <f aca="false">$H$7*G175</f>
        <v>2.30555555555556</v>
      </c>
      <c r="I175" s="49" t="n">
        <f aca="false">0.5*c_rho*'P3 Energie'!F8*'P3 Energie'!F7*(H175-c_Vv)^2+'P3 Energie'!F13+'P3 Energie'!F15+'P3 Energie'!F6*$H$7</f>
        <v>19240.9800515639</v>
      </c>
      <c r="J175" s="50" t="n">
        <f aca="false">I175*H175</f>
        <v>44361.1484522168</v>
      </c>
    </row>
    <row r="176" customFormat="false" ht="15" hidden="false" customHeight="false" outlineLevel="0" collapsed="false">
      <c r="A176" s="46" t="n">
        <v>168</v>
      </c>
      <c r="B176" s="47" t="n">
        <f aca="false">(A176-1)*$C$6</f>
        <v>0.301706046607184</v>
      </c>
      <c r="C176" s="48" t="n">
        <f aca="false">$C$7*B176</f>
        <v>2.31944444444444</v>
      </c>
      <c r="D176" s="49" t="n">
        <f aca="false">0.5*c_rho*'P3 Energie'!E8*'P3 Energie'!E7*(C176-c_Vv)^2+'P3 Energie'!E13+'P3 Energie'!E15+'P3 Energie'!E6*$C$7</f>
        <v>18413.4150849531</v>
      </c>
      <c r="E176" s="50" t="n">
        <f aca="false">D176*C176</f>
        <v>42708.893322044</v>
      </c>
      <c r="F176" s="46" t="n">
        <v>168</v>
      </c>
      <c r="G176" s="47" t="n">
        <f aca="false">(F176-1)*$H$6</f>
        <v>0.301490581912854</v>
      </c>
      <c r="H176" s="48" t="n">
        <f aca="false">$H$7*G176</f>
        <v>2.31944444444444</v>
      </c>
      <c r="I176" s="49" t="n">
        <f aca="false">0.5*c_rho*'P3 Energie'!F8*'P3 Energie'!F7*(H176-c_Vv)^2+'P3 Energie'!F13+'P3 Energie'!F15+'P3 Energie'!F6*$H$7</f>
        <v>19241.002344141</v>
      </c>
      <c r="J176" s="50" t="n">
        <f aca="false">I176*H176</f>
        <v>44628.4359926603</v>
      </c>
    </row>
    <row r="177" customFormat="false" ht="15" hidden="false" customHeight="false" outlineLevel="0" collapsed="false">
      <c r="A177" s="46" t="n">
        <v>169</v>
      </c>
      <c r="B177" s="47" t="n">
        <f aca="false">(A177-1)*$C$6</f>
        <v>0.30351266964076</v>
      </c>
      <c r="C177" s="48" t="n">
        <f aca="false">$C$7*B177</f>
        <v>2.33333333333333</v>
      </c>
      <c r="D177" s="49" t="n">
        <f aca="false">0.5*c_rho*'P3 Energie'!E8*'P3 Energie'!E7*(C177-c_Vv)^2+'P3 Energie'!E13+'P3 Energie'!E15+'P3 Energie'!E6*$C$7</f>
        <v>18413.4408974483</v>
      </c>
      <c r="E177" s="50" t="n">
        <f aca="false">D177*C177</f>
        <v>42964.6954273794</v>
      </c>
      <c r="F177" s="46" t="n">
        <v>169</v>
      </c>
      <c r="G177" s="47" t="n">
        <f aca="false">(F177-1)*$H$6</f>
        <v>0.30329591473868</v>
      </c>
      <c r="H177" s="48" t="n">
        <f aca="false">$H$7*G177</f>
        <v>2.33333333333333</v>
      </c>
      <c r="I177" s="49" t="n">
        <f aca="false">0.5*c_rho*'P3 Energie'!F8*'P3 Energie'!F7*(H177-c_Vv)^2+'P3 Energie'!F13+'P3 Energie'!F15+'P3 Energie'!F6*$H$7</f>
        <v>19241.0247706074</v>
      </c>
      <c r="J177" s="50" t="n">
        <f aca="false">I177*H177</f>
        <v>44895.7244647506</v>
      </c>
    </row>
    <row r="178" customFormat="false" ht="15" hidden="false" customHeight="false" outlineLevel="0" collapsed="false">
      <c r="A178" s="46" t="n">
        <v>170</v>
      </c>
      <c r="B178" s="47" t="n">
        <f aca="false">(A178-1)*$C$6</f>
        <v>0.305319292674336</v>
      </c>
      <c r="C178" s="48" t="n">
        <f aca="false">$C$7*B178</f>
        <v>2.34722222222222</v>
      </c>
      <c r="D178" s="49" t="n">
        <f aca="false">0.5*c_rho*'P3 Energie'!E8*'P3 Energie'!E7*(C178-c_Vv)^2+'P3 Energie'!E13+'P3 Energie'!E15+'P3 Energie'!E6*$C$7</f>
        <v>18413.466864048</v>
      </c>
      <c r="E178" s="50" t="n">
        <f aca="false">D178*C178</f>
        <v>43220.4986114459</v>
      </c>
      <c r="F178" s="46" t="n">
        <v>170</v>
      </c>
      <c r="G178" s="47" t="n">
        <f aca="false">(F178-1)*$H$6</f>
        <v>0.305101247564505</v>
      </c>
      <c r="H178" s="48" t="n">
        <f aca="false">$H$7*G178</f>
        <v>2.34722222222222</v>
      </c>
      <c r="I178" s="49" t="n">
        <f aca="false">0.5*c_rho*'P3 Energie'!F8*'P3 Energie'!F7*(H178-c_Vv)^2+'P3 Energie'!F13+'P3 Energie'!F15+'P3 Energie'!F6*$H$7</f>
        <v>19241.0473309632</v>
      </c>
      <c r="J178" s="50" t="n">
        <f aca="false">I178*H178</f>
        <v>45163.0138740664</v>
      </c>
    </row>
    <row r="179" customFormat="false" ht="15" hidden="false" customHeight="false" outlineLevel="0" collapsed="false">
      <c r="A179" s="46" t="n">
        <v>171</v>
      </c>
      <c r="B179" s="47" t="n">
        <f aca="false">(A179-1)*$C$6</f>
        <v>0.307125915707912</v>
      </c>
      <c r="C179" s="48" t="n">
        <f aca="false">$C$7*B179</f>
        <v>2.36111111111111</v>
      </c>
      <c r="D179" s="49" t="n">
        <f aca="false">0.5*c_rho*'P3 Energie'!E8*'P3 Energie'!E7*(C179-c_Vv)^2+'P3 Energie'!E13+'P3 Energie'!E15+'P3 Energie'!E6*$C$7</f>
        <v>18413.4929847521</v>
      </c>
      <c r="E179" s="50" t="n">
        <f aca="false">D179*C179</f>
        <v>43476.3028806647</v>
      </c>
      <c r="F179" s="46" t="n">
        <v>171</v>
      </c>
      <c r="G179" s="47" t="n">
        <f aca="false">(F179-1)*$H$6</f>
        <v>0.306906580390331</v>
      </c>
      <c r="H179" s="48" t="n">
        <f aca="false">$H$7*G179</f>
        <v>2.36111111111111</v>
      </c>
      <c r="I179" s="49" t="n">
        <f aca="false">0.5*c_rho*'P3 Energie'!F8*'P3 Energie'!F7*(H179-c_Vv)^2+'P3 Energie'!F13+'P3 Energie'!F15+'P3 Energie'!F6*$H$7</f>
        <v>19241.0700252083</v>
      </c>
      <c r="J179" s="50" t="n">
        <f aca="false">I179*H179</f>
        <v>45430.3042261863</v>
      </c>
    </row>
    <row r="180" customFormat="false" ht="15" hidden="false" customHeight="false" outlineLevel="0" collapsed="false">
      <c r="A180" s="46" t="n">
        <v>172</v>
      </c>
      <c r="B180" s="47" t="n">
        <f aca="false">(A180-1)*$C$6</f>
        <v>0.308932538741488</v>
      </c>
      <c r="C180" s="48" t="n">
        <f aca="false">$C$7*B180</f>
        <v>2.375</v>
      </c>
      <c r="D180" s="49" t="n">
        <f aca="false">0.5*c_rho*'P3 Energie'!E8*'P3 Energie'!E7*(C180-c_Vv)^2+'P3 Energie'!E13+'P3 Energie'!E15+'P3 Energie'!E6*$C$7</f>
        <v>18413.5192595607</v>
      </c>
      <c r="E180" s="50" t="n">
        <f aca="false">D180*C180</f>
        <v>43732.1082414566</v>
      </c>
      <c r="F180" s="46" t="n">
        <v>172</v>
      </c>
      <c r="G180" s="47" t="n">
        <f aca="false">(F180-1)*$H$6</f>
        <v>0.308711913216156</v>
      </c>
      <c r="H180" s="48" t="n">
        <f aca="false">$H$7*G180</f>
        <v>2.375</v>
      </c>
      <c r="I180" s="49" t="n">
        <f aca="false">0.5*c_rho*'P3 Energie'!F8*'P3 Energie'!F7*(H180-c_Vv)^2+'P3 Energie'!F13+'P3 Energie'!F15+'P3 Energie'!F6*$H$7</f>
        <v>19241.0928533428</v>
      </c>
      <c r="J180" s="50" t="n">
        <f aca="false">I180*H180</f>
        <v>45697.5955266892</v>
      </c>
    </row>
    <row r="181" customFormat="false" ht="15" hidden="false" customHeight="false" outlineLevel="0" collapsed="false">
      <c r="A181" s="46" t="n">
        <v>173</v>
      </c>
      <c r="B181" s="47" t="n">
        <f aca="false">(A181-1)*$C$6</f>
        <v>0.310739161775064</v>
      </c>
      <c r="C181" s="48" t="n">
        <f aca="false">$C$7*B181</f>
        <v>2.38888888888889</v>
      </c>
      <c r="D181" s="49" t="n">
        <f aca="false">0.5*c_rho*'P3 Energie'!E8*'P3 Energie'!E7*(C181-c_Vv)^2+'P3 Energie'!E13+'P3 Energie'!E15+'P3 Energie'!E6*$C$7</f>
        <v>18413.5456884737</v>
      </c>
      <c r="E181" s="50" t="n">
        <f aca="false">D181*C181</f>
        <v>43987.9147002427</v>
      </c>
      <c r="F181" s="46" t="n">
        <v>173</v>
      </c>
      <c r="G181" s="47" t="n">
        <f aca="false">(F181-1)*$H$6</f>
        <v>0.310517246041982</v>
      </c>
      <c r="H181" s="48" t="n">
        <f aca="false">$H$7*G181</f>
        <v>2.38888888888889</v>
      </c>
      <c r="I181" s="49" t="n">
        <f aca="false">0.5*c_rho*'P3 Energie'!F8*'P3 Energie'!F7*(H181-c_Vv)^2+'P3 Energie'!F13+'P3 Energie'!F15+'P3 Energie'!F6*$H$7</f>
        <v>19241.1158153667</v>
      </c>
      <c r="J181" s="50" t="n">
        <f aca="false">I181*H181</f>
        <v>45964.8877811537</v>
      </c>
    </row>
    <row r="182" customFormat="false" ht="15" hidden="false" customHeight="false" outlineLevel="0" collapsed="false">
      <c r="A182" s="46" t="n">
        <v>174</v>
      </c>
      <c r="B182" s="47" t="n">
        <f aca="false">(A182-1)*$C$6</f>
        <v>0.31254578480864</v>
      </c>
      <c r="C182" s="48" t="n">
        <f aca="false">$C$7*B182</f>
        <v>2.40277777777778</v>
      </c>
      <c r="D182" s="49" t="n">
        <f aca="false">0.5*c_rho*'P3 Energie'!E8*'P3 Energie'!E7*(C182-c_Vv)^2+'P3 Energie'!E13+'P3 Energie'!E15+'P3 Energie'!E6*$C$7</f>
        <v>18413.5722714911</v>
      </c>
      <c r="E182" s="50" t="n">
        <f aca="false">D182*C182</f>
        <v>44243.722263444</v>
      </c>
      <c r="F182" s="46" t="n">
        <v>174</v>
      </c>
      <c r="G182" s="47" t="n">
        <f aca="false">(F182-1)*$H$6</f>
        <v>0.312322578867807</v>
      </c>
      <c r="H182" s="48" t="n">
        <f aca="false">$H$7*G182</f>
        <v>2.40277777777778</v>
      </c>
      <c r="I182" s="49" t="n">
        <f aca="false">0.5*c_rho*'P3 Energie'!F8*'P3 Energie'!F7*(H182-c_Vv)^2+'P3 Energie'!F13+'P3 Energie'!F15+'P3 Energie'!F6*$H$7</f>
        <v>19241.1389112799</v>
      </c>
      <c r="J182" s="50" t="n">
        <f aca="false">I182*H182</f>
        <v>46232.1809951586</v>
      </c>
    </row>
    <row r="183" customFormat="false" ht="15" hidden="false" customHeight="false" outlineLevel="0" collapsed="false">
      <c r="A183" s="46" t="n">
        <v>175</v>
      </c>
      <c r="B183" s="47" t="n">
        <f aca="false">(A183-1)*$C$6</f>
        <v>0.314352407842216</v>
      </c>
      <c r="C183" s="48" t="n">
        <f aca="false">$C$7*B183</f>
        <v>2.41666666666667</v>
      </c>
      <c r="D183" s="49" t="n">
        <f aca="false">0.5*c_rho*'P3 Energie'!E8*'P3 Energie'!E7*(C183-c_Vv)^2+'P3 Energie'!E13+'P3 Energie'!E15+'P3 Energie'!E6*$C$7</f>
        <v>18413.5990086131</v>
      </c>
      <c r="E183" s="50" t="n">
        <f aca="false">D183*C183</f>
        <v>44499.5309374815</v>
      </c>
      <c r="F183" s="46" t="n">
        <v>175</v>
      </c>
      <c r="G183" s="47" t="n">
        <f aca="false">(F183-1)*$H$6</f>
        <v>0.314127911693633</v>
      </c>
      <c r="H183" s="48" t="n">
        <f aca="false">$H$7*G183</f>
        <v>2.41666666666667</v>
      </c>
      <c r="I183" s="49" t="n">
        <f aca="false">0.5*c_rho*'P3 Energie'!F8*'P3 Energie'!F7*(H183-c_Vv)^2+'P3 Energie'!F13+'P3 Energie'!F15+'P3 Energie'!F6*$H$7</f>
        <v>19241.1621410824</v>
      </c>
      <c r="J183" s="50" t="n">
        <f aca="false">I183*H183</f>
        <v>46499.4751742825</v>
      </c>
    </row>
    <row r="184" customFormat="false" ht="15" hidden="false" customHeight="false" outlineLevel="0" collapsed="false">
      <c r="A184" s="46" t="n">
        <v>176</v>
      </c>
      <c r="B184" s="47" t="n">
        <f aca="false">(A184-1)*$C$6</f>
        <v>0.316159030875792</v>
      </c>
      <c r="C184" s="48" t="n">
        <f aca="false">$C$7*B184</f>
        <v>2.43055555555556</v>
      </c>
      <c r="D184" s="49" t="n">
        <f aca="false">0.5*c_rho*'P3 Energie'!E8*'P3 Energie'!E7*(C184-c_Vv)^2+'P3 Energie'!E13+'P3 Energie'!E15+'P3 Energie'!E6*$C$7</f>
        <v>18413.6258998394</v>
      </c>
      <c r="E184" s="50" t="n">
        <f aca="false">D184*C184</f>
        <v>44755.3407287764</v>
      </c>
      <c r="F184" s="46" t="n">
        <v>176</v>
      </c>
      <c r="G184" s="47" t="n">
        <f aca="false">(F184-1)*$H$6</f>
        <v>0.315933244519458</v>
      </c>
      <c r="H184" s="48" t="n">
        <f aca="false">$H$7*G184</f>
        <v>2.43055555555556</v>
      </c>
      <c r="I184" s="49" t="n">
        <f aca="false">0.5*c_rho*'P3 Energie'!F8*'P3 Energie'!F7*(H184-c_Vv)^2+'P3 Energie'!F13+'P3 Energie'!F15+'P3 Energie'!F6*$H$7</f>
        <v>19241.1855047743</v>
      </c>
      <c r="J184" s="50" t="n">
        <f aca="false">I184*H184</f>
        <v>46766.7703241042</v>
      </c>
    </row>
    <row r="185" customFormat="false" ht="15" hidden="false" customHeight="false" outlineLevel="0" collapsed="false">
      <c r="A185" s="46" t="n">
        <v>177</v>
      </c>
      <c r="B185" s="47" t="n">
        <f aca="false">(A185-1)*$C$6</f>
        <v>0.317965653909368</v>
      </c>
      <c r="C185" s="48" t="n">
        <f aca="false">$C$7*B185</f>
        <v>2.44444444444444</v>
      </c>
      <c r="D185" s="49" t="n">
        <f aca="false">0.5*c_rho*'P3 Energie'!E8*'P3 Energie'!E7*(C185-c_Vv)^2+'P3 Energie'!E13+'P3 Energie'!E15+'P3 Energie'!E6*$C$7</f>
        <v>18413.6529451702</v>
      </c>
      <c r="E185" s="50" t="n">
        <f aca="false">D185*C185</f>
        <v>45011.1516437494</v>
      </c>
      <c r="F185" s="46" t="n">
        <v>177</v>
      </c>
      <c r="G185" s="47" t="n">
        <f aca="false">(F185-1)*$H$6</f>
        <v>0.317738577345284</v>
      </c>
      <c r="H185" s="48" t="n">
        <f aca="false">$H$7*G185</f>
        <v>2.44444444444444</v>
      </c>
      <c r="I185" s="49" t="n">
        <f aca="false">0.5*c_rho*'P3 Energie'!F8*'P3 Energie'!F7*(H185-c_Vv)^2+'P3 Energie'!F13+'P3 Energie'!F15+'P3 Energie'!F6*$H$7</f>
        <v>19241.2090023556</v>
      </c>
      <c r="J185" s="50" t="n">
        <f aca="false">I185*H185</f>
        <v>47034.0664502025</v>
      </c>
    </row>
    <row r="186" customFormat="false" ht="15" hidden="false" customHeight="false" outlineLevel="0" collapsed="false">
      <c r="A186" s="46" t="n">
        <v>178</v>
      </c>
      <c r="B186" s="47" t="n">
        <f aca="false">(A186-1)*$C$6</f>
        <v>0.319772276942944</v>
      </c>
      <c r="C186" s="48" t="n">
        <f aca="false">$C$7*B186</f>
        <v>2.45833333333333</v>
      </c>
      <c r="D186" s="49" t="n">
        <f aca="false">0.5*c_rho*'P3 Energie'!E8*'P3 Energie'!E7*(C186-c_Vv)^2+'P3 Energie'!E13+'P3 Energie'!E15+'P3 Energie'!E6*$C$7</f>
        <v>18413.6801446055</v>
      </c>
      <c r="E186" s="50" t="n">
        <f aca="false">D186*C186</f>
        <v>45266.9636888218</v>
      </c>
      <c r="F186" s="46" t="n">
        <v>178</v>
      </c>
      <c r="G186" s="47" t="n">
        <f aca="false">(F186-1)*$H$6</f>
        <v>0.319543910171109</v>
      </c>
      <c r="H186" s="48" t="n">
        <f aca="false">$H$7*G186</f>
        <v>2.45833333333333</v>
      </c>
      <c r="I186" s="49" t="n">
        <f aca="false">0.5*c_rho*'P3 Energie'!F8*'P3 Energie'!F7*(H186-c_Vv)^2+'P3 Energie'!F13+'P3 Energie'!F15+'P3 Energie'!F6*$H$7</f>
        <v>19241.2326338262</v>
      </c>
      <c r="J186" s="50" t="n">
        <f aca="false">I186*H186</f>
        <v>47301.363558156</v>
      </c>
    </row>
    <row r="187" customFormat="false" ht="15" hidden="false" customHeight="false" outlineLevel="0" collapsed="false">
      <c r="A187" s="46" t="n">
        <v>179</v>
      </c>
      <c r="B187" s="47" t="n">
        <f aca="false">(A187-1)*$C$6</f>
        <v>0.32157889997652</v>
      </c>
      <c r="C187" s="48" t="n">
        <f aca="false">$C$7*B187</f>
        <v>2.47222222222222</v>
      </c>
      <c r="D187" s="49" t="n">
        <f aca="false">0.5*c_rho*'P3 Energie'!E8*'P3 Energie'!E7*(C187-c_Vv)^2+'P3 Energie'!E13+'P3 Energie'!E15+'P3 Energie'!E6*$C$7</f>
        <v>18413.7074981452</v>
      </c>
      <c r="E187" s="50" t="n">
        <f aca="false">D187*C187</f>
        <v>45522.7768704145</v>
      </c>
      <c r="F187" s="46" t="n">
        <v>179</v>
      </c>
      <c r="G187" s="47" t="n">
        <f aca="false">(F187-1)*$H$6</f>
        <v>0.321349242996935</v>
      </c>
      <c r="H187" s="48" t="n">
        <f aca="false">$H$7*G187</f>
        <v>2.47222222222222</v>
      </c>
      <c r="I187" s="49" t="n">
        <f aca="false">0.5*c_rho*'P3 Energie'!F8*'P3 Energie'!F7*(H187-c_Vv)^2+'P3 Energie'!F13+'P3 Energie'!F15+'P3 Energie'!F6*$H$7</f>
        <v>19241.2563991861</v>
      </c>
      <c r="J187" s="50" t="n">
        <f aca="false">I187*H187</f>
        <v>47568.6616535435</v>
      </c>
    </row>
    <row r="188" customFormat="false" ht="15" hidden="false" customHeight="false" outlineLevel="0" collapsed="false">
      <c r="A188" s="46" t="n">
        <v>180</v>
      </c>
      <c r="B188" s="47" t="n">
        <f aca="false">(A188-1)*$C$6</f>
        <v>0.323385523010096</v>
      </c>
      <c r="C188" s="48" t="n">
        <f aca="false">$C$7*B188</f>
        <v>2.48611111111111</v>
      </c>
      <c r="D188" s="49" t="n">
        <f aca="false">0.5*c_rho*'P3 Energie'!E8*'P3 Energie'!E7*(C188-c_Vv)^2+'P3 Energie'!E13+'P3 Energie'!E15+'P3 Energie'!E6*$C$7</f>
        <v>18413.7350057894</v>
      </c>
      <c r="E188" s="50" t="n">
        <f aca="false">D188*C188</f>
        <v>45778.5911949485</v>
      </c>
      <c r="F188" s="46" t="n">
        <v>180</v>
      </c>
      <c r="G188" s="47" t="n">
        <f aca="false">(F188-1)*$H$6</f>
        <v>0.32315457582276</v>
      </c>
      <c r="H188" s="48" t="n">
        <f aca="false">$H$7*G188</f>
        <v>2.48611111111111</v>
      </c>
      <c r="I188" s="49" t="n">
        <f aca="false">0.5*c_rho*'P3 Energie'!F8*'P3 Energie'!F7*(H188-c_Vv)^2+'P3 Energie'!F13+'P3 Energie'!F15+'P3 Energie'!F6*$H$7</f>
        <v>19241.2802984354</v>
      </c>
      <c r="J188" s="50" t="n">
        <f aca="false">I188*H188</f>
        <v>47835.9607419436</v>
      </c>
    </row>
    <row r="189" customFormat="false" ht="15" hidden="false" customHeight="false" outlineLevel="0" collapsed="false">
      <c r="A189" s="46" t="n">
        <v>181</v>
      </c>
      <c r="B189" s="47" t="n">
        <f aca="false">(A189-1)*$C$6</f>
        <v>0.325192146043672</v>
      </c>
      <c r="C189" s="48" t="n">
        <f aca="false">$C$7*B189</f>
        <v>2.5</v>
      </c>
      <c r="D189" s="49" t="n">
        <f aca="false">0.5*c_rho*'P3 Energie'!E8*'P3 Energie'!E7*(C189-c_Vv)^2+'P3 Energie'!E13+'P3 Energie'!E15+'P3 Energie'!E6*$C$7</f>
        <v>18413.762667538</v>
      </c>
      <c r="E189" s="50" t="n">
        <f aca="false">D189*C189</f>
        <v>46034.4066688449</v>
      </c>
      <c r="F189" s="46" t="n">
        <v>181</v>
      </c>
      <c r="G189" s="47" t="n">
        <f aca="false">(F189-1)*$H$6</f>
        <v>0.324959908648586</v>
      </c>
      <c r="H189" s="48" t="n">
        <f aca="false">$H$7*G189</f>
        <v>2.5</v>
      </c>
      <c r="I189" s="49" t="n">
        <f aca="false">0.5*c_rho*'P3 Energie'!F8*'P3 Energie'!F7*(H189-c_Vv)^2+'P3 Energie'!F13+'P3 Energie'!F15+'P3 Energie'!F6*$H$7</f>
        <v>19241.3043315741</v>
      </c>
      <c r="J189" s="50" t="n">
        <f aca="false">I189*H189</f>
        <v>48103.2608289352</v>
      </c>
    </row>
    <row r="190" customFormat="false" ht="15" hidden="false" customHeight="false" outlineLevel="0" collapsed="false">
      <c r="A190" s="46" t="n">
        <v>182</v>
      </c>
      <c r="B190" s="47" t="n">
        <f aca="false">(A190-1)*$C$6</f>
        <v>0.326998769077248</v>
      </c>
      <c r="C190" s="48" t="n">
        <f aca="false">$C$7*B190</f>
        <v>2.51388888888889</v>
      </c>
      <c r="D190" s="49" t="n">
        <f aca="false">0.5*c_rho*'P3 Energie'!E8*'P3 Energie'!E7*(C190-c_Vv)^2+'P3 Energie'!E13+'P3 Energie'!E15+'P3 Energie'!E6*$C$7</f>
        <v>18413.790483391</v>
      </c>
      <c r="E190" s="50" t="n">
        <f aca="false">D190*C190</f>
        <v>46290.2232985247</v>
      </c>
      <c r="F190" s="46" t="n">
        <v>182</v>
      </c>
      <c r="G190" s="47" t="n">
        <f aca="false">(F190-1)*$H$6</f>
        <v>0.326765241474411</v>
      </c>
      <c r="H190" s="48" t="n">
        <f aca="false">$H$7*G190</f>
        <v>2.51388888888889</v>
      </c>
      <c r="I190" s="49" t="n">
        <f aca="false">0.5*c_rho*'P3 Energie'!F8*'P3 Energie'!F7*(H190-c_Vv)^2+'P3 Energie'!F13+'P3 Energie'!F15+'P3 Energie'!F6*$H$7</f>
        <v>19241.3284986021</v>
      </c>
      <c r="J190" s="50" t="n">
        <f aca="false">I190*H190</f>
        <v>48370.5619200969</v>
      </c>
    </row>
    <row r="191" customFormat="false" ht="15" hidden="false" customHeight="false" outlineLevel="0" collapsed="false">
      <c r="A191" s="46" t="n">
        <v>183</v>
      </c>
      <c r="B191" s="47" t="n">
        <f aca="false">(A191-1)*$C$6</f>
        <v>0.328805392110824</v>
      </c>
      <c r="C191" s="48" t="n">
        <f aca="false">$C$7*B191</f>
        <v>2.52777777777778</v>
      </c>
      <c r="D191" s="49" t="n">
        <f aca="false">0.5*c_rho*'P3 Energie'!E8*'P3 Energie'!E7*(C191-c_Vv)^2+'P3 Energie'!E13+'P3 Energie'!E15+'P3 Energie'!E6*$C$7</f>
        <v>18413.8184533485</v>
      </c>
      <c r="E191" s="50" t="n">
        <f aca="false">D191*C191</f>
        <v>46546.0410904088</v>
      </c>
      <c r="F191" s="46" t="n">
        <v>183</v>
      </c>
      <c r="G191" s="47" t="n">
        <f aca="false">(F191-1)*$H$6</f>
        <v>0.328570574300237</v>
      </c>
      <c r="H191" s="48" t="n">
        <f aca="false">$H$7*G191</f>
        <v>2.52777777777778</v>
      </c>
      <c r="I191" s="49" t="n">
        <f aca="false">0.5*c_rho*'P3 Energie'!F8*'P3 Energie'!F7*(H191-c_Vv)^2+'P3 Energie'!F13+'P3 Energie'!F15+'P3 Energie'!F6*$H$7</f>
        <v>19241.3527995194</v>
      </c>
      <c r="J191" s="50" t="n">
        <f aca="false">I191*H191</f>
        <v>48637.8640210075</v>
      </c>
    </row>
    <row r="192" customFormat="false" ht="15" hidden="false" customHeight="false" outlineLevel="0" collapsed="false">
      <c r="A192" s="46" t="n">
        <v>184</v>
      </c>
      <c r="B192" s="47" t="n">
        <f aca="false">(A192-1)*$C$6</f>
        <v>0.330612015144399</v>
      </c>
      <c r="C192" s="48" t="n">
        <f aca="false">$C$7*B192</f>
        <v>2.54166666666667</v>
      </c>
      <c r="D192" s="49" t="n">
        <f aca="false">0.5*c_rho*'P3 Energie'!E8*'P3 Energie'!E7*(C192-c_Vv)^2+'P3 Energie'!E13+'P3 Energie'!E15+'P3 Energie'!E6*$C$7</f>
        <v>18413.8465774105</v>
      </c>
      <c r="E192" s="50" t="n">
        <f aca="false">D192*C192</f>
        <v>46801.8600509183</v>
      </c>
      <c r="F192" s="46" t="n">
        <v>184</v>
      </c>
      <c r="G192" s="47" t="n">
        <f aca="false">(F192-1)*$H$6</f>
        <v>0.330375907126062</v>
      </c>
      <c r="H192" s="48" t="n">
        <f aca="false">$H$7*G192</f>
        <v>2.54166666666667</v>
      </c>
      <c r="I192" s="49" t="n">
        <f aca="false">0.5*c_rho*'P3 Energie'!F8*'P3 Energie'!F7*(H192-c_Vv)^2+'P3 Energie'!F13+'P3 Energie'!F15+'P3 Energie'!F6*$H$7</f>
        <v>19241.3772343262</v>
      </c>
      <c r="J192" s="50" t="n">
        <f aca="false">I192*H192</f>
        <v>48905.1671372457</v>
      </c>
    </row>
    <row r="193" customFormat="false" ht="15" hidden="false" customHeight="false" outlineLevel="0" collapsed="false">
      <c r="A193" s="46" t="n">
        <v>185</v>
      </c>
      <c r="B193" s="47" t="n">
        <f aca="false">(A193-1)*$C$6</f>
        <v>0.332418638177975</v>
      </c>
      <c r="C193" s="48" t="n">
        <f aca="false">$C$7*B193</f>
        <v>2.55555555555556</v>
      </c>
      <c r="D193" s="49" t="n">
        <f aca="false">0.5*c_rho*'P3 Energie'!E8*'P3 Energie'!E7*(C193-c_Vv)^2+'P3 Energie'!E13+'P3 Energie'!E15+'P3 Energie'!E6*$C$7</f>
        <v>18413.8748555769</v>
      </c>
      <c r="E193" s="50" t="n">
        <f aca="false">D193*C193</f>
        <v>47057.6801864743</v>
      </c>
      <c r="F193" s="46" t="n">
        <v>185</v>
      </c>
      <c r="G193" s="47" t="n">
        <f aca="false">(F193-1)*$H$6</f>
        <v>0.332181239951888</v>
      </c>
      <c r="H193" s="48" t="n">
        <f aca="false">$H$7*G193</f>
        <v>2.55555555555556</v>
      </c>
      <c r="I193" s="49" t="n">
        <f aca="false">0.5*c_rho*'P3 Energie'!F8*'P3 Energie'!F7*(H193-c_Vv)^2+'P3 Energie'!F13+'P3 Energie'!F15+'P3 Energie'!F6*$H$7</f>
        <v>19241.4018030222</v>
      </c>
      <c r="J193" s="50" t="n">
        <f aca="false">I193*H193</f>
        <v>49172.4712743901</v>
      </c>
    </row>
    <row r="194" customFormat="false" ht="15" hidden="false" customHeight="false" outlineLevel="0" collapsed="false">
      <c r="A194" s="46" t="n">
        <v>186</v>
      </c>
      <c r="B194" s="47" t="n">
        <f aca="false">(A194-1)*$C$6</f>
        <v>0.334225261211551</v>
      </c>
      <c r="C194" s="48" t="n">
        <f aca="false">$C$7*B194</f>
        <v>2.56944444444444</v>
      </c>
      <c r="D194" s="49" t="n">
        <f aca="false">0.5*c_rho*'P3 Energie'!E8*'P3 Energie'!E7*(C194-c_Vv)^2+'P3 Energie'!E13+'P3 Energie'!E15+'P3 Energie'!E6*$C$7</f>
        <v>18413.9032878478</v>
      </c>
      <c r="E194" s="50" t="n">
        <f aca="false">D194*C194</f>
        <v>47313.5015034977</v>
      </c>
      <c r="F194" s="46" t="n">
        <v>186</v>
      </c>
      <c r="G194" s="47" t="n">
        <f aca="false">(F194-1)*$H$6</f>
        <v>0.333986572777713</v>
      </c>
      <c r="H194" s="48" t="n">
        <f aca="false">$H$7*G194</f>
        <v>2.56944444444444</v>
      </c>
      <c r="I194" s="49" t="n">
        <f aca="false">0.5*c_rho*'P3 Energie'!F8*'P3 Energie'!F7*(H194-c_Vv)^2+'P3 Energie'!F13+'P3 Energie'!F15+'P3 Energie'!F6*$H$7</f>
        <v>19241.4265056076</v>
      </c>
      <c r="J194" s="50" t="n">
        <f aca="false">I194*H194</f>
        <v>49439.7764380196</v>
      </c>
    </row>
    <row r="195" customFormat="false" ht="15" hidden="false" customHeight="false" outlineLevel="0" collapsed="false">
      <c r="A195" s="46" t="n">
        <v>187</v>
      </c>
      <c r="B195" s="47" t="n">
        <f aca="false">(A195-1)*$C$6</f>
        <v>0.336031884245127</v>
      </c>
      <c r="C195" s="48" t="n">
        <f aca="false">$C$7*B195</f>
        <v>2.58333333333333</v>
      </c>
      <c r="D195" s="49" t="n">
        <f aca="false">0.5*c_rho*'P3 Energie'!E8*'P3 Energie'!E7*(C195-c_Vv)^2+'P3 Energie'!E13+'P3 Energie'!E15+'P3 Energie'!E6*$C$7</f>
        <v>18413.9318742231</v>
      </c>
      <c r="E195" s="50" t="n">
        <f aca="false">D195*C195</f>
        <v>47569.3240084095</v>
      </c>
      <c r="F195" s="46" t="n">
        <v>187</v>
      </c>
      <c r="G195" s="47" t="n">
        <f aca="false">(F195-1)*$H$6</f>
        <v>0.335791905603538</v>
      </c>
      <c r="H195" s="48" t="n">
        <f aca="false">$H$7*G195</f>
        <v>2.58333333333333</v>
      </c>
      <c r="I195" s="49" t="n">
        <f aca="false">0.5*c_rho*'P3 Energie'!F8*'P3 Energie'!F7*(H195-c_Vv)^2+'P3 Energie'!F13+'P3 Energie'!F15+'P3 Energie'!F6*$H$7</f>
        <v>19241.4513420824</v>
      </c>
      <c r="J195" s="50" t="n">
        <f aca="false">I195*H195</f>
        <v>49707.0826337129</v>
      </c>
    </row>
    <row r="196" customFormat="false" ht="15" hidden="false" customHeight="false" outlineLevel="0" collapsed="false">
      <c r="A196" s="46" t="n">
        <v>188</v>
      </c>
      <c r="B196" s="47" t="n">
        <f aca="false">(A196-1)*$C$6</f>
        <v>0.337838507278703</v>
      </c>
      <c r="C196" s="48" t="n">
        <f aca="false">$C$7*B196</f>
        <v>2.59722222222222</v>
      </c>
      <c r="D196" s="49" t="n">
        <f aca="false">0.5*c_rho*'P3 Energie'!E8*'P3 Energie'!E7*(C196-c_Vv)^2+'P3 Energie'!E13+'P3 Energie'!E15+'P3 Energie'!E6*$C$7</f>
        <v>18413.9606147028</v>
      </c>
      <c r="E196" s="50" t="n">
        <f aca="false">D196*C196</f>
        <v>47825.1477076309</v>
      </c>
      <c r="F196" s="46" t="n">
        <v>188</v>
      </c>
      <c r="G196" s="47" t="n">
        <f aca="false">(F196-1)*$H$6</f>
        <v>0.337597238429364</v>
      </c>
      <c r="H196" s="48" t="n">
        <f aca="false">$H$7*G196</f>
        <v>2.59722222222222</v>
      </c>
      <c r="I196" s="49" t="n">
        <f aca="false">0.5*c_rho*'P3 Energie'!F8*'P3 Energie'!F7*(H196-c_Vv)^2+'P3 Energie'!F13+'P3 Energie'!F15+'P3 Energie'!F6*$H$7</f>
        <v>19241.4763124465</v>
      </c>
      <c r="J196" s="50" t="n">
        <f aca="false">I196*H196</f>
        <v>49974.3898670486</v>
      </c>
    </row>
    <row r="197" customFormat="false" ht="15" hidden="false" customHeight="false" outlineLevel="0" collapsed="false">
      <c r="A197" s="46" t="n">
        <v>189</v>
      </c>
      <c r="B197" s="47" t="n">
        <f aca="false">(A197-1)*$C$6</f>
        <v>0.339645130312279</v>
      </c>
      <c r="C197" s="48" t="n">
        <f aca="false">$C$7*B197</f>
        <v>2.61111111111111</v>
      </c>
      <c r="D197" s="49" t="n">
        <f aca="false">0.5*c_rho*'P3 Energie'!E8*'P3 Energie'!E7*(C197-c_Vv)^2+'P3 Energie'!E13+'P3 Energie'!E15+'P3 Energie'!E6*$C$7</f>
        <v>18413.989509287</v>
      </c>
      <c r="E197" s="50" t="n">
        <f aca="false">D197*C197</f>
        <v>48080.9726075827</v>
      </c>
      <c r="F197" s="46" t="n">
        <v>189</v>
      </c>
      <c r="G197" s="47" t="n">
        <f aca="false">(F197-1)*$H$6</f>
        <v>0.339402571255189</v>
      </c>
      <c r="H197" s="48" t="n">
        <f aca="false">$H$7*G197</f>
        <v>2.61111111111111</v>
      </c>
      <c r="I197" s="49" t="n">
        <f aca="false">0.5*c_rho*'P3 Energie'!F8*'P3 Energie'!F7*(H197-c_Vv)^2+'P3 Energie'!F13+'P3 Energie'!F15+'P3 Energie'!F6*$H$7</f>
        <v>19241.5014167</v>
      </c>
      <c r="J197" s="50" t="n">
        <f aca="false">I197*H197</f>
        <v>50241.6981436056</v>
      </c>
    </row>
    <row r="198" customFormat="false" ht="15" hidden="false" customHeight="false" outlineLevel="0" collapsed="false">
      <c r="A198" s="46" t="n">
        <v>190</v>
      </c>
      <c r="B198" s="47" t="n">
        <f aca="false">(A198-1)*$C$6</f>
        <v>0.341451753345855</v>
      </c>
      <c r="C198" s="48" t="n">
        <f aca="false">$C$7*B198</f>
        <v>2.625</v>
      </c>
      <c r="D198" s="49" t="n">
        <f aca="false">0.5*c_rho*'P3 Energie'!E8*'P3 Energie'!E7*(C198-c_Vv)^2+'P3 Energie'!E13+'P3 Energie'!E15+'P3 Energie'!E6*$C$7</f>
        <v>18414.0185579757</v>
      </c>
      <c r="E198" s="50" t="n">
        <f aca="false">D198*C198</f>
        <v>48336.7987146861</v>
      </c>
      <c r="F198" s="46" t="n">
        <v>190</v>
      </c>
      <c r="G198" s="47" t="n">
        <f aca="false">(F198-1)*$H$6</f>
        <v>0.341207904081015</v>
      </c>
      <c r="H198" s="48" t="n">
        <f aca="false">$H$7*G198</f>
        <v>2.625</v>
      </c>
      <c r="I198" s="49" t="n">
        <f aca="false">0.5*c_rho*'P3 Energie'!F8*'P3 Energie'!F7*(H198-c_Vv)^2+'P3 Energie'!F13+'P3 Energie'!F15+'P3 Energie'!F6*$H$7</f>
        <v>19241.5266548428</v>
      </c>
      <c r="J198" s="50" t="n">
        <f aca="false">I198*H198</f>
        <v>50509.0074689624</v>
      </c>
    </row>
    <row r="199" customFormat="false" ht="15" hidden="false" customHeight="false" outlineLevel="0" collapsed="false">
      <c r="A199" s="46" t="n">
        <v>191</v>
      </c>
      <c r="B199" s="47" t="n">
        <f aca="false">(A199-1)*$C$6</f>
        <v>0.343258376379431</v>
      </c>
      <c r="C199" s="48" t="n">
        <f aca="false">$C$7*B199</f>
        <v>2.63888888888889</v>
      </c>
      <c r="D199" s="49" t="n">
        <f aca="false">0.5*c_rho*'P3 Energie'!E8*'P3 Energie'!E7*(C199-c_Vv)^2+'P3 Energie'!E13+'P3 Energie'!E15+'P3 Energie'!E6*$C$7</f>
        <v>18414.0477607688</v>
      </c>
      <c r="E199" s="50" t="n">
        <f aca="false">D199*C199</f>
        <v>48592.626035362</v>
      </c>
      <c r="F199" s="46" t="n">
        <v>191</v>
      </c>
      <c r="G199" s="47" t="n">
        <f aca="false">(F199-1)*$H$6</f>
        <v>0.34301323690684</v>
      </c>
      <c r="H199" s="48" t="n">
        <f aca="false">$H$7*G199</f>
        <v>2.63888888888889</v>
      </c>
      <c r="I199" s="49" t="n">
        <f aca="false">0.5*c_rho*'P3 Energie'!F8*'P3 Energie'!F7*(H199-c_Vv)^2+'P3 Energie'!F13+'P3 Energie'!F15+'P3 Energie'!F6*$H$7</f>
        <v>19241.552026875</v>
      </c>
      <c r="J199" s="50" t="n">
        <f aca="false">I199*H199</f>
        <v>50776.3178486979</v>
      </c>
    </row>
    <row r="200" customFormat="false" ht="15" hidden="false" customHeight="false" outlineLevel="0" collapsed="false">
      <c r="A200" s="46" t="n">
        <v>192</v>
      </c>
      <c r="B200" s="47" t="n">
        <f aca="false">(A200-1)*$C$6</f>
        <v>0.345064999413007</v>
      </c>
      <c r="C200" s="48" t="n">
        <f aca="false">$C$7*B200</f>
        <v>2.65277777777778</v>
      </c>
      <c r="D200" s="49" t="n">
        <f aca="false">0.5*c_rho*'P3 Energie'!E8*'P3 Energie'!E7*(C200-c_Vv)^2+'P3 Energie'!E13+'P3 Energie'!E15+'P3 Energie'!E6*$C$7</f>
        <v>18414.0771176663</v>
      </c>
      <c r="E200" s="50" t="n">
        <f aca="false">D200*C200</f>
        <v>48848.4545760314</v>
      </c>
      <c r="F200" s="46" t="n">
        <v>192</v>
      </c>
      <c r="G200" s="47" t="n">
        <f aca="false">(F200-1)*$H$6</f>
        <v>0.344818569732666</v>
      </c>
      <c r="H200" s="48" t="n">
        <f aca="false">$H$7*G200</f>
        <v>2.65277777777778</v>
      </c>
      <c r="I200" s="49" t="n">
        <f aca="false">0.5*c_rho*'P3 Energie'!F8*'P3 Energie'!F7*(H200-c_Vv)^2+'P3 Energie'!F13+'P3 Energie'!F15+'P3 Energie'!F6*$H$7</f>
        <v>19241.5775327965</v>
      </c>
      <c r="J200" s="50" t="n">
        <f aca="false">I200*H200</f>
        <v>51043.6292883908</v>
      </c>
    </row>
    <row r="201" customFormat="false" ht="15" hidden="false" customHeight="false" outlineLevel="0" collapsed="false">
      <c r="A201" s="46" t="n">
        <v>193</v>
      </c>
      <c r="B201" s="47" t="n">
        <f aca="false">(A201-1)*$C$6</f>
        <v>0.346871622446583</v>
      </c>
      <c r="C201" s="48" t="n">
        <f aca="false">$C$7*B201</f>
        <v>2.66666666666667</v>
      </c>
      <c r="D201" s="49" t="n">
        <f aca="false">0.5*c_rho*'P3 Energie'!E8*'P3 Energie'!E7*(C201-c_Vv)^2+'P3 Energie'!E13+'P3 Energie'!E15+'P3 Energie'!E6*$C$7</f>
        <v>18414.1066286683</v>
      </c>
      <c r="E201" s="50" t="n">
        <f aca="false">D201*C201</f>
        <v>49104.2843431155</v>
      </c>
      <c r="F201" s="46" t="n">
        <v>193</v>
      </c>
      <c r="G201" s="47" t="n">
        <f aca="false">(F201-1)*$H$6</f>
        <v>0.346623902558491</v>
      </c>
      <c r="H201" s="48" t="n">
        <f aca="false">$H$7*G201</f>
        <v>2.66666666666667</v>
      </c>
      <c r="I201" s="49" t="n">
        <f aca="false">0.5*c_rho*'P3 Energie'!F8*'P3 Energie'!F7*(H201-c_Vv)^2+'P3 Energie'!F13+'P3 Energie'!F15+'P3 Energie'!F6*$H$7</f>
        <v>19241.6031726074</v>
      </c>
      <c r="J201" s="50" t="n">
        <f aca="false">I201*H201</f>
        <v>51310.9417936198</v>
      </c>
    </row>
    <row r="202" customFormat="false" ht="15" hidden="false" customHeight="false" outlineLevel="0" collapsed="false">
      <c r="A202" s="46" t="n">
        <v>194</v>
      </c>
      <c r="B202" s="47" t="n">
        <f aca="false">(A202-1)*$C$6</f>
        <v>0.348678245480159</v>
      </c>
      <c r="C202" s="48" t="n">
        <f aca="false">$C$7*B202</f>
        <v>2.68055555555556</v>
      </c>
      <c r="D202" s="49" t="n">
        <f aca="false">0.5*c_rho*'P3 Energie'!E8*'P3 Energie'!E7*(C202-c_Vv)^2+'P3 Energie'!E13+'P3 Energie'!E15+'P3 Energie'!E6*$C$7</f>
        <v>18414.1362937747</v>
      </c>
      <c r="E202" s="50" t="n">
        <f aca="false">D202*C202</f>
        <v>49360.1153430351</v>
      </c>
      <c r="F202" s="46" t="n">
        <v>194</v>
      </c>
      <c r="G202" s="47" t="n">
        <f aca="false">(F202-1)*$H$6</f>
        <v>0.348429235384317</v>
      </c>
      <c r="H202" s="48" t="n">
        <f aca="false">$H$7*G202</f>
        <v>2.68055555555556</v>
      </c>
      <c r="I202" s="49" t="n">
        <f aca="false">0.5*c_rho*'P3 Energie'!F8*'P3 Energie'!F7*(H202-c_Vv)^2+'P3 Energie'!F13+'P3 Energie'!F15+'P3 Energie'!F6*$H$7</f>
        <v>19241.6289463076</v>
      </c>
      <c r="J202" s="50" t="n">
        <f aca="false">I202*H202</f>
        <v>51578.2553699635</v>
      </c>
    </row>
    <row r="203" customFormat="false" ht="15" hidden="false" customHeight="false" outlineLevel="0" collapsed="false">
      <c r="A203" s="46" t="n">
        <v>195</v>
      </c>
      <c r="B203" s="47" t="n">
        <f aca="false">(A203-1)*$C$6</f>
        <v>0.350484868513735</v>
      </c>
      <c r="C203" s="48" t="n">
        <f aca="false">$C$7*B203</f>
        <v>2.69444444444444</v>
      </c>
      <c r="D203" s="49" t="n">
        <f aca="false">0.5*c_rho*'P3 Energie'!E8*'P3 Energie'!E7*(C203-c_Vv)^2+'P3 Energie'!E13+'P3 Energie'!E15+'P3 Energie'!E6*$C$7</f>
        <v>18414.1661129856</v>
      </c>
      <c r="E203" s="50" t="n">
        <f aca="false">D203*C203</f>
        <v>49615.9475822113</v>
      </c>
      <c r="F203" s="46" t="n">
        <v>195</v>
      </c>
      <c r="G203" s="47" t="n">
        <f aca="false">(F203-1)*$H$6</f>
        <v>0.350234568210142</v>
      </c>
      <c r="H203" s="48" t="n">
        <f aca="false">$H$7*G203</f>
        <v>2.69444444444444</v>
      </c>
      <c r="I203" s="49" t="n">
        <f aca="false">0.5*c_rho*'P3 Energie'!F8*'P3 Energie'!F7*(H203-c_Vv)^2+'P3 Energie'!F13+'P3 Energie'!F15+'P3 Energie'!F6*$H$7</f>
        <v>19241.6548538972</v>
      </c>
      <c r="J203" s="50" t="n">
        <f aca="false">I203*H203</f>
        <v>51845.5700230009</v>
      </c>
    </row>
    <row r="204" customFormat="false" ht="15" hidden="false" customHeight="false" outlineLevel="0" collapsed="false">
      <c r="A204" s="46" t="n">
        <v>196</v>
      </c>
      <c r="B204" s="47" t="n">
        <f aca="false">(A204-1)*$C$6</f>
        <v>0.352291491547311</v>
      </c>
      <c r="C204" s="48" t="n">
        <f aca="false">$C$7*B204</f>
        <v>2.70833333333333</v>
      </c>
      <c r="D204" s="49" t="n">
        <f aca="false">0.5*c_rho*'P3 Energie'!E8*'P3 Energie'!E7*(C204-c_Vv)^2+'P3 Energie'!E13+'P3 Energie'!E15+'P3 Energie'!E6*$C$7</f>
        <v>18414.196086301</v>
      </c>
      <c r="E204" s="50" t="n">
        <f aca="false">D204*C204</f>
        <v>49871.7810670652</v>
      </c>
      <c r="F204" s="46" t="n">
        <v>196</v>
      </c>
      <c r="G204" s="47" t="n">
        <f aca="false">(F204-1)*$H$6</f>
        <v>0.352039901035968</v>
      </c>
      <c r="H204" s="48" t="n">
        <f aca="false">$H$7*G204</f>
        <v>2.70833333333333</v>
      </c>
      <c r="I204" s="49" t="n">
        <f aca="false">0.5*c_rho*'P3 Energie'!F8*'P3 Energie'!F7*(H204-c_Vv)^2+'P3 Energie'!F13+'P3 Energie'!F15+'P3 Energie'!F6*$H$7</f>
        <v>19241.6808953762</v>
      </c>
      <c r="J204" s="50" t="n">
        <f aca="false">I204*H204</f>
        <v>52112.8857583104</v>
      </c>
    </row>
    <row r="205" customFormat="false" ht="15" hidden="false" customHeight="false" outlineLevel="0" collapsed="false">
      <c r="A205" s="46" t="n">
        <v>197</v>
      </c>
      <c r="B205" s="47" t="n">
        <f aca="false">(A205-1)*$C$6</f>
        <v>0.354098114580887</v>
      </c>
      <c r="C205" s="48" t="n">
        <f aca="false">$C$7*B205</f>
        <v>2.72222222222222</v>
      </c>
      <c r="D205" s="49" t="n">
        <f aca="false">0.5*c_rho*'P3 Energie'!E8*'P3 Energie'!E7*(C205-c_Vv)^2+'P3 Energie'!E13+'P3 Energie'!E15+'P3 Energie'!E6*$C$7</f>
        <v>18414.2262137208</v>
      </c>
      <c r="E205" s="50" t="n">
        <f aca="false">D205*C205</f>
        <v>50127.6158040177</v>
      </c>
      <c r="F205" s="46" t="n">
        <v>197</v>
      </c>
      <c r="G205" s="47" t="n">
        <f aca="false">(F205-1)*$H$6</f>
        <v>0.353845233861793</v>
      </c>
      <c r="H205" s="48" t="n">
        <f aca="false">$H$7*G205</f>
        <v>2.72222222222222</v>
      </c>
      <c r="I205" s="49" t="n">
        <f aca="false">0.5*c_rho*'P3 Energie'!F8*'P3 Energie'!F7*(H205-c_Vv)^2+'P3 Energie'!F13+'P3 Energie'!F15+'P3 Energie'!F6*$H$7</f>
        <v>19241.7070707444</v>
      </c>
      <c r="J205" s="50" t="n">
        <f aca="false">I205*H205</f>
        <v>52380.202581471</v>
      </c>
    </row>
    <row r="206" customFormat="false" ht="15" hidden="false" customHeight="false" outlineLevel="0" collapsed="false">
      <c r="A206" s="46" t="n">
        <v>198</v>
      </c>
      <c r="B206" s="47" t="n">
        <f aca="false">(A206-1)*$C$6</f>
        <v>0.355904737614463</v>
      </c>
      <c r="C206" s="48" t="n">
        <f aca="false">$C$7*B206</f>
        <v>2.73611111111111</v>
      </c>
      <c r="D206" s="49" t="n">
        <f aca="false">0.5*c_rho*'P3 Energie'!E8*'P3 Energie'!E7*(C206-c_Vv)^2+'P3 Energie'!E13+'P3 Energie'!E15+'P3 Energie'!E6*$C$7</f>
        <v>18414.256495245</v>
      </c>
      <c r="E206" s="50" t="n">
        <f aca="false">D206*C206</f>
        <v>50383.4517994899</v>
      </c>
      <c r="F206" s="46" t="n">
        <v>198</v>
      </c>
      <c r="G206" s="47" t="n">
        <f aca="false">(F206-1)*$H$6</f>
        <v>0.355650566687619</v>
      </c>
      <c r="H206" s="48" t="n">
        <f aca="false">$H$7*G206</f>
        <v>2.73611111111111</v>
      </c>
      <c r="I206" s="49" t="n">
        <f aca="false">0.5*c_rho*'P3 Energie'!F8*'P3 Energie'!F7*(H206-c_Vv)^2+'P3 Energie'!F13+'P3 Energie'!F15+'P3 Energie'!F6*$H$7</f>
        <v>19241.7333800021</v>
      </c>
      <c r="J206" s="50" t="n">
        <f aca="false">I206*H206</f>
        <v>52647.5204980613</v>
      </c>
    </row>
    <row r="207" customFormat="false" ht="15" hidden="false" customHeight="false" outlineLevel="0" collapsed="false">
      <c r="A207" s="46" t="n">
        <v>199</v>
      </c>
      <c r="B207" s="47" t="n">
        <f aca="false">(A207-1)*$C$6</f>
        <v>0.357711360648039</v>
      </c>
      <c r="C207" s="48" t="n">
        <f aca="false">$C$7*B207</f>
        <v>2.75</v>
      </c>
      <c r="D207" s="49" t="n">
        <f aca="false">0.5*c_rho*'P3 Energie'!E8*'P3 Energie'!E7*(C207-c_Vv)^2+'P3 Energie'!E13+'P3 Energie'!E15+'P3 Energie'!E6*$C$7</f>
        <v>18414.2869308737</v>
      </c>
      <c r="E207" s="50" t="n">
        <f aca="false">D207*C207</f>
        <v>50639.2890599027</v>
      </c>
      <c r="F207" s="46" t="n">
        <v>199</v>
      </c>
      <c r="G207" s="47" t="n">
        <f aca="false">(F207-1)*$H$6</f>
        <v>0.357455899513444</v>
      </c>
      <c r="H207" s="48" t="n">
        <f aca="false">$H$7*G207</f>
        <v>2.75</v>
      </c>
      <c r="I207" s="49" t="n">
        <f aca="false">0.5*c_rho*'P3 Energie'!F8*'P3 Energie'!F7*(H207-c_Vv)^2+'P3 Energie'!F13+'P3 Energie'!F15+'P3 Energie'!F6*$H$7</f>
        <v>19241.7598231491</v>
      </c>
      <c r="J207" s="50" t="n">
        <f aca="false">I207*H207</f>
        <v>52914.83951366</v>
      </c>
    </row>
    <row r="208" customFormat="false" ht="15" hidden="false" customHeight="false" outlineLevel="0" collapsed="false">
      <c r="A208" s="46" t="n">
        <v>200</v>
      </c>
      <c r="B208" s="47" t="n">
        <f aca="false">(A208-1)*$C$6</f>
        <v>0.359517983681615</v>
      </c>
      <c r="C208" s="48" t="n">
        <f aca="false">$C$7*B208</f>
        <v>2.76388888888889</v>
      </c>
      <c r="D208" s="49" t="n">
        <f aca="false">0.5*c_rho*'P3 Energie'!E8*'P3 Energie'!E7*(C208-c_Vv)^2+'P3 Energie'!E13+'P3 Energie'!E15+'P3 Energie'!E6*$C$7</f>
        <v>18414.3175206069</v>
      </c>
      <c r="E208" s="50" t="n">
        <f aca="false">D208*C208</f>
        <v>50895.1275916773</v>
      </c>
      <c r="F208" s="46" t="n">
        <v>200</v>
      </c>
      <c r="G208" s="47" t="n">
        <f aca="false">(F208-1)*$H$6</f>
        <v>0.35926123233927</v>
      </c>
      <c r="H208" s="48" t="n">
        <f aca="false">$H$7*G208</f>
        <v>2.76388888888889</v>
      </c>
      <c r="I208" s="49" t="n">
        <f aca="false">0.5*c_rho*'P3 Energie'!F8*'P3 Energie'!F7*(H208-c_Vv)^2+'P3 Energie'!F13+'P3 Energie'!F15+'P3 Energie'!F6*$H$7</f>
        <v>19241.7864001854</v>
      </c>
      <c r="J208" s="50" t="n">
        <f aca="false">I208*H208</f>
        <v>53182.1596338458</v>
      </c>
    </row>
    <row r="209" customFormat="false" ht="15" hidden="false" customHeight="false" outlineLevel="0" collapsed="false">
      <c r="A209" s="46" t="n">
        <v>201</v>
      </c>
      <c r="B209" s="47" t="n">
        <f aca="false">(A209-1)*$C$6</f>
        <v>0.361324606715191</v>
      </c>
      <c r="C209" s="48" t="n">
        <f aca="false">$C$7*B209</f>
        <v>2.77777777777778</v>
      </c>
      <c r="D209" s="49" t="n">
        <f aca="false">0.5*c_rho*'P3 Energie'!E8*'P3 Energie'!E7*(C209-c_Vv)^2+'P3 Energie'!E13+'P3 Energie'!E15+'P3 Energie'!E6*$C$7</f>
        <v>18414.3482644445</v>
      </c>
      <c r="E209" s="50" t="n">
        <f aca="false">D209*C209</f>
        <v>51150.9674012346</v>
      </c>
      <c r="F209" s="46" t="n">
        <v>201</v>
      </c>
      <c r="G209" s="47" t="n">
        <f aca="false">(F209-1)*$H$6</f>
        <v>0.361066565165095</v>
      </c>
      <c r="H209" s="48" t="n">
        <f aca="false">$H$7*G209</f>
        <v>2.77777777777778</v>
      </c>
      <c r="I209" s="49" t="n">
        <f aca="false">0.5*c_rho*'P3 Energie'!F8*'P3 Energie'!F7*(H209-c_Vv)^2+'P3 Energie'!F13+'P3 Energie'!F15+'P3 Energie'!F6*$H$7</f>
        <v>19241.8131111111</v>
      </c>
      <c r="J209" s="50" t="n">
        <f aca="false">I209*H209</f>
        <v>53449.4808641976</v>
      </c>
    </row>
    <row r="210" customFormat="false" ht="15" hidden="false" customHeight="false" outlineLevel="0" collapsed="false">
      <c r="A210" s="46" t="n">
        <v>202</v>
      </c>
      <c r="B210" s="47" t="n">
        <f aca="false">(A210-1)*$C$6</f>
        <v>0.363131229748767</v>
      </c>
      <c r="C210" s="48" t="n">
        <f aca="false">$C$7*B210</f>
        <v>2.79166666666667</v>
      </c>
      <c r="D210" s="49" t="n">
        <f aca="false">0.5*c_rho*'P3 Energie'!E8*'P3 Energie'!E7*(C210-c_Vv)^2+'P3 Energie'!E13+'P3 Energie'!E15+'P3 Energie'!E6*$C$7</f>
        <v>18414.3791623865</v>
      </c>
      <c r="E210" s="50" t="n">
        <f aca="false">D210*C210</f>
        <v>51406.8084949956</v>
      </c>
      <c r="F210" s="46" t="n">
        <v>202</v>
      </c>
      <c r="G210" s="47" t="n">
        <f aca="false">(F210-1)*$H$6</f>
        <v>0.362871897990921</v>
      </c>
      <c r="H210" s="48" t="n">
        <f aca="false">$H$7*G210</f>
        <v>2.79166666666667</v>
      </c>
      <c r="I210" s="49" t="n">
        <f aca="false">0.5*c_rho*'P3 Energie'!F8*'P3 Energie'!F7*(H210-c_Vv)^2+'P3 Energie'!F13+'P3 Energie'!F15+'P3 Energie'!F6*$H$7</f>
        <v>19241.8399559262</v>
      </c>
      <c r="J210" s="50" t="n">
        <f aca="false">I210*H210</f>
        <v>53716.8032102939</v>
      </c>
    </row>
    <row r="211" customFormat="false" ht="15" hidden="false" customHeight="false" outlineLevel="0" collapsed="false">
      <c r="A211" s="46" t="n">
        <v>203</v>
      </c>
      <c r="B211" s="47" t="n">
        <f aca="false">(A211-1)*$C$6</f>
        <v>0.364937852782343</v>
      </c>
      <c r="C211" s="48" t="n">
        <f aca="false">$C$7*B211</f>
        <v>2.80555555555556</v>
      </c>
      <c r="D211" s="49" t="n">
        <f aca="false">0.5*c_rho*'P3 Energie'!E8*'P3 Energie'!E7*(C211-c_Vv)^2+'P3 Energie'!E13+'P3 Energie'!E15+'P3 Energie'!E6*$C$7</f>
        <v>18414.410214433</v>
      </c>
      <c r="E211" s="50" t="n">
        <f aca="false">D211*C211</f>
        <v>51662.6508793814</v>
      </c>
      <c r="F211" s="46" t="n">
        <v>203</v>
      </c>
      <c r="G211" s="47" t="n">
        <f aca="false">(F211-1)*$H$6</f>
        <v>0.364677230816746</v>
      </c>
      <c r="H211" s="48" t="n">
        <f aca="false">$H$7*G211</f>
        <v>2.80555555555556</v>
      </c>
      <c r="I211" s="49" t="n">
        <f aca="false">0.5*c_rho*'P3 Energie'!F8*'P3 Energie'!F7*(H211-c_Vv)^2+'P3 Energie'!F13+'P3 Energie'!F15+'P3 Energie'!F6*$H$7</f>
        <v>19241.8669346306</v>
      </c>
      <c r="J211" s="50" t="n">
        <f aca="false">I211*H211</f>
        <v>53984.1266777135</v>
      </c>
    </row>
    <row r="212" customFormat="false" ht="15" hidden="false" customHeight="false" outlineLevel="0" collapsed="false">
      <c r="A212" s="46" t="n">
        <v>204</v>
      </c>
      <c r="B212" s="47" t="n">
        <f aca="false">(A212-1)*$C$6</f>
        <v>0.366744475815919</v>
      </c>
      <c r="C212" s="48" t="n">
        <f aca="false">$C$7*B212</f>
        <v>2.81944444444444</v>
      </c>
      <c r="D212" s="49" t="n">
        <f aca="false">0.5*c_rho*'P3 Energie'!E8*'P3 Energie'!E7*(C212-c_Vv)^2+'P3 Energie'!E13+'P3 Energie'!E15+'P3 Energie'!E6*$C$7</f>
        <v>18414.4414205839</v>
      </c>
      <c r="E212" s="50" t="n">
        <f aca="false">D212*C212</f>
        <v>51918.494560813</v>
      </c>
      <c r="F212" s="46" t="n">
        <v>204</v>
      </c>
      <c r="G212" s="47" t="n">
        <f aca="false">(F212-1)*$H$6</f>
        <v>0.366482563642572</v>
      </c>
      <c r="H212" s="48" t="n">
        <f aca="false">$H$7*G212</f>
        <v>2.81944444444444</v>
      </c>
      <c r="I212" s="49" t="n">
        <f aca="false">0.5*c_rho*'P3 Energie'!F8*'P3 Energie'!F7*(H212-c_Vv)^2+'P3 Energie'!F13+'P3 Energie'!F15+'P3 Energie'!F6*$H$7</f>
        <v>19241.8940472243</v>
      </c>
      <c r="J212" s="50" t="n">
        <f aca="false">I212*H212</f>
        <v>54251.4512720352</v>
      </c>
    </row>
    <row r="213" customFormat="false" ht="15" hidden="false" customHeight="false" outlineLevel="0" collapsed="false">
      <c r="A213" s="46" t="n">
        <v>205</v>
      </c>
      <c r="B213" s="47" t="n">
        <f aca="false">(A213-1)*$C$6</f>
        <v>0.368551098849494</v>
      </c>
      <c r="C213" s="48" t="n">
        <f aca="false">$C$7*B213</f>
        <v>2.83333333333333</v>
      </c>
      <c r="D213" s="49" t="n">
        <f aca="false">0.5*c_rho*'P3 Energie'!E8*'P3 Energie'!E7*(C213-c_Vv)^2+'P3 Energie'!E13+'P3 Energie'!E15+'P3 Energie'!E6*$C$7</f>
        <v>18414.4727808393</v>
      </c>
      <c r="E213" s="50" t="n">
        <f aca="false">D213*C213</f>
        <v>52174.3395457113</v>
      </c>
      <c r="F213" s="46" t="n">
        <v>205</v>
      </c>
      <c r="G213" s="47" t="n">
        <f aca="false">(F213-1)*$H$6</f>
        <v>0.368287896468397</v>
      </c>
      <c r="H213" s="48" t="n">
        <f aca="false">$H$7*G213</f>
        <v>2.83333333333333</v>
      </c>
      <c r="I213" s="49" t="n">
        <f aca="false">0.5*c_rho*'P3 Energie'!F8*'P3 Energie'!F7*(H213-c_Vv)^2+'P3 Energie'!F13+'P3 Energie'!F15+'P3 Energie'!F6*$H$7</f>
        <v>19241.9212937074</v>
      </c>
      <c r="J213" s="50" t="n">
        <f aca="false">I213*H213</f>
        <v>54518.7769988377</v>
      </c>
    </row>
    <row r="214" customFormat="false" ht="15" hidden="false" customHeight="false" outlineLevel="0" collapsed="false">
      <c r="A214" s="46" t="n">
        <v>206</v>
      </c>
      <c r="B214" s="47" t="n">
        <f aca="false">(A214-1)*$C$6</f>
        <v>0.37035772188307</v>
      </c>
      <c r="C214" s="48" t="n">
        <f aca="false">$C$7*B214</f>
        <v>2.84722222222222</v>
      </c>
      <c r="D214" s="49" t="n">
        <f aca="false">0.5*c_rho*'P3 Energie'!E8*'P3 Energie'!E7*(C214-c_Vv)^2+'P3 Energie'!E13+'P3 Energie'!E15+'P3 Energie'!E6*$C$7</f>
        <v>18414.5042951991</v>
      </c>
      <c r="E214" s="50" t="n">
        <f aca="false">D214*C214</f>
        <v>52430.1858404976</v>
      </c>
      <c r="F214" s="46" t="n">
        <v>206</v>
      </c>
      <c r="G214" s="47" t="n">
        <f aca="false">(F214-1)*$H$6</f>
        <v>0.370093229294222</v>
      </c>
      <c r="H214" s="48" t="n">
        <f aca="false">$H$7*G214</f>
        <v>2.84722222222222</v>
      </c>
      <c r="I214" s="49" t="n">
        <f aca="false">0.5*c_rho*'P3 Energie'!F8*'P3 Energie'!F7*(H214-c_Vv)^2+'P3 Energie'!F13+'P3 Energie'!F15+'P3 Energie'!F6*$H$7</f>
        <v>19241.9486740799</v>
      </c>
      <c r="J214" s="50" t="n">
        <f aca="false">I214*H214</f>
        <v>54786.1038636996</v>
      </c>
    </row>
    <row r="215" customFormat="false" ht="15" hidden="false" customHeight="false" outlineLevel="0" collapsed="false">
      <c r="A215" s="46" t="n">
        <v>207</v>
      </c>
      <c r="B215" s="47" t="n">
        <f aca="false">(A215-1)*$C$6</f>
        <v>0.372164344916646</v>
      </c>
      <c r="C215" s="48" t="n">
        <f aca="false">$C$7*B215</f>
        <v>2.86111111111111</v>
      </c>
      <c r="D215" s="49" t="n">
        <f aca="false">0.5*c_rho*'P3 Energie'!E8*'P3 Energie'!E7*(C215-c_Vv)^2+'P3 Energie'!E13+'P3 Energie'!E15+'P3 Energie'!E6*$C$7</f>
        <v>18414.5359636634</v>
      </c>
      <c r="E215" s="50" t="n">
        <f aca="false">D215*C215</f>
        <v>52686.0334515926</v>
      </c>
      <c r="F215" s="46" t="n">
        <v>207</v>
      </c>
      <c r="G215" s="47" t="n">
        <f aca="false">(F215-1)*$H$6</f>
        <v>0.371898562120048</v>
      </c>
      <c r="H215" s="48" t="n">
        <f aca="false">$H$7*G215</f>
        <v>2.86111111111111</v>
      </c>
      <c r="I215" s="49" t="n">
        <f aca="false">0.5*c_rho*'P3 Energie'!F8*'P3 Energie'!F7*(H215-c_Vv)^2+'P3 Energie'!F13+'P3 Energie'!F15+'P3 Energie'!F6*$H$7</f>
        <v>19241.9761883417</v>
      </c>
      <c r="J215" s="50" t="n">
        <f aca="false">I215*H215</f>
        <v>55053.4318721998</v>
      </c>
    </row>
    <row r="216" customFormat="false" ht="15" hidden="false" customHeight="false" outlineLevel="0" collapsed="false">
      <c r="A216" s="46" t="n">
        <v>208</v>
      </c>
      <c r="B216" s="47" t="n">
        <f aca="false">(A216-1)*$C$6</f>
        <v>0.373970967950222</v>
      </c>
      <c r="C216" s="48" t="n">
        <f aca="false">$C$7*B216</f>
        <v>2.875</v>
      </c>
      <c r="D216" s="49" t="n">
        <f aca="false">0.5*c_rho*'P3 Energie'!E8*'P3 Energie'!E7*(C216-c_Vv)^2+'P3 Energie'!E13+'P3 Energie'!E15+'P3 Energie'!E6*$C$7</f>
        <v>18414.5677862322</v>
      </c>
      <c r="E216" s="50" t="n">
        <f aca="false">D216*C216</f>
        <v>52941.8823854174</v>
      </c>
      <c r="F216" s="46" t="n">
        <v>208</v>
      </c>
      <c r="G216" s="47" t="n">
        <f aca="false">(F216-1)*$H$6</f>
        <v>0.373703894945873</v>
      </c>
      <c r="H216" s="48" t="n">
        <f aca="false">$H$7*G216</f>
        <v>2.875</v>
      </c>
      <c r="I216" s="49" t="n">
        <f aca="false">0.5*c_rho*'P3 Energie'!F8*'P3 Energie'!F7*(H216-c_Vv)^2+'P3 Energie'!F13+'P3 Energie'!F15+'P3 Energie'!F6*$H$7</f>
        <v>19242.0038364928</v>
      </c>
      <c r="J216" s="50" t="n">
        <f aca="false">I216*H216</f>
        <v>55320.7610299169</v>
      </c>
    </row>
    <row r="217" customFormat="false" ht="15" hidden="false" customHeight="false" outlineLevel="0" collapsed="false">
      <c r="A217" s="46" t="n">
        <v>209</v>
      </c>
      <c r="B217" s="47" t="n">
        <f aca="false">(A217-1)*$C$6</f>
        <v>0.375777590983798</v>
      </c>
      <c r="C217" s="48" t="n">
        <f aca="false">$C$7*B217</f>
        <v>2.88888888888889</v>
      </c>
      <c r="D217" s="49" t="n">
        <f aca="false">0.5*c_rho*'P3 Energie'!E8*'P3 Energie'!E7*(C217-c_Vv)^2+'P3 Energie'!E13+'P3 Energie'!E15+'P3 Energie'!E6*$C$7</f>
        <v>18414.5997629053</v>
      </c>
      <c r="E217" s="50" t="n">
        <f aca="false">D217*C217</f>
        <v>53197.7326483932</v>
      </c>
      <c r="F217" s="46" t="n">
        <v>209</v>
      </c>
      <c r="G217" s="47" t="n">
        <f aca="false">(F217-1)*$H$6</f>
        <v>0.375509227771699</v>
      </c>
      <c r="H217" s="48" t="n">
        <f aca="false">$H$7*G217</f>
        <v>2.88888888888889</v>
      </c>
      <c r="I217" s="49" t="n">
        <f aca="false">0.5*c_rho*'P3 Energie'!F8*'P3 Energie'!F7*(H217-c_Vv)^2+'P3 Energie'!F13+'P3 Energie'!F15+'P3 Energie'!F6*$H$7</f>
        <v>19242.0316185333</v>
      </c>
      <c r="J217" s="50" t="n">
        <f aca="false">I217*H217</f>
        <v>55588.0913424296</v>
      </c>
    </row>
    <row r="218" customFormat="false" ht="15" hidden="false" customHeight="false" outlineLevel="0" collapsed="false">
      <c r="A218" s="46" t="n">
        <v>210</v>
      </c>
      <c r="B218" s="47" t="n">
        <f aca="false">(A218-1)*$C$6</f>
        <v>0.377584214017374</v>
      </c>
      <c r="C218" s="48" t="n">
        <f aca="false">$C$7*B218</f>
        <v>2.90277777777778</v>
      </c>
      <c r="D218" s="49" t="n">
        <f aca="false">0.5*c_rho*'P3 Energie'!E8*'P3 Energie'!E7*(C218-c_Vv)^2+'P3 Energie'!E13+'P3 Energie'!E15+'P3 Energie'!E6*$C$7</f>
        <v>18414.631893683</v>
      </c>
      <c r="E218" s="50" t="n">
        <f aca="false">D218*C218</f>
        <v>53453.5842469408</v>
      </c>
      <c r="F218" s="46" t="n">
        <v>210</v>
      </c>
      <c r="G218" s="47" t="n">
        <f aca="false">(F218-1)*$H$6</f>
        <v>0.377314560597524</v>
      </c>
      <c r="H218" s="48" t="n">
        <f aca="false">$H$7*G218</f>
        <v>2.90277777777778</v>
      </c>
      <c r="I218" s="49" t="n">
        <f aca="false">0.5*c_rho*'P3 Energie'!F8*'P3 Energie'!F7*(H218-c_Vv)^2+'P3 Energie'!F13+'P3 Energie'!F15+'P3 Energie'!F6*$H$7</f>
        <v>19242.0595344632</v>
      </c>
      <c r="J218" s="50" t="n">
        <f aca="false">I218*H218</f>
        <v>55855.4228153168</v>
      </c>
    </row>
    <row r="219" customFormat="false" ht="15" hidden="false" customHeight="false" outlineLevel="0" collapsed="false">
      <c r="A219" s="46" t="n">
        <v>211</v>
      </c>
      <c r="B219" s="47" t="n">
        <f aca="false">(A219-1)*$C$6</f>
        <v>0.37939083705095</v>
      </c>
      <c r="C219" s="48" t="n">
        <f aca="false">$C$7*B219</f>
        <v>2.91666666666667</v>
      </c>
      <c r="D219" s="49" t="n">
        <f aca="false">0.5*c_rho*'P3 Energie'!E8*'P3 Energie'!E7*(C219-c_Vv)^2+'P3 Energie'!E13+'P3 Energie'!E15+'P3 Energie'!E6*$C$7</f>
        <v>18414.6641785651</v>
      </c>
      <c r="E219" s="50" t="n">
        <f aca="false">D219*C219</f>
        <v>53709.4371874814</v>
      </c>
      <c r="F219" s="46" t="n">
        <v>211</v>
      </c>
      <c r="G219" s="47" t="n">
        <f aca="false">(F219-1)*$H$6</f>
        <v>0.37911989342335</v>
      </c>
      <c r="H219" s="48" t="n">
        <f aca="false">$H$7*G219</f>
        <v>2.91666666666667</v>
      </c>
      <c r="I219" s="49" t="n">
        <f aca="false">0.5*c_rho*'P3 Energie'!F8*'P3 Energie'!F7*(H219-c_Vv)^2+'P3 Energie'!F13+'P3 Energie'!F15+'P3 Energie'!F6*$H$7</f>
        <v>19242.0875842824</v>
      </c>
      <c r="J219" s="50" t="n">
        <f aca="false">I219*H219</f>
        <v>56122.755454157</v>
      </c>
    </row>
    <row r="220" customFormat="false" ht="15" hidden="false" customHeight="false" outlineLevel="0" collapsed="false">
      <c r="A220" s="46" t="n">
        <v>212</v>
      </c>
      <c r="B220" s="47" t="n">
        <f aca="false">(A220-1)*$C$6</f>
        <v>0.381197460084526</v>
      </c>
      <c r="C220" s="48" t="n">
        <f aca="false">$C$7*B220</f>
        <v>2.93055555555556</v>
      </c>
      <c r="D220" s="49" t="n">
        <f aca="false">0.5*c_rho*'P3 Energie'!E8*'P3 Energie'!E7*(C220-c_Vv)^2+'P3 Energie'!E13+'P3 Energie'!E15+'P3 Energie'!E6*$C$7</f>
        <v>18414.6966175516</v>
      </c>
      <c r="E220" s="50" t="n">
        <f aca="false">D220*C220</f>
        <v>53965.2914764359</v>
      </c>
      <c r="F220" s="46" t="n">
        <v>212</v>
      </c>
      <c r="G220" s="47" t="n">
        <f aca="false">(F220-1)*$H$6</f>
        <v>0.380925226249175</v>
      </c>
      <c r="H220" s="48" t="n">
        <f aca="false">$H$7*G220</f>
        <v>2.93055555555556</v>
      </c>
      <c r="I220" s="49" t="n">
        <f aca="false">0.5*c_rho*'P3 Energie'!F8*'P3 Energie'!F7*(H220-c_Vv)^2+'P3 Energie'!F13+'P3 Energie'!F15+'P3 Energie'!F6*$H$7</f>
        <v>19242.115767991</v>
      </c>
      <c r="J220" s="50" t="n">
        <f aca="false">I220*H220</f>
        <v>56390.0892645291</v>
      </c>
    </row>
    <row r="221" customFormat="false" ht="15" hidden="false" customHeight="false" outlineLevel="0" collapsed="false">
      <c r="A221" s="46" t="n">
        <v>213</v>
      </c>
      <c r="B221" s="47" t="n">
        <f aca="false">(A221-1)*$C$6</f>
        <v>0.383004083118102</v>
      </c>
      <c r="C221" s="48" t="n">
        <f aca="false">$C$7*B221</f>
        <v>2.94444444444444</v>
      </c>
      <c r="D221" s="49" t="n">
        <f aca="false">0.5*c_rho*'P3 Energie'!E8*'P3 Energie'!E7*(C221-c_Vv)^2+'P3 Energie'!E13+'P3 Energie'!E15+'P3 Energie'!E6*$C$7</f>
        <v>18414.7292106426</v>
      </c>
      <c r="E221" s="50" t="n">
        <f aca="false">D221*C221</f>
        <v>54221.1471202253</v>
      </c>
      <c r="F221" s="46" t="n">
        <v>213</v>
      </c>
      <c r="G221" s="47" t="n">
        <f aca="false">(F221-1)*$H$6</f>
        <v>0.382730559075001</v>
      </c>
      <c r="H221" s="48" t="n">
        <f aca="false">$H$7*G221</f>
        <v>2.94444444444444</v>
      </c>
      <c r="I221" s="49" t="n">
        <f aca="false">0.5*c_rho*'P3 Energie'!F8*'P3 Energie'!F7*(H221-c_Vv)^2+'P3 Energie'!F13+'P3 Energie'!F15+'P3 Energie'!F6*$H$7</f>
        <v>19242.1440855889</v>
      </c>
      <c r="J221" s="50" t="n">
        <f aca="false">I221*H221</f>
        <v>56657.4242520117</v>
      </c>
    </row>
    <row r="222" customFormat="false" ht="15" hidden="false" customHeight="false" outlineLevel="0" collapsed="false">
      <c r="A222" s="46" t="n">
        <v>214</v>
      </c>
      <c r="B222" s="47" t="n">
        <f aca="false">(A222-1)*$C$6</f>
        <v>0.384810706151678</v>
      </c>
      <c r="C222" s="48" t="n">
        <f aca="false">$C$7*B222</f>
        <v>2.95833333333333</v>
      </c>
      <c r="D222" s="49" t="n">
        <f aca="false">0.5*c_rho*'P3 Energie'!E8*'P3 Energie'!E7*(C222-c_Vv)^2+'P3 Energie'!E13+'P3 Energie'!E15+'P3 Energie'!E6*$C$7</f>
        <v>18414.761957838</v>
      </c>
      <c r="E222" s="50" t="n">
        <f aca="false">D222*C222</f>
        <v>54477.0041252707</v>
      </c>
      <c r="F222" s="46" t="n">
        <v>214</v>
      </c>
      <c r="G222" s="47" t="n">
        <f aca="false">(F222-1)*$H$6</f>
        <v>0.384535891900826</v>
      </c>
      <c r="H222" s="48" t="n">
        <f aca="false">$H$7*G222</f>
        <v>2.95833333333333</v>
      </c>
      <c r="I222" s="49" t="n">
        <f aca="false">0.5*c_rho*'P3 Energie'!F8*'P3 Energie'!F7*(H222-c_Vv)^2+'P3 Energie'!F13+'P3 Energie'!F15+'P3 Energie'!F6*$H$7</f>
        <v>19242.1725370762</v>
      </c>
      <c r="J222" s="50" t="n">
        <f aca="false">I222*H222</f>
        <v>56924.7604221836</v>
      </c>
    </row>
    <row r="223" customFormat="false" ht="15" hidden="false" customHeight="false" outlineLevel="0" collapsed="false">
      <c r="A223" s="46" t="n">
        <v>215</v>
      </c>
      <c r="B223" s="47" t="n">
        <f aca="false">(A223-1)*$C$6</f>
        <v>0.386617329185254</v>
      </c>
      <c r="C223" s="48" t="n">
        <f aca="false">$C$7*B223</f>
        <v>2.97222222222222</v>
      </c>
      <c r="D223" s="49" t="n">
        <f aca="false">0.5*c_rho*'P3 Energie'!E8*'P3 Energie'!E7*(C223-c_Vv)^2+'P3 Energie'!E13+'P3 Energie'!E15+'P3 Energie'!E6*$C$7</f>
        <v>18414.7948591379</v>
      </c>
      <c r="E223" s="50" t="n">
        <f aca="false">D223*C223</f>
        <v>54732.8624979931</v>
      </c>
      <c r="F223" s="46" t="n">
        <v>215</v>
      </c>
      <c r="G223" s="47" t="n">
        <f aca="false">(F223-1)*$H$6</f>
        <v>0.386341224726652</v>
      </c>
      <c r="H223" s="48" t="n">
        <f aca="false">$H$7*G223</f>
        <v>2.97222222222222</v>
      </c>
      <c r="I223" s="49" t="n">
        <f aca="false">0.5*c_rho*'P3 Energie'!F8*'P3 Energie'!F7*(H223-c_Vv)^2+'P3 Energie'!F13+'P3 Energie'!F15+'P3 Energie'!F6*$H$7</f>
        <v>19242.2011224528</v>
      </c>
      <c r="J223" s="50" t="n">
        <f aca="false">I223*H223</f>
        <v>57192.0977806235</v>
      </c>
    </row>
    <row r="224" customFormat="false" ht="15" hidden="false" customHeight="false" outlineLevel="0" collapsed="false">
      <c r="A224" s="46" t="n">
        <v>216</v>
      </c>
      <c r="B224" s="47" t="n">
        <f aca="false">(A224-1)*$C$6</f>
        <v>0.38842395221883</v>
      </c>
      <c r="C224" s="48" t="n">
        <f aca="false">$C$7*B224</f>
        <v>2.98611111111111</v>
      </c>
      <c r="D224" s="49" t="n">
        <f aca="false">0.5*c_rho*'P3 Energie'!E8*'P3 Energie'!E7*(C224-c_Vv)^2+'P3 Energie'!E13+'P3 Energie'!E15+'P3 Energie'!E6*$C$7</f>
        <v>18414.8279145422</v>
      </c>
      <c r="E224" s="50" t="n">
        <f aca="false">D224*C224</f>
        <v>54988.7222448135</v>
      </c>
      <c r="F224" s="46" t="n">
        <v>216</v>
      </c>
      <c r="G224" s="47" t="n">
        <f aca="false">(F224-1)*$H$6</f>
        <v>0.388146557552477</v>
      </c>
      <c r="H224" s="48" t="n">
        <f aca="false">$H$7*G224</f>
        <v>2.98611111111111</v>
      </c>
      <c r="I224" s="49" t="n">
        <f aca="false">0.5*c_rho*'P3 Energie'!F8*'P3 Energie'!F7*(H224-c_Vv)^2+'P3 Energie'!F13+'P3 Energie'!F15+'P3 Energie'!F6*$H$7</f>
        <v>19242.2298417188</v>
      </c>
      <c r="J224" s="50" t="n">
        <f aca="false">I224*H224</f>
        <v>57459.4363329102</v>
      </c>
    </row>
    <row r="225" customFormat="false" ht="15" hidden="false" customHeight="false" outlineLevel="0" collapsed="false">
      <c r="A225" s="46" t="n">
        <v>217</v>
      </c>
      <c r="B225" s="47" t="n">
        <f aca="false">(A225-1)*$C$6</f>
        <v>0.390230575252406</v>
      </c>
      <c r="C225" s="48" t="n">
        <f aca="false">$C$7*B225</f>
        <v>3</v>
      </c>
      <c r="D225" s="49" t="n">
        <f aca="false">0.5*c_rho*'P3 Energie'!E8*'P3 Energie'!E7*(C225-c_Vv)^2+'P3 Energie'!E13+'P3 Energie'!E15+'P3 Energie'!E6*$C$7</f>
        <v>18414.861124051</v>
      </c>
      <c r="E225" s="50" t="n">
        <f aca="false">D225*C225</f>
        <v>55244.5833721529</v>
      </c>
      <c r="F225" s="46" t="n">
        <v>217</v>
      </c>
      <c r="G225" s="47" t="n">
        <f aca="false">(F225-1)*$H$6</f>
        <v>0.389951890378303</v>
      </c>
      <c r="H225" s="48" t="n">
        <f aca="false">$H$7*G225</f>
        <v>3</v>
      </c>
      <c r="I225" s="49" t="n">
        <f aca="false">0.5*c_rho*'P3 Energie'!F8*'P3 Energie'!F7*(H225-c_Vv)^2+'P3 Energie'!F13+'P3 Energie'!F15+'P3 Energie'!F6*$H$7</f>
        <v>19242.2586948741</v>
      </c>
      <c r="J225" s="50" t="n">
        <f aca="false">I225*H225</f>
        <v>57726.7760846222</v>
      </c>
    </row>
    <row r="226" customFormat="false" ht="15" hidden="false" customHeight="false" outlineLevel="0" collapsed="false">
      <c r="A226" s="46" t="n">
        <v>218</v>
      </c>
      <c r="B226" s="47" t="n">
        <f aca="false">(A226-1)*$C$6</f>
        <v>0.392037198285982</v>
      </c>
      <c r="C226" s="48" t="n">
        <f aca="false">$C$7*B226</f>
        <v>3.01388888888889</v>
      </c>
      <c r="D226" s="49" t="n">
        <f aca="false">0.5*c_rho*'P3 Energie'!E8*'P3 Energie'!E7*(C226-c_Vv)^2+'P3 Energie'!E13+'P3 Energie'!E15+'P3 Energie'!E6*$C$7</f>
        <v>18414.8944876642</v>
      </c>
      <c r="E226" s="50" t="n">
        <f aca="false">D226*C226</f>
        <v>55500.4458864324</v>
      </c>
      <c r="F226" s="46" t="n">
        <v>218</v>
      </c>
      <c r="G226" s="47" t="n">
        <f aca="false">(F226-1)*$H$6</f>
        <v>0.391757223204128</v>
      </c>
      <c r="H226" s="48" t="n">
        <f aca="false">$H$7*G226</f>
        <v>3.01388888888889</v>
      </c>
      <c r="I226" s="49" t="n">
        <f aca="false">0.5*c_rho*'P3 Energie'!F8*'P3 Energie'!F7*(H226-c_Vv)^2+'P3 Energie'!F13+'P3 Energie'!F15+'P3 Energie'!F6*$H$7</f>
        <v>19242.2876819188</v>
      </c>
      <c r="J226" s="50" t="n">
        <f aca="false">I226*H226</f>
        <v>57994.1170413385</v>
      </c>
    </row>
    <row r="227" customFormat="false" ht="15" hidden="false" customHeight="false" outlineLevel="0" collapsed="false">
      <c r="A227" s="46" t="n">
        <v>219</v>
      </c>
      <c r="B227" s="47" t="n">
        <f aca="false">(A227-1)*$C$6</f>
        <v>0.393843821319558</v>
      </c>
      <c r="C227" s="48" t="n">
        <f aca="false">$C$7*B227</f>
        <v>3.02777777777778</v>
      </c>
      <c r="D227" s="49" t="n">
        <f aca="false">0.5*c_rho*'P3 Energie'!E8*'P3 Energie'!E7*(C227-c_Vv)^2+'P3 Energie'!E13+'P3 Energie'!E15+'P3 Energie'!E6*$C$7</f>
        <v>18414.9280053819</v>
      </c>
      <c r="E227" s="50" t="n">
        <f aca="false">D227*C227</f>
        <v>55756.3097940729</v>
      </c>
      <c r="F227" s="46" t="n">
        <v>219</v>
      </c>
      <c r="G227" s="47" t="n">
        <f aca="false">(F227-1)*$H$6</f>
        <v>0.393562556029954</v>
      </c>
      <c r="H227" s="48" t="n">
        <f aca="false">$H$7*G227</f>
        <v>3.02777777777778</v>
      </c>
      <c r="I227" s="49" t="n">
        <f aca="false">0.5*c_rho*'P3 Energie'!F8*'P3 Energie'!F7*(H227-c_Vv)^2+'P3 Energie'!F13+'P3 Energie'!F15+'P3 Energie'!F6*$H$7</f>
        <v>19242.3168028528</v>
      </c>
      <c r="J227" s="50" t="n">
        <f aca="false">I227*H227</f>
        <v>58261.4592086376</v>
      </c>
    </row>
    <row r="228" customFormat="false" ht="15" hidden="false" customHeight="false" outlineLevel="0" collapsed="false">
      <c r="A228" s="46" t="n">
        <v>220</v>
      </c>
      <c r="B228" s="47" t="n">
        <f aca="false">(A228-1)*$C$6</f>
        <v>0.395650444353134</v>
      </c>
      <c r="C228" s="48" t="n">
        <f aca="false">$C$7*B228</f>
        <v>3.04166666666667</v>
      </c>
      <c r="D228" s="49" t="n">
        <f aca="false">0.5*c_rho*'P3 Energie'!E8*'P3 Energie'!E7*(C228-c_Vv)^2+'P3 Energie'!E13+'P3 Energie'!E15+'P3 Energie'!E6*$C$7</f>
        <v>18414.961677204</v>
      </c>
      <c r="E228" s="50" t="n">
        <f aca="false">D228*C228</f>
        <v>56012.1751014955</v>
      </c>
      <c r="F228" s="46" t="n">
        <v>220</v>
      </c>
      <c r="G228" s="47" t="n">
        <f aca="false">(F228-1)*$H$6</f>
        <v>0.395367888855779</v>
      </c>
      <c r="H228" s="48" t="n">
        <f aca="false">$H$7*G228</f>
        <v>3.04166666666667</v>
      </c>
      <c r="I228" s="49" t="n">
        <f aca="false">0.5*c_rho*'P3 Energie'!F8*'P3 Energie'!F7*(H228-c_Vv)^2+'P3 Energie'!F13+'P3 Energie'!F15+'P3 Energie'!F6*$H$7</f>
        <v>19242.3460576762</v>
      </c>
      <c r="J228" s="50" t="n">
        <f aca="false">I228*H228</f>
        <v>58528.8025920983</v>
      </c>
    </row>
    <row r="229" customFormat="false" ht="15" hidden="false" customHeight="false" outlineLevel="0" collapsed="false">
      <c r="A229" s="46" t="n">
        <v>221</v>
      </c>
      <c r="B229" s="47" t="n">
        <f aca="false">(A229-1)*$C$6</f>
        <v>0.39745706738671</v>
      </c>
      <c r="C229" s="48" t="n">
        <f aca="false">$C$7*B229</f>
        <v>3.05555555555556</v>
      </c>
      <c r="D229" s="49" t="n">
        <f aca="false">0.5*c_rho*'P3 Energie'!E8*'P3 Energie'!E7*(C229-c_Vv)^2+'P3 Energie'!E13+'P3 Energie'!E15+'P3 Energie'!E6*$C$7</f>
        <v>18414.9955031306</v>
      </c>
      <c r="E229" s="50" t="n">
        <f aca="false">D229*C229</f>
        <v>56268.0418151212</v>
      </c>
      <c r="F229" s="46" t="n">
        <v>221</v>
      </c>
      <c r="G229" s="47" t="n">
        <f aca="false">(F229-1)*$H$6</f>
        <v>0.397173221681605</v>
      </c>
      <c r="H229" s="48" t="n">
        <f aca="false">$H$7*G229</f>
        <v>3.05555555555556</v>
      </c>
      <c r="I229" s="49" t="n">
        <f aca="false">0.5*c_rho*'P3 Energie'!F8*'P3 Energie'!F7*(H229-c_Vv)^2+'P3 Energie'!F13+'P3 Energie'!F15+'P3 Energie'!F6*$H$7</f>
        <v>19242.3754463889</v>
      </c>
      <c r="J229" s="50" t="n">
        <f aca="false">I229*H229</f>
        <v>58796.1471972994</v>
      </c>
    </row>
    <row r="230" customFormat="false" ht="15" hidden="false" customHeight="false" outlineLevel="0" collapsed="false">
      <c r="A230" s="46" t="n">
        <v>222</v>
      </c>
      <c r="B230" s="47" t="n">
        <f aca="false">(A230-1)*$C$6</f>
        <v>0.399263690420286</v>
      </c>
      <c r="C230" s="48" t="n">
        <f aca="false">$C$7*B230</f>
        <v>3.06944444444444</v>
      </c>
      <c r="D230" s="49" t="n">
        <f aca="false">0.5*c_rho*'P3 Energie'!E8*'P3 Energie'!E7*(C230-c_Vv)^2+'P3 Energie'!E13+'P3 Energie'!E15+'P3 Energie'!E6*$C$7</f>
        <v>18415.0294831616</v>
      </c>
      <c r="E230" s="50" t="n">
        <f aca="false">D230*C230</f>
        <v>56523.909941371</v>
      </c>
      <c r="F230" s="46" t="n">
        <v>222</v>
      </c>
      <c r="G230" s="47" t="n">
        <f aca="false">(F230-1)*$H$6</f>
        <v>0.39897855450743</v>
      </c>
      <c r="H230" s="48" t="n">
        <f aca="false">$H$7*G230</f>
        <v>3.06944444444444</v>
      </c>
      <c r="I230" s="49" t="n">
        <f aca="false">0.5*c_rho*'P3 Energie'!F8*'P3 Energie'!F7*(H230-c_Vv)^2+'P3 Energie'!F13+'P3 Energie'!F15+'P3 Energie'!F6*$H$7</f>
        <v>19242.404968991</v>
      </c>
      <c r="J230" s="50" t="n">
        <f aca="false">I230*H230</f>
        <v>59063.4930298195</v>
      </c>
    </row>
    <row r="231" customFormat="false" ht="15" hidden="false" customHeight="false" outlineLevel="0" collapsed="false">
      <c r="A231" s="46" t="n">
        <v>223</v>
      </c>
      <c r="B231" s="47" t="n">
        <f aca="false">(A231-1)*$C$6</f>
        <v>0.401070313453862</v>
      </c>
      <c r="C231" s="48" t="n">
        <f aca="false">$C$7*B231</f>
        <v>3.08333333333333</v>
      </c>
      <c r="D231" s="49" t="n">
        <f aca="false">0.5*c_rho*'P3 Energie'!E8*'P3 Energie'!E7*(C231-c_Vv)^2+'P3 Energie'!E13+'P3 Energie'!E15+'P3 Energie'!E6*$C$7</f>
        <v>18415.0636172971</v>
      </c>
      <c r="E231" s="50" t="n">
        <f aca="false">D231*C231</f>
        <v>56779.7794866659</v>
      </c>
      <c r="F231" s="46" t="n">
        <v>223</v>
      </c>
      <c r="G231" s="47" t="n">
        <f aca="false">(F231-1)*$H$6</f>
        <v>0.400783887333256</v>
      </c>
      <c r="H231" s="48" t="n">
        <f aca="false">$H$7*G231</f>
        <v>3.08333333333333</v>
      </c>
      <c r="I231" s="49" t="n">
        <f aca="false">0.5*c_rho*'P3 Energie'!F8*'P3 Energie'!F7*(H231-c_Vv)^2+'P3 Energie'!F13+'P3 Energie'!F15+'P3 Energie'!F6*$H$7</f>
        <v>19242.4346254824</v>
      </c>
      <c r="J231" s="50" t="n">
        <f aca="false">I231*H231</f>
        <v>59330.8400952374</v>
      </c>
    </row>
    <row r="232" customFormat="false" ht="15" hidden="false" customHeight="false" outlineLevel="0" collapsed="false">
      <c r="A232" s="46" t="n">
        <v>224</v>
      </c>
      <c r="B232" s="47" t="n">
        <f aca="false">(A232-1)*$C$6</f>
        <v>0.402876936487438</v>
      </c>
      <c r="C232" s="48" t="n">
        <f aca="false">$C$7*B232</f>
        <v>3.09722222222222</v>
      </c>
      <c r="D232" s="49" t="n">
        <f aca="false">0.5*c_rho*'P3 Energie'!E8*'P3 Energie'!E7*(C232-c_Vv)^2+'P3 Energie'!E13+'P3 Energie'!E15+'P3 Energie'!E6*$C$7</f>
        <v>18415.097905537</v>
      </c>
      <c r="E232" s="50" t="n">
        <f aca="false">D232*C232</f>
        <v>57035.650457427</v>
      </c>
      <c r="F232" s="46" t="n">
        <v>224</v>
      </c>
      <c r="G232" s="47" t="n">
        <f aca="false">(F232-1)*$H$6</f>
        <v>0.402589220159081</v>
      </c>
      <c r="H232" s="48" t="n">
        <f aca="false">$H$7*G232</f>
        <v>3.09722222222222</v>
      </c>
      <c r="I232" s="49" t="n">
        <f aca="false">0.5*c_rho*'P3 Energie'!F8*'P3 Energie'!F7*(H232-c_Vv)^2+'P3 Energie'!F13+'P3 Energie'!F15+'P3 Energie'!F6*$H$7</f>
        <v>19242.4644158632</v>
      </c>
      <c r="J232" s="50" t="n">
        <f aca="false">I232*H232</f>
        <v>59598.1883991319</v>
      </c>
    </row>
    <row r="233" customFormat="false" ht="15" hidden="false" customHeight="false" outlineLevel="0" collapsed="false">
      <c r="A233" s="46" t="n">
        <v>225</v>
      </c>
      <c r="B233" s="47" t="n">
        <f aca="false">(A233-1)*$C$6</f>
        <v>0.404683559521014</v>
      </c>
      <c r="C233" s="48" t="n">
        <f aca="false">$C$7*B233</f>
        <v>3.11111111111111</v>
      </c>
      <c r="D233" s="49" t="n">
        <f aca="false">0.5*c_rho*'P3 Energie'!E8*'P3 Energie'!E7*(C233-c_Vv)^2+'P3 Energie'!E13+'P3 Energie'!E15+'P3 Energie'!E6*$C$7</f>
        <v>18415.1323478813</v>
      </c>
      <c r="E233" s="50" t="n">
        <f aca="false">D233*C233</f>
        <v>57291.5228600753</v>
      </c>
      <c r="F233" s="46" t="n">
        <v>225</v>
      </c>
      <c r="G233" s="47" t="n">
        <f aca="false">(F233-1)*$H$6</f>
        <v>0.404394552984907</v>
      </c>
      <c r="H233" s="48" t="n">
        <f aca="false">$H$7*G233</f>
        <v>3.11111111111111</v>
      </c>
      <c r="I233" s="49" t="n">
        <f aca="false">0.5*c_rho*'P3 Energie'!F8*'P3 Energie'!F7*(H233-c_Vv)^2+'P3 Energie'!F13+'P3 Energie'!F15+'P3 Energie'!F6*$H$7</f>
        <v>19242.4943401333</v>
      </c>
      <c r="J233" s="50" t="n">
        <f aca="false">I233*H233</f>
        <v>59865.5379470815</v>
      </c>
    </row>
    <row r="234" customFormat="false" ht="15" hidden="false" customHeight="false" outlineLevel="0" collapsed="false">
      <c r="A234" s="46" t="n">
        <v>226</v>
      </c>
      <c r="B234" s="47" t="n">
        <f aca="false">(A234-1)*$C$6</f>
        <v>0.406490182554589</v>
      </c>
      <c r="C234" s="48" t="n">
        <f aca="false">$C$7*B234</f>
        <v>3.125</v>
      </c>
      <c r="D234" s="49" t="n">
        <f aca="false">0.5*c_rho*'P3 Energie'!E8*'P3 Energie'!E7*(C234-c_Vv)^2+'P3 Energie'!E13+'P3 Energie'!E15+'P3 Energie'!E6*$C$7</f>
        <v>18415.1669443302</v>
      </c>
      <c r="E234" s="50" t="n">
        <f aca="false">D234*C234</f>
        <v>57547.3967010317</v>
      </c>
      <c r="F234" s="46" t="n">
        <v>226</v>
      </c>
      <c r="G234" s="47" t="n">
        <f aca="false">(F234-1)*$H$6</f>
        <v>0.406199885810732</v>
      </c>
      <c r="H234" s="48" t="n">
        <f aca="false">$H$7*G234</f>
        <v>3.125</v>
      </c>
      <c r="I234" s="49" t="n">
        <f aca="false">0.5*c_rho*'P3 Energie'!F8*'P3 Energie'!F7*(H234-c_Vv)^2+'P3 Energie'!F13+'P3 Energie'!F15+'P3 Energie'!F6*$H$7</f>
        <v>19242.5243982928</v>
      </c>
      <c r="J234" s="50" t="n">
        <f aca="false">I234*H234</f>
        <v>60132.8887446651</v>
      </c>
    </row>
    <row r="235" customFormat="false" ht="15" hidden="false" customHeight="false" outlineLevel="0" collapsed="false">
      <c r="A235" s="46" t="n">
        <v>227</v>
      </c>
      <c r="B235" s="47" t="n">
        <f aca="false">(A235-1)*$C$6</f>
        <v>0.408296805588165</v>
      </c>
      <c r="C235" s="48" t="n">
        <f aca="false">$C$7*B235</f>
        <v>3.13888888888889</v>
      </c>
      <c r="D235" s="49" t="n">
        <f aca="false">0.5*c_rho*'P3 Energie'!E8*'P3 Energie'!E7*(C235-c_Vv)^2+'P3 Energie'!E13+'P3 Energie'!E15+'P3 Energie'!E6*$C$7</f>
        <v>18415.2016948834</v>
      </c>
      <c r="E235" s="50" t="n">
        <f aca="false">D235*C235</f>
        <v>57803.2719867174</v>
      </c>
      <c r="F235" s="46" t="n">
        <v>227</v>
      </c>
      <c r="G235" s="47" t="n">
        <f aca="false">(F235-1)*$H$6</f>
        <v>0.408005218636558</v>
      </c>
      <c r="H235" s="48" t="n">
        <f aca="false">$H$7*G235</f>
        <v>3.13888888888889</v>
      </c>
      <c r="I235" s="49" t="n">
        <f aca="false">0.5*c_rho*'P3 Energie'!F8*'P3 Energie'!F7*(H235-c_Vv)^2+'P3 Energie'!F13+'P3 Energie'!F15+'P3 Energie'!F6*$H$7</f>
        <v>19242.5545903417</v>
      </c>
      <c r="J235" s="50" t="n">
        <f aca="false">I235*H235</f>
        <v>60400.2407974614</v>
      </c>
    </row>
    <row r="236" customFormat="false" ht="15" hidden="false" customHeight="false" outlineLevel="0" collapsed="false">
      <c r="A236" s="46" t="n">
        <v>228</v>
      </c>
      <c r="B236" s="47" t="n">
        <f aca="false">(A236-1)*$C$6</f>
        <v>0.410103428621741</v>
      </c>
      <c r="C236" s="48" t="n">
        <f aca="false">$C$7*B236</f>
        <v>3.15277777777778</v>
      </c>
      <c r="D236" s="49" t="n">
        <f aca="false">0.5*c_rho*'P3 Energie'!E8*'P3 Energie'!E7*(C236-c_Vv)^2+'P3 Energie'!E13+'P3 Energie'!E15+'P3 Energie'!E6*$C$7</f>
        <v>18415.2365995411</v>
      </c>
      <c r="E236" s="50" t="n">
        <f aca="false">D236*C236</f>
        <v>58059.1487235533</v>
      </c>
      <c r="F236" s="46" t="n">
        <v>228</v>
      </c>
      <c r="G236" s="47" t="n">
        <f aca="false">(F236-1)*$H$6</f>
        <v>0.409810551462383</v>
      </c>
      <c r="H236" s="48" t="n">
        <f aca="false">$H$7*G236</f>
        <v>3.15277777777778</v>
      </c>
      <c r="I236" s="49" t="n">
        <f aca="false">0.5*c_rho*'P3 Energie'!F8*'P3 Energie'!F7*(H236-c_Vv)^2+'P3 Energie'!F13+'P3 Energie'!F15+'P3 Energie'!F6*$H$7</f>
        <v>19242.5849162799</v>
      </c>
      <c r="J236" s="50" t="n">
        <f aca="false">I236*H236</f>
        <v>60667.594111049</v>
      </c>
    </row>
    <row r="237" customFormat="false" ht="15" hidden="false" customHeight="false" outlineLevel="0" collapsed="false">
      <c r="A237" s="46" t="n">
        <v>229</v>
      </c>
      <c r="B237" s="47" t="n">
        <f aca="false">(A237-1)*$C$6</f>
        <v>0.411910051655317</v>
      </c>
      <c r="C237" s="48" t="n">
        <f aca="false">$C$7*B237</f>
        <v>3.16666666666667</v>
      </c>
      <c r="D237" s="49" t="n">
        <f aca="false">0.5*c_rho*'P3 Energie'!E8*'P3 Energie'!E7*(C237-c_Vv)^2+'P3 Energie'!E13+'P3 Energie'!E15+'P3 Energie'!E6*$C$7</f>
        <v>18415.2716583033</v>
      </c>
      <c r="E237" s="50" t="n">
        <f aca="false">D237*C237</f>
        <v>58315.0269179605</v>
      </c>
      <c r="F237" s="46" t="n">
        <v>229</v>
      </c>
      <c r="G237" s="47" t="n">
        <f aca="false">(F237-1)*$H$6</f>
        <v>0.411615884288208</v>
      </c>
      <c r="H237" s="48" t="n">
        <f aca="false">$H$7*G237</f>
        <v>3.16666666666667</v>
      </c>
      <c r="I237" s="49" t="n">
        <f aca="false">0.5*c_rho*'P3 Energie'!F8*'P3 Energie'!F7*(H237-c_Vv)^2+'P3 Energie'!F13+'P3 Energie'!F15+'P3 Energie'!F6*$H$7</f>
        <v>19242.6153761074</v>
      </c>
      <c r="J237" s="50" t="n">
        <f aca="false">I237*H237</f>
        <v>60934.9486910068</v>
      </c>
    </row>
    <row r="238" customFormat="false" ht="15" hidden="false" customHeight="false" outlineLevel="0" collapsed="false">
      <c r="A238" s="46" t="n">
        <v>230</v>
      </c>
      <c r="B238" s="47" t="n">
        <f aca="false">(A238-1)*$C$6</f>
        <v>0.413716674688893</v>
      </c>
      <c r="C238" s="48" t="n">
        <f aca="false">$C$7*B238</f>
        <v>3.18055555555556</v>
      </c>
      <c r="D238" s="49" t="n">
        <f aca="false">0.5*c_rho*'P3 Energie'!E8*'P3 Energie'!E7*(C238-c_Vv)^2+'P3 Energie'!E13+'P3 Energie'!E15+'P3 Energie'!E6*$C$7</f>
        <v>18415.3068711699</v>
      </c>
      <c r="E238" s="50" t="n">
        <f aca="false">D238*C238</f>
        <v>58570.9065763599</v>
      </c>
      <c r="F238" s="46" t="n">
        <v>230</v>
      </c>
      <c r="G238" s="47" t="n">
        <f aca="false">(F238-1)*$H$6</f>
        <v>0.413421217114034</v>
      </c>
      <c r="H238" s="48" t="n">
        <f aca="false">$H$7*G238</f>
        <v>3.18055555555556</v>
      </c>
      <c r="I238" s="49" t="n">
        <f aca="false">0.5*c_rho*'P3 Energie'!F8*'P3 Energie'!F7*(H238-c_Vv)^2+'P3 Energie'!F13+'P3 Energie'!F15+'P3 Energie'!F6*$H$7</f>
        <v>19242.6459698243</v>
      </c>
      <c r="J238" s="50" t="n">
        <f aca="false">I238*H238</f>
        <v>61202.3045429134</v>
      </c>
    </row>
    <row r="239" customFormat="false" ht="15" hidden="false" customHeight="false" outlineLevel="0" collapsed="false">
      <c r="A239" s="46" t="n">
        <v>231</v>
      </c>
      <c r="B239" s="47" t="n">
        <f aca="false">(A239-1)*$C$6</f>
        <v>0.415523297722469</v>
      </c>
      <c r="C239" s="48" t="n">
        <f aca="false">$C$7*B239</f>
        <v>3.19444444444444</v>
      </c>
      <c r="D239" s="49" t="n">
        <f aca="false">0.5*c_rho*'P3 Energie'!E8*'P3 Energie'!E7*(C239-c_Vv)^2+'P3 Energie'!E13+'P3 Energie'!E15+'P3 Energie'!E6*$C$7</f>
        <v>18415.342238141</v>
      </c>
      <c r="E239" s="50" t="n">
        <f aca="false">D239*C239</f>
        <v>58826.7877051726</v>
      </c>
      <c r="F239" s="46" t="n">
        <v>231</v>
      </c>
      <c r="G239" s="47" t="n">
        <f aca="false">(F239-1)*$H$6</f>
        <v>0.415226549939859</v>
      </c>
      <c r="H239" s="48" t="n">
        <f aca="false">$H$7*G239</f>
        <v>3.19444444444444</v>
      </c>
      <c r="I239" s="49" t="n">
        <f aca="false">0.5*c_rho*'P3 Energie'!F8*'P3 Energie'!F7*(H239-c_Vv)^2+'P3 Energie'!F13+'P3 Energie'!F15+'P3 Energie'!F6*$H$7</f>
        <v>19242.6766974306</v>
      </c>
      <c r="J239" s="50" t="n">
        <f aca="false">I239*H239</f>
        <v>61469.6616723476</v>
      </c>
    </row>
    <row r="240" customFormat="false" ht="15" hidden="false" customHeight="false" outlineLevel="0" collapsed="false">
      <c r="A240" s="46" t="n">
        <v>232</v>
      </c>
      <c r="B240" s="47" t="n">
        <f aca="false">(A240-1)*$C$6</f>
        <v>0.417329920756045</v>
      </c>
      <c r="C240" s="48" t="n">
        <f aca="false">$C$7*B240</f>
        <v>3.20833333333333</v>
      </c>
      <c r="D240" s="49" t="n">
        <f aca="false">0.5*c_rho*'P3 Energie'!E8*'P3 Energie'!E7*(C240-c_Vv)^2+'P3 Energie'!E13+'P3 Energie'!E15+'P3 Energie'!E6*$C$7</f>
        <v>18415.3777592165</v>
      </c>
      <c r="E240" s="50" t="n">
        <f aca="false">D240*C240</f>
        <v>59082.6703108196</v>
      </c>
      <c r="F240" s="46" t="n">
        <v>232</v>
      </c>
      <c r="G240" s="47" t="n">
        <f aca="false">(F240-1)*$H$6</f>
        <v>0.417031882765685</v>
      </c>
      <c r="H240" s="48" t="n">
        <f aca="false">$H$7*G240</f>
        <v>3.20833333333333</v>
      </c>
      <c r="I240" s="49" t="n">
        <f aca="false">0.5*c_rho*'P3 Energie'!F8*'P3 Energie'!F7*(H240-c_Vv)^2+'P3 Energie'!F13+'P3 Energie'!F15+'P3 Energie'!F6*$H$7</f>
        <v>19242.7075589262</v>
      </c>
      <c r="J240" s="50" t="n">
        <f aca="false">I240*H240</f>
        <v>61737.0200848881</v>
      </c>
    </row>
    <row r="241" customFormat="false" ht="15" hidden="false" customHeight="false" outlineLevel="0" collapsed="false">
      <c r="A241" s="46" t="n">
        <v>233</v>
      </c>
      <c r="B241" s="47" t="n">
        <f aca="false">(A241-1)*$C$6</f>
        <v>0.419136543789621</v>
      </c>
      <c r="C241" s="48" t="n">
        <f aca="false">$C$7*B241</f>
        <v>3.22222222222222</v>
      </c>
      <c r="D241" s="49" t="n">
        <f aca="false">0.5*c_rho*'P3 Energie'!E8*'P3 Energie'!E7*(C241-c_Vv)^2+'P3 Energie'!E13+'P3 Energie'!E15+'P3 Energie'!E6*$C$7</f>
        <v>18415.4134343965</v>
      </c>
      <c r="E241" s="50" t="n">
        <f aca="false">D241*C241</f>
        <v>59338.5543997219</v>
      </c>
      <c r="F241" s="46" t="n">
        <v>233</v>
      </c>
      <c r="G241" s="47" t="n">
        <f aca="false">(F241-1)*$H$6</f>
        <v>0.41883721559151</v>
      </c>
      <c r="H241" s="48" t="n">
        <f aca="false">$H$7*G241</f>
        <v>3.22222222222222</v>
      </c>
      <c r="I241" s="49" t="n">
        <f aca="false">0.5*c_rho*'P3 Energie'!F8*'P3 Energie'!F7*(H241-c_Vv)^2+'P3 Energie'!F13+'P3 Energie'!F15+'P3 Energie'!F6*$H$7</f>
        <v>19242.7385543111</v>
      </c>
      <c r="J241" s="50" t="n">
        <f aca="false">I241*H241</f>
        <v>62004.3797861136</v>
      </c>
    </row>
    <row r="242" customFormat="false" ht="15" hidden="false" customHeight="false" outlineLevel="0" collapsed="false">
      <c r="A242" s="46" t="n">
        <v>234</v>
      </c>
      <c r="B242" s="47" t="n">
        <f aca="false">(A242-1)*$C$6</f>
        <v>0.420943166823197</v>
      </c>
      <c r="C242" s="48" t="n">
        <f aca="false">$C$7*B242</f>
        <v>3.23611111111111</v>
      </c>
      <c r="D242" s="49" t="n">
        <f aca="false">0.5*c_rho*'P3 Energie'!E8*'P3 Energie'!E7*(C242-c_Vv)^2+'P3 Energie'!E13+'P3 Energie'!E15+'P3 Energie'!E6*$C$7</f>
        <v>18415.4492636809</v>
      </c>
      <c r="E242" s="50" t="n">
        <f aca="false">D242*C242</f>
        <v>59594.4399783006</v>
      </c>
      <c r="F242" s="46" t="n">
        <v>234</v>
      </c>
      <c r="G242" s="47" t="n">
        <f aca="false">(F242-1)*$H$6</f>
        <v>0.420642548417336</v>
      </c>
      <c r="H242" s="48" t="n">
        <f aca="false">$H$7*G242</f>
        <v>3.23611111111111</v>
      </c>
      <c r="I242" s="49" t="n">
        <f aca="false">0.5*c_rho*'P3 Energie'!F8*'P3 Energie'!F7*(H242-c_Vv)^2+'P3 Energie'!F13+'P3 Energie'!F15+'P3 Energie'!F6*$H$7</f>
        <v>19242.7696835854</v>
      </c>
      <c r="J242" s="50" t="n">
        <f aca="false">I242*H242</f>
        <v>62271.7407816028</v>
      </c>
    </row>
    <row r="243" customFormat="false" ht="15" hidden="false" customHeight="false" outlineLevel="0" collapsed="false">
      <c r="A243" s="46" t="n">
        <v>235</v>
      </c>
      <c r="B243" s="47" t="n">
        <f aca="false">(A243-1)*$C$6</f>
        <v>0.422749789856773</v>
      </c>
      <c r="C243" s="48" t="n">
        <f aca="false">$C$7*B243</f>
        <v>3.25</v>
      </c>
      <c r="D243" s="49" t="n">
        <f aca="false">0.5*c_rho*'P3 Energie'!E8*'P3 Energie'!E7*(C243-c_Vv)^2+'P3 Energie'!E13+'P3 Energie'!E15+'P3 Energie'!E6*$C$7</f>
        <v>18415.4852470697</v>
      </c>
      <c r="E243" s="50" t="n">
        <f aca="false">D243*C243</f>
        <v>59850.3270529766</v>
      </c>
      <c r="F243" s="46" t="n">
        <v>235</v>
      </c>
      <c r="G243" s="47" t="n">
        <f aca="false">(F243-1)*$H$6</f>
        <v>0.422447881243161</v>
      </c>
      <c r="H243" s="48" t="n">
        <f aca="false">$H$7*G243</f>
        <v>3.25</v>
      </c>
      <c r="I243" s="49" t="n">
        <f aca="false">0.5*c_rho*'P3 Energie'!F8*'P3 Energie'!F7*(H243-c_Vv)^2+'P3 Energie'!F13+'P3 Energie'!F15+'P3 Energie'!F6*$H$7</f>
        <v>19242.8009467491</v>
      </c>
      <c r="J243" s="50" t="n">
        <f aca="false">I243*H243</f>
        <v>62539.1030769345</v>
      </c>
    </row>
    <row r="244" customFormat="false" ht="15" hidden="false" customHeight="false" outlineLevel="0" collapsed="false">
      <c r="A244" s="46" t="n">
        <v>236</v>
      </c>
      <c r="B244" s="47" t="n">
        <f aca="false">(A244-1)*$C$6</f>
        <v>0.424556412890349</v>
      </c>
      <c r="C244" s="48" t="n">
        <f aca="false">$C$7*B244</f>
        <v>3.26388888888889</v>
      </c>
      <c r="D244" s="49" t="n">
        <f aca="false">0.5*c_rho*'P3 Energie'!E8*'P3 Energie'!E7*(C244-c_Vv)^2+'P3 Energie'!E13+'P3 Energie'!E15+'P3 Energie'!E6*$C$7</f>
        <v>18415.521384563</v>
      </c>
      <c r="E244" s="50" t="n">
        <f aca="false">D244*C244</f>
        <v>60106.215630171</v>
      </c>
      <c r="F244" s="46" t="n">
        <v>236</v>
      </c>
      <c r="G244" s="47" t="n">
        <f aca="false">(F244-1)*$H$6</f>
        <v>0.424253214068987</v>
      </c>
      <c r="H244" s="48" t="n">
        <f aca="false">$H$7*G244</f>
        <v>3.26388888888889</v>
      </c>
      <c r="I244" s="49" t="n">
        <f aca="false">0.5*c_rho*'P3 Energie'!F8*'P3 Energie'!F7*(H244-c_Vv)^2+'P3 Energie'!F13+'P3 Energie'!F15+'P3 Energie'!F6*$H$7</f>
        <v>19242.8323438021</v>
      </c>
      <c r="J244" s="50" t="n">
        <f aca="false">I244*H244</f>
        <v>62806.4666776874</v>
      </c>
    </row>
    <row r="245" customFormat="false" ht="15" hidden="false" customHeight="false" outlineLevel="0" collapsed="false">
      <c r="A245" s="46" t="n">
        <v>237</v>
      </c>
      <c r="B245" s="47" t="n">
        <f aca="false">(A245-1)*$C$6</f>
        <v>0.426363035923925</v>
      </c>
      <c r="C245" s="48" t="n">
        <f aca="false">$C$7*B245</f>
        <v>3.27777777777778</v>
      </c>
      <c r="D245" s="49" t="n">
        <f aca="false">0.5*c_rho*'P3 Energie'!E8*'P3 Energie'!E7*(C245-c_Vv)^2+'P3 Energie'!E13+'P3 Energie'!E15+'P3 Energie'!E6*$C$7</f>
        <v>18415.5576761608</v>
      </c>
      <c r="E245" s="50" t="n">
        <f aca="false">D245*C245</f>
        <v>60362.1057163048</v>
      </c>
      <c r="F245" s="46" t="n">
        <v>237</v>
      </c>
      <c r="G245" s="47" t="n">
        <f aca="false">(F245-1)*$H$6</f>
        <v>0.426058546894812</v>
      </c>
      <c r="H245" s="48" t="n">
        <f aca="false">$H$7*G245</f>
        <v>3.27777777777778</v>
      </c>
      <c r="I245" s="49" t="n">
        <f aca="false">0.5*c_rho*'P3 Energie'!F8*'P3 Energie'!F7*(H245-c_Vv)^2+'P3 Energie'!F13+'P3 Energie'!F15+'P3 Energie'!F6*$H$7</f>
        <v>19242.8638747444</v>
      </c>
      <c r="J245" s="50" t="n">
        <f aca="false">I245*H245</f>
        <v>63073.8315894401</v>
      </c>
    </row>
    <row r="246" customFormat="false" ht="15" hidden="false" customHeight="false" outlineLevel="0" collapsed="false">
      <c r="A246" s="46" t="n">
        <v>238</v>
      </c>
      <c r="B246" s="47" t="n">
        <f aca="false">(A246-1)*$C$6</f>
        <v>0.428169658957501</v>
      </c>
      <c r="C246" s="48" t="n">
        <f aca="false">$C$7*B246</f>
        <v>3.29166666666667</v>
      </c>
      <c r="D246" s="49" t="n">
        <f aca="false">0.5*c_rho*'P3 Energie'!E8*'P3 Energie'!E7*(C246-c_Vv)^2+'P3 Energie'!E13+'P3 Energie'!E15+'P3 Energie'!E6*$C$7</f>
        <v>18415.594121863</v>
      </c>
      <c r="E246" s="50" t="n">
        <f aca="false">D246*C246</f>
        <v>60617.997317799</v>
      </c>
      <c r="F246" s="46" t="n">
        <v>238</v>
      </c>
      <c r="G246" s="47" t="n">
        <f aca="false">(F246-1)*$H$6</f>
        <v>0.427863879720638</v>
      </c>
      <c r="H246" s="48" t="n">
        <f aca="false">$H$7*G246</f>
        <v>3.29166666666667</v>
      </c>
      <c r="I246" s="49" t="n">
        <f aca="false">0.5*c_rho*'P3 Energie'!F8*'P3 Energie'!F7*(H246-c_Vv)^2+'P3 Energie'!F13+'P3 Energie'!F15+'P3 Energie'!F6*$H$7</f>
        <v>19242.8955395762</v>
      </c>
      <c r="J246" s="50" t="n">
        <f aca="false">I246*H246</f>
        <v>63341.1978177715</v>
      </c>
    </row>
    <row r="247" customFormat="false" ht="15" hidden="false" customHeight="false" outlineLevel="0" collapsed="false">
      <c r="A247" s="46" t="n">
        <v>239</v>
      </c>
      <c r="B247" s="47" t="n">
        <f aca="false">(A247-1)*$C$6</f>
        <v>0.429976281991077</v>
      </c>
      <c r="C247" s="48" t="n">
        <f aca="false">$C$7*B247</f>
        <v>3.30555555555556</v>
      </c>
      <c r="D247" s="49" t="n">
        <f aca="false">0.5*c_rho*'P3 Energie'!E8*'P3 Energie'!E7*(C247-c_Vv)^2+'P3 Energie'!E13+'P3 Energie'!E15+'P3 Energie'!E6*$C$7</f>
        <v>18415.6307216696</v>
      </c>
      <c r="E247" s="50" t="n">
        <f aca="false">D247*C247</f>
        <v>60873.8904410747</v>
      </c>
      <c r="F247" s="46" t="n">
        <v>239</v>
      </c>
      <c r="G247" s="47" t="n">
        <f aca="false">(F247-1)*$H$6</f>
        <v>0.429669212546463</v>
      </c>
      <c r="H247" s="48" t="n">
        <f aca="false">$H$7*G247</f>
        <v>3.30555555555556</v>
      </c>
      <c r="I247" s="49" t="n">
        <f aca="false">0.5*c_rho*'P3 Energie'!F8*'P3 Energie'!F7*(H247-c_Vv)^2+'P3 Energie'!F13+'P3 Energie'!F15+'P3 Energie'!F6*$H$7</f>
        <v>19242.9273382972</v>
      </c>
      <c r="J247" s="50" t="n">
        <f aca="false">I247*H247</f>
        <v>63608.5653682603</v>
      </c>
    </row>
    <row r="248" customFormat="false" ht="15" hidden="false" customHeight="false" outlineLevel="0" collapsed="false">
      <c r="A248" s="46" t="n">
        <v>240</v>
      </c>
      <c r="B248" s="47" t="n">
        <f aca="false">(A248-1)*$C$6</f>
        <v>0.431782905024653</v>
      </c>
      <c r="C248" s="48" t="n">
        <f aca="false">$C$7*B248</f>
        <v>3.31944444444444</v>
      </c>
      <c r="D248" s="49" t="n">
        <f aca="false">0.5*c_rho*'P3 Energie'!E8*'P3 Energie'!E7*(C248-c_Vv)^2+'P3 Energie'!E13+'P3 Energie'!E15+'P3 Energie'!E6*$C$7</f>
        <v>18415.6674755807</v>
      </c>
      <c r="E248" s="50" t="n">
        <f aca="false">D248*C248</f>
        <v>61129.7850925528</v>
      </c>
      <c r="F248" s="46" t="n">
        <v>240</v>
      </c>
      <c r="G248" s="47" t="n">
        <f aca="false">(F248-1)*$H$6</f>
        <v>0.431474545372289</v>
      </c>
      <c r="H248" s="48" t="n">
        <f aca="false">$H$7*G248</f>
        <v>3.31944444444444</v>
      </c>
      <c r="I248" s="49" t="n">
        <f aca="false">0.5*c_rho*'P3 Energie'!F8*'P3 Energie'!F7*(H248-c_Vv)^2+'P3 Energie'!F13+'P3 Energie'!F15+'P3 Energie'!F6*$H$7</f>
        <v>19242.9592709076</v>
      </c>
      <c r="J248" s="50" t="n">
        <f aca="false">I248*H248</f>
        <v>63875.9342464851</v>
      </c>
    </row>
    <row r="249" customFormat="false" ht="15" hidden="false" customHeight="false" outlineLevel="0" collapsed="false">
      <c r="A249" s="46" t="n">
        <v>241</v>
      </c>
      <c r="B249" s="47" t="n">
        <f aca="false">(A249-1)*$C$6</f>
        <v>0.433589528058229</v>
      </c>
      <c r="C249" s="48" t="n">
        <f aca="false">$C$7*B249</f>
        <v>3.33333333333333</v>
      </c>
      <c r="D249" s="49" t="n">
        <f aca="false">0.5*c_rho*'P3 Energie'!E8*'P3 Energie'!E7*(C249-c_Vv)^2+'P3 Energie'!E13+'P3 Energie'!E15+'P3 Energie'!E6*$C$7</f>
        <v>18415.7043835963</v>
      </c>
      <c r="E249" s="50" t="n">
        <f aca="false">D249*C249</f>
        <v>61385.6812786543</v>
      </c>
      <c r="F249" s="46" t="n">
        <v>241</v>
      </c>
      <c r="G249" s="47" t="n">
        <f aca="false">(F249-1)*$H$6</f>
        <v>0.433279878198114</v>
      </c>
      <c r="H249" s="48" t="n">
        <f aca="false">$H$7*G249</f>
        <v>3.33333333333333</v>
      </c>
      <c r="I249" s="49" t="n">
        <f aca="false">0.5*c_rho*'P3 Energie'!F8*'P3 Energie'!F7*(H249-c_Vv)^2+'P3 Energie'!F13+'P3 Energie'!F15+'P3 Energie'!F6*$H$7</f>
        <v>19242.9913374074</v>
      </c>
      <c r="J249" s="50" t="n">
        <f aca="false">I249*H249</f>
        <v>64143.3044580247</v>
      </c>
    </row>
    <row r="250" customFormat="false" ht="15" hidden="false" customHeight="false" outlineLevel="0" collapsed="false">
      <c r="A250" s="46" t="n">
        <v>242</v>
      </c>
      <c r="B250" s="47" t="n">
        <f aca="false">(A250-1)*$C$6</f>
        <v>0.435396151091805</v>
      </c>
      <c r="C250" s="48" t="n">
        <f aca="false">$C$7*B250</f>
        <v>3.34722222222222</v>
      </c>
      <c r="D250" s="49" t="n">
        <f aca="false">0.5*c_rho*'P3 Energie'!E8*'P3 Energie'!E7*(C250-c_Vv)^2+'P3 Energie'!E13+'P3 Energie'!E15+'P3 Energie'!E6*$C$7</f>
        <v>18415.7414457163</v>
      </c>
      <c r="E250" s="50" t="n">
        <f aca="false">D250*C250</f>
        <v>61641.5790058004</v>
      </c>
      <c r="F250" s="46" t="n">
        <v>242</v>
      </c>
      <c r="G250" s="47" t="n">
        <f aca="false">(F250-1)*$H$6</f>
        <v>0.43508521102394</v>
      </c>
      <c r="H250" s="48" t="n">
        <f aca="false">$H$7*G250</f>
        <v>3.34722222222222</v>
      </c>
      <c r="I250" s="49" t="n">
        <f aca="false">0.5*c_rho*'P3 Energie'!F8*'P3 Energie'!F7*(H250-c_Vv)^2+'P3 Energie'!F13+'P3 Energie'!F15+'P3 Energie'!F6*$H$7</f>
        <v>19243.0235377965</v>
      </c>
      <c r="J250" s="50" t="n">
        <f aca="false">I250*H250</f>
        <v>64410.6760084578</v>
      </c>
    </row>
    <row r="251" customFormat="false" ht="15" hidden="false" customHeight="false" outlineLevel="0" collapsed="false">
      <c r="A251" s="46" t="n">
        <v>243</v>
      </c>
      <c r="B251" s="47" t="n">
        <f aca="false">(A251-1)*$C$6</f>
        <v>0.437202774125381</v>
      </c>
      <c r="C251" s="48" t="n">
        <f aca="false">$C$7*B251</f>
        <v>3.36111111111111</v>
      </c>
      <c r="D251" s="49" t="n">
        <f aca="false">0.5*c_rho*'P3 Energie'!E8*'P3 Energie'!E7*(C251-c_Vv)^2+'P3 Energie'!E13+'P3 Energie'!E15+'P3 Energie'!E6*$C$7</f>
        <v>18415.7786619408</v>
      </c>
      <c r="E251" s="50" t="n">
        <f aca="false">D251*C251</f>
        <v>61897.478280412</v>
      </c>
      <c r="F251" s="46" t="n">
        <v>243</v>
      </c>
      <c r="G251" s="47" t="n">
        <f aca="false">(F251-1)*$H$6</f>
        <v>0.436890543849765</v>
      </c>
      <c r="H251" s="48" t="n">
        <f aca="false">$H$7*G251</f>
        <v>3.36111111111111</v>
      </c>
      <c r="I251" s="49" t="n">
        <f aca="false">0.5*c_rho*'P3 Energie'!F8*'P3 Energie'!F7*(H251-c_Vv)^2+'P3 Energie'!F13+'P3 Energie'!F15+'P3 Energie'!F6*$H$7</f>
        <v>19243.055872075</v>
      </c>
      <c r="J251" s="50" t="n">
        <f aca="false">I251*H251</f>
        <v>64678.0489033632</v>
      </c>
    </row>
    <row r="252" customFormat="false" ht="15" hidden="false" customHeight="false" outlineLevel="0" collapsed="false">
      <c r="A252" s="46" t="n">
        <v>244</v>
      </c>
      <c r="B252" s="47" t="n">
        <f aca="false">(A252-1)*$C$6</f>
        <v>0.439009397158957</v>
      </c>
      <c r="C252" s="48" t="n">
        <f aca="false">$C$7*B252</f>
        <v>3.375</v>
      </c>
      <c r="D252" s="49" t="n">
        <f aca="false">0.5*c_rho*'P3 Energie'!E8*'P3 Energie'!E7*(C252-c_Vv)^2+'P3 Energie'!E13+'P3 Energie'!E15+'P3 Energie'!E6*$C$7</f>
        <v>18415.8160322697</v>
      </c>
      <c r="E252" s="50" t="n">
        <f aca="false">D252*C252</f>
        <v>62153.3791089101</v>
      </c>
      <c r="F252" s="46" t="n">
        <v>244</v>
      </c>
      <c r="G252" s="47" t="n">
        <f aca="false">(F252-1)*$H$6</f>
        <v>0.438695876675591</v>
      </c>
      <c r="H252" s="48" t="n">
        <f aca="false">$H$7*G252</f>
        <v>3.375</v>
      </c>
      <c r="I252" s="49" t="n">
        <f aca="false">0.5*c_rho*'P3 Energie'!F8*'P3 Energie'!F7*(H252-c_Vv)^2+'P3 Energie'!F13+'P3 Energie'!F15+'P3 Energie'!F6*$H$7</f>
        <v>19243.0883402428</v>
      </c>
      <c r="J252" s="50" t="n">
        <f aca="false">I252*H252</f>
        <v>64945.4231483196</v>
      </c>
    </row>
    <row r="253" customFormat="false" ht="15" hidden="false" customHeight="false" outlineLevel="0" collapsed="false">
      <c r="A253" s="46" t="n">
        <v>245</v>
      </c>
      <c r="B253" s="47" t="n">
        <f aca="false">(A253-1)*$C$6</f>
        <v>0.440816020192533</v>
      </c>
      <c r="C253" s="48" t="n">
        <f aca="false">$C$7*B253</f>
        <v>3.38888888888889</v>
      </c>
      <c r="D253" s="49" t="n">
        <f aca="false">0.5*c_rho*'P3 Energie'!E8*'P3 Energie'!E7*(C253-c_Vv)^2+'P3 Energie'!E13+'P3 Energie'!E15+'P3 Energie'!E6*$C$7</f>
        <v>18415.853556703</v>
      </c>
      <c r="E253" s="50" t="n">
        <f aca="false">D253*C253</f>
        <v>62409.2814977157</v>
      </c>
      <c r="F253" s="46" t="n">
        <v>245</v>
      </c>
      <c r="G253" s="47" t="n">
        <f aca="false">(F253-1)*$H$6</f>
        <v>0.440501209501416</v>
      </c>
      <c r="H253" s="48" t="n">
        <f aca="false">$H$7*G253</f>
        <v>3.38888888888889</v>
      </c>
      <c r="I253" s="49" t="n">
        <f aca="false">0.5*c_rho*'P3 Energie'!F8*'P3 Energie'!F7*(H253-c_Vv)^2+'P3 Energie'!F13+'P3 Energie'!F15+'P3 Energie'!F6*$H$7</f>
        <v>19243.1209423</v>
      </c>
      <c r="J253" s="50" t="n">
        <f aca="false">I253*H253</f>
        <v>65212.7987489056</v>
      </c>
    </row>
    <row r="254" customFormat="false" ht="15" hidden="false" customHeight="false" outlineLevel="0" collapsed="false">
      <c r="A254" s="46" t="n">
        <v>246</v>
      </c>
      <c r="B254" s="47" t="n">
        <f aca="false">(A254-1)*$C$6</f>
        <v>0.442622643226109</v>
      </c>
      <c r="C254" s="48" t="n">
        <f aca="false">$C$7*B254</f>
        <v>3.40277777777778</v>
      </c>
      <c r="D254" s="49" t="n">
        <f aca="false">0.5*c_rho*'P3 Energie'!E8*'P3 Energie'!E7*(C254-c_Vv)^2+'P3 Energie'!E13+'P3 Energie'!E15+'P3 Energie'!E6*$C$7</f>
        <v>18415.8912352408</v>
      </c>
      <c r="E254" s="50" t="n">
        <f aca="false">D254*C254</f>
        <v>62665.18545325</v>
      </c>
      <c r="F254" s="46" t="n">
        <v>246</v>
      </c>
      <c r="G254" s="47" t="n">
        <f aca="false">(F254-1)*$H$6</f>
        <v>0.442306542327242</v>
      </c>
      <c r="H254" s="48" t="n">
        <f aca="false">$H$7*G254</f>
        <v>3.40277777777778</v>
      </c>
      <c r="I254" s="49" t="n">
        <f aca="false">0.5*c_rho*'P3 Energie'!F8*'P3 Energie'!F7*(H254-c_Vv)^2+'P3 Energie'!F13+'P3 Energie'!F15+'P3 Energie'!F6*$H$7</f>
        <v>19243.1536782465</v>
      </c>
      <c r="J254" s="50" t="n">
        <f aca="false">I254*H254</f>
        <v>65480.1757107</v>
      </c>
    </row>
    <row r="255" customFormat="false" ht="15" hidden="false" customHeight="false" outlineLevel="0" collapsed="false">
      <c r="A255" s="46" t="n">
        <v>247</v>
      </c>
      <c r="B255" s="47" t="n">
        <f aca="false">(A255-1)*$C$6</f>
        <v>0.444429266259685</v>
      </c>
      <c r="C255" s="48" t="n">
        <f aca="false">$C$7*B255</f>
        <v>3.41666666666667</v>
      </c>
      <c r="D255" s="49" t="n">
        <f aca="false">0.5*c_rho*'P3 Energie'!E8*'P3 Energie'!E7*(C255-c_Vv)^2+'P3 Energie'!E13+'P3 Energie'!E15+'P3 Energie'!E6*$C$7</f>
        <v>18415.9290678831</v>
      </c>
      <c r="E255" s="50" t="n">
        <f aca="false">D255*C255</f>
        <v>62921.0909819338</v>
      </c>
      <c r="F255" s="46" t="n">
        <v>247</v>
      </c>
      <c r="G255" s="47" t="n">
        <f aca="false">(F255-1)*$H$6</f>
        <v>0.444111875153067</v>
      </c>
      <c r="H255" s="48" t="n">
        <f aca="false">$H$7*G255</f>
        <v>3.41666666666667</v>
      </c>
      <c r="I255" s="49" t="n">
        <f aca="false">0.5*c_rho*'P3 Energie'!F8*'P3 Energie'!F7*(H255-c_Vv)^2+'P3 Energie'!F13+'P3 Energie'!F15+'P3 Energie'!F6*$H$7</f>
        <v>19243.1865480824</v>
      </c>
      <c r="J255" s="50" t="n">
        <f aca="false">I255*H255</f>
        <v>65747.5540392816</v>
      </c>
    </row>
    <row r="256" customFormat="false" ht="15" hidden="false" customHeight="false" outlineLevel="0" collapsed="false">
      <c r="A256" s="46" t="n">
        <v>248</v>
      </c>
      <c r="B256" s="47" t="n">
        <f aca="false">(A256-1)*$C$6</f>
        <v>0.44623588929326</v>
      </c>
      <c r="C256" s="48" t="n">
        <f aca="false">$C$7*B256</f>
        <v>3.43055555555556</v>
      </c>
      <c r="D256" s="49" t="n">
        <f aca="false">0.5*c_rho*'P3 Energie'!E8*'P3 Energie'!E7*(C256-c_Vv)^2+'P3 Energie'!E13+'P3 Energie'!E15+'P3 Energie'!E6*$C$7</f>
        <v>18415.9670546298</v>
      </c>
      <c r="E256" s="50" t="n">
        <f aca="false">D256*C256</f>
        <v>63176.9980901882</v>
      </c>
      <c r="F256" s="46" t="n">
        <v>248</v>
      </c>
      <c r="G256" s="47" t="n">
        <f aca="false">(F256-1)*$H$6</f>
        <v>0.445917207978892</v>
      </c>
      <c r="H256" s="48" t="n">
        <f aca="false">$H$7*G256</f>
        <v>3.43055555555556</v>
      </c>
      <c r="I256" s="49" t="n">
        <f aca="false">0.5*c_rho*'P3 Energie'!F8*'P3 Energie'!F7*(H256-c_Vv)^2+'P3 Energie'!F13+'P3 Energie'!F15+'P3 Energie'!F6*$H$7</f>
        <v>19243.2195518076</v>
      </c>
      <c r="J256" s="50" t="n">
        <f aca="false">I256*H256</f>
        <v>66014.933740229</v>
      </c>
    </row>
    <row r="257" customFormat="false" ht="15" hidden="false" customHeight="false" outlineLevel="0" collapsed="false">
      <c r="A257" s="46" t="n">
        <v>249</v>
      </c>
      <c r="B257" s="47" t="n">
        <f aca="false">(A257-1)*$C$6</f>
        <v>0.448042512326836</v>
      </c>
      <c r="C257" s="48" t="n">
        <f aca="false">$C$7*B257</f>
        <v>3.44444444444444</v>
      </c>
      <c r="D257" s="49" t="n">
        <f aca="false">0.5*c_rho*'P3 Energie'!E8*'P3 Energie'!E7*(C257-c_Vv)^2+'P3 Energie'!E13+'P3 Energie'!E15+'P3 Energie'!E6*$C$7</f>
        <v>18416.0051954809</v>
      </c>
      <c r="E257" s="50" t="n">
        <f aca="false">D257*C257</f>
        <v>63432.9067844342</v>
      </c>
      <c r="F257" s="46" t="n">
        <v>249</v>
      </c>
      <c r="G257" s="47" t="n">
        <f aca="false">(F257-1)*$H$6</f>
        <v>0.447722540804718</v>
      </c>
      <c r="H257" s="48" t="n">
        <f aca="false">$H$7*G257</f>
        <v>3.44444444444444</v>
      </c>
      <c r="I257" s="49" t="n">
        <f aca="false">0.5*c_rho*'P3 Energie'!F8*'P3 Energie'!F7*(H257-c_Vv)^2+'P3 Energie'!F13+'P3 Energie'!F15+'P3 Energie'!F6*$H$7</f>
        <v>19243.2526894222</v>
      </c>
      <c r="J257" s="50" t="n">
        <f aca="false">I257*H257</f>
        <v>66282.314819121</v>
      </c>
    </row>
    <row r="258" customFormat="false" ht="15" hidden="false" customHeight="false" outlineLevel="0" collapsed="false">
      <c r="A258" s="46" t="n">
        <v>250</v>
      </c>
      <c r="B258" s="47" t="n">
        <f aca="false">(A258-1)*$C$6</f>
        <v>0.449849135360412</v>
      </c>
      <c r="C258" s="48" t="n">
        <f aca="false">$C$7*B258</f>
        <v>3.45833333333333</v>
      </c>
      <c r="D258" s="49" t="n">
        <f aca="false">0.5*c_rho*'P3 Energie'!E8*'P3 Energie'!E7*(C258-c_Vv)^2+'P3 Energie'!E13+'P3 Energie'!E15+'P3 Energie'!E6*$C$7</f>
        <v>18416.0434904365</v>
      </c>
      <c r="E258" s="50" t="n">
        <f aca="false">D258*C258</f>
        <v>63688.8170710929</v>
      </c>
      <c r="F258" s="46" t="n">
        <v>250</v>
      </c>
      <c r="G258" s="47" t="n">
        <f aca="false">(F258-1)*$H$6</f>
        <v>0.449527873630543</v>
      </c>
      <c r="H258" s="48" t="n">
        <f aca="false">$H$7*G258</f>
        <v>3.45833333333333</v>
      </c>
      <c r="I258" s="49" t="n">
        <f aca="false">0.5*c_rho*'P3 Energie'!F8*'P3 Energie'!F7*(H258-c_Vv)^2+'P3 Energie'!F13+'P3 Energie'!F15+'P3 Energie'!F6*$H$7</f>
        <v>19243.2859609262</v>
      </c>
      <c r="J258" s="50" t="n">
        <f aca="false">I258*H258</f>
        <v>66549.6972815363</v>
      </c>
    </row>
    <row r="259" customFormat="false" ht="15" hidden="false" customHeight="false" outlineLevel="0" collapsed="false">
      <c r="A259" s="46" t="n">
        <v>251</v>
      </c>
      <c r="B259" s="47" t="n">
        <f aca="false">(A259-1)*$C$6</f>
        <v>0.451655758393988</v>
      </c>
      <c r="C259" s="48" t="n">
        <f aca="false">$C$7*B259</f>
        <v>3.47222222222222</v>
      </c>
      <c r="D259" s="49" t="n">
        <f aca="false">0.5*c_rho*'P3 Energie'!E8*'P3 Energie'!E7*(C259-c_Vv)^2+'P3 Energie'!E13+'P3 Energie'!E15+'P3 Energie'!E6*$C$7</f>
        <v>18416.0819394965</v>
      </c>
      <c r="E259" s="50" t="n">
        <f aca="false">D259*C259</f>
        <v>63944.7289565852</v>
      </c>
      <c r="F259" s="46" t="n">
        <v>251</v>
      </c>
      <c r="G259" s="47" t="n">
        <f aca="false">(F259-1)*$H$6</f>
        <v>0.451333206456369</v>
      </c>
      <c r="H259" s="48" t="n">
        <f aca="false">$H$7*G259</f>
        <v>3.47222222222222</v>
      </c>
      <c r="I259" s="49" t="n">
        <f aca="false">0.5*c_rho*'P3 Energie'!F8*'P3 Energie'!F7*(H259-c_Vv)^2+'P3 Energie'!F13+'P3 Energie'!F15+'P3 Energie'!F6*$H$7</f>
        <v>19243.3193663194</v>
      </c>
      <c r="J259" s="50" t="n">
        <f aca="false">I259*H259</f>
        <v>66817.0811330536</v>
      </c>
    </row>
    <row r="260" customFormat="false" ht="15" hidden="false" customHeight="false" outlineLevel="0" collapsed="false">
      <c r="A260" s="46" t="n">
        <v>252</v>
      </c>
      <c r="B260" s="47" t="n">
        <f aca="false">(A260-1)*$C$6</f>
        <v>0.453462381427564</v>
      </c>
      <c r="C260" s="48" t="n">
        <f aca="false">$C$7*B260</f>
        <v>3.48611111111111</v>
      </c>
      <c r="D260" s="49" t="n">
        <f aca="false">0.5*c_rho*'P3 Energie'!E8*'P3 Energie'!E7*(C260-c_Vv)^2+'P3 Energie'!E13+'P3 Energie'!E15+'P3 Energie'!E6*$C$7</f>
        <v>18416.120542661</v>
      </c>
      <c r="E260" s="50" t="n">
        <f aca="false">D260*C260</f>
        <v>64200.6424473322</v>
      </c>
      <c r="F260" s="46" t="n">
        <v>252</v>
      </c>
      <c r="G260" s="47" t="n">
        <f aca="false">(F260-1)*$H$6</f>
        <v>0.453138539282194</v>
      </c>
      <c r="H260" s="48" t="n">
        <f aca="false">$H$7*G260</f>
        <v>3.48611111111111</v>
      </c>
      <c r="I260" s="49" t="n">
        <f aca="false">0.5*c_rho*'P3 Energie'!F8*'P3 Energie'!F7*(H260-c_Vv)^2+'P3 Energie'!F13+'P3 Energie'!F15+'P3 Energie'!F6*$H$7</f>
        <v>19243.3529056021</v>
      </c>
      <c r="J260" s="50" t="n">
        <f aca="false">I260*H260</f>
        <v>67084.4663792517</v>
      </c>
    </row>
    <row r="261" customFormat="false" ht="15" hidden="false" customHeight="false" outlineLevel="0" collapsed="false">
      <c r="A261" s="46" t="n">
        <v>253</v>
      </c>
      <c r="B261" s="47" t="n">
        <f aca="false">(A261-1)*$C$6</f>
        <v>0.45526900446114</v>
      </c>
      <c r="C261" s="48" t="n">
        <f aca="false">$C$7*B261</f>
        <v>3.5</v>
      </c>
      <c r="D261" s="49" t="n">
        <f aca="false">0.5*c_rho*'P3 Energie'!E8*'P3 Energie'!E7*(C261-c_Vv)^2+'P3 Energie'!E13+'P3 Energie'!E15+'P3 Energie'!E6*$C$7</f>
        <v>18416.15929993</v>
      </c>
      <c r="E261" s="50" t="n">
        <f aca="false">D261*C261</f>
        <v>64456.5575497549</v>
      </c>
      <c r="F261" s="46" t="n">
        <v>253</v>
      </c>
      <c r="G261" s="47" t="n">
        <f aca="false">(F261-1)*$H$6</f>
        <v>0.45494387210802</v>
      </c>
      <c r="H261" s="48" t="n">
        <f aca="false">$H$7*G261</f>
        <v>3.5</v>
      </c>
      <c r="I261" s="49" t="n">
        <f aca="false">0.5*c_rho*'P3 Energie'!F8*'P3 Energie'!F7*(H261-c_Vv)^2+'P3 Energie'!F13+'P3 Energie'!F15+'P3 Energie'!F6*$H$7</f>
        <v>19243.3865787741</v>
      </c>
      <c r="J261" s="50" t="n">
        <f aca="false">I261*H261</f>
        <v>67351.8530257093</v>
      </c>
    </row>
    <row r="262" customFormat="false" ht="15" hidden="false" customHeight="false" outlineLevel="0" collapsed="false">
      <c r="A262" s="46" t="n">
        <v>254</v>
      </c>
      <c r="B262" s="47" t="n">
        <f aca="false">(A262-1)*$C$6</f>
        <v>0.457075627494716</v>
      </c>
      <c r="C262" s="48" t="n">
        <f aca="false">$C$7*B262</f>
        <v>3.51388888888889</v>
      </c>
      <c r="D262" s="49" t="n">
        <f aca="false">0.5*c_rho*'P3 Energie'!E8*'P3 Energie'!E7*(C262-c_Vv)^2+'P3 Energie'!E13+'P3 Energie'!E15+'P3 Energie'!E6*$C$7</f>
        <v>18416.1982113034</v>
      </c>
      <c r="E262" s="50" t="n">
        <f aca="false">D262*C262</f>
        <v>64712.4742702743</v>
      </c>
      <c r="F262" s="46" t="n">
        <v>254</v>
      </c>
      <c r="G262" s="47" t="n">
        <f aca="false">(F262-1)*$H$6</f>
        <v>0.456749204933845</v>
      </c>
      <c r="H262" s="48" t="n">
        <f aca="false">$H$7*G262</f>
        <v>3.51388888888889</v>
      </c>
      <c r="I262" s="49" t="n">
        <f aca="false">0.5*c_rho*'P3 Energie'!F8*'P3 Energie'!F7*(H262-c_Vv)^2+'P3 Energie'!F13+'P3 Energie'!F15+'P3 Energie'!F6*$H$7</f>
        <v>19243.4203858354</v>
      </c>
      <c r="J262" s="50" t="n">
        <f aca="false">I262*H262</f>
        <v>67619.241078005</v>
      </c>
    </row>
    <row r="263" customFormat="false" ht="15" hidden="false" customHeight="false" outlineLevel="0" collapsed="false">
      <c r="A263" s="46" t="n">
        <v>255</v>
      </c>
      <c r="B263" s="47" t="n">
        <f aca="false">(A263-1)*$C$6</f>
        <v>0.458882250528292</v>
      </c>
      <c r="C263" s="48" t="n">
        <f aca="false">$C$7*B263</f>
        <v>3.52777777777778</v>
      </c>
      <c r="D263" s="49" t="n">
        <f aca="false">0.5*c_rho*'P3 Energie'!E8*'P3 Energie'!E7*(C263-c_Vv)^2+'P3 Energie'!E13+'P3 Energie'!E15+'P3 Energie'!E6*$C$7</f>
        <v>18416.2372767812</v>
      </c>
      <c r="E263" s="50" t="n">
        <f aca="false">D263*C263</f>
        <v>64968.3926153114</v>
      </c>
      <c r="F263" s="46" t="n">
        <v>255</v>
      </c>
      <c r="G263" s="47" t="n">
        <f aca="false">(F263-1)*$H$6</f>
        <v>0.458554537759671</v>
      </c>
      <c r="H263" s="48" t="n">
        <f aca="false">$H$7*G263</f>
        <v>3.52777777777778</v>
      </c>
      <c r="I263" s="49" t="n">
        <f aca="false">0.5*c_rho*'P3 Energie'!F8*'P3 Energie'!F7*(H263-c_Vv)^2+'P3 Energie'!F13+'P3 Energie'!F15+'P3 Energie'!F6*$H$7</f>
        <v>19243.4543267861</v>
      </c>
      <c r="J263" s="50" t="n">
        <f aca="false">I263*H263</f>
        <v>67886.6305417177</v>
      </c>
    </row>
    <row r="264" customFormat="false" ht="15" hidden="false" customHeight="false" outlineLevel="0" collapsed="false">
      <c r="A264" s="46" t="n">
        <v>256</v>
      </c>
      <c r="B264" s="47" t="n">
        <f aca="false">(A264-1)*$C$6</f>
        <v>0.460688873561868</v>
      </c>
      <c r="C264" s="48" t="n">
        <f aca="false">$C$7*B264</f>
        <v>3.54166666666667</v>
      </c>
      <c r="D264" s="49" t="n">
        <f aca="false">0.5*c_rho*'P3 Energie'!E8*'P3 Energie'!E7*(C264-c_Vv)^2+'P3 Energie'!E13+'P3 Energie'!E15+'P3 Energie'!E6*$C$7</f>
        <v>18416.2764963635</v>
      </c>
      <c r="E264" s="50" t="n">
        <f aca="false">D264*C264</f>
        <v>65224.3125912874</v>
      </c>
      <c r="F264" s="46" t="n">
        <v>256</v>
      </c>
      <c r="G264" s="47" t="n">
        <f aca="false">(F264-1)*$H$6</f>
        <v>0.460359870585496</v>
      </c>
      <c r="H264" s="48" t="n">
        <f aca="false">$H$7*G264</f>
        <v>3.54166666666667</v>
      </c>
      <c r="I264" s="49" t="n">
        <f aca="false">0.5*c_rho*'P3 Energie'!F8*'P3 Energie'!F7*(H264-c_Vv)^2+'P3 Energie'!F13+'P3 Energie'!F15+'P3 Energie'!F6*$H$7</f>
        <v>19243.4884016262</v>
      </c>
      <c r="J264" s="50" t="n">
        <f aca="false">I264*H264</f>
        <v>68154.021422426</v>
      </c>
    </row>
    <row r="265" customFormat="false" ht="15" hidden="false" customHeight="false" outlineLevel="0" collapsed="false">
      <c r="A265" s="46" t="n">
        <v>257</v>
      </c>
      <c r="B265" s="47" t="n">
        <f aca="false">(A265-1)*$C$6</f>
        <v>0.462495496595444</v>
      </c>
      <c r="C265" s="48" t="n">
        <f aca="false">$C$7*B265</f>
        <v>3.55555555555556</v>
      </c>
      <c r="D265" s="49" t="n">
        <f aca="false">0.5*c_rho*'P3 Energie'!E8*'P3 Energie'!E7*(C265-c_Vv)^2+'P3 Energie'!E13+'P3 Energie'!E15+'P3 Energie'!E6*$C$7</f>
        <v>18416.3158700502</v>
      </c>
      <c r="E265" s="50" t="n">
        <f aca="false">D265*C265</f>
        <v>65480.234204623</v>
      </c>
      <c r="F265" s="46" t="n">
        <v>257</v>
      </c>
      <c r="G265" s="47" t="n">
        <f aca="false">(F265-1)*$H$6</f>
        <v>0.462165203411322</v>
      </c>
      <c r="H265" s="48" t="n">
        <f aca="false">$H$7*G265</f>
        <v>3.55555555555556</v>
      </c>
      <c r="I265" s="49" t="n">
        <f aca="false">0.5*c_rho*'P3 Energie'!F8*'P3 Energie'!F7*(H265-c_Vv)^2+'P3 Energie'!F13+'P3 Energie'!F15+'P3 Energie'!F6*$H$7</f>
        <v>19243.5226103556</v>
      </c>
      <c r="J265" s="50" t="n">
        <f aca="false">I265*H265</f>
        <v>68421.4137257087</v>
      </c>
    </row>
    <row r="266" customFormat="false" ht="15" hidden="false" customHeight="false" outlineLevel="0" collapsed="false">
      <c r="A266" s="46" t="n">
        <v>258</v>
      </c>
      <c r="B266" s="47" t="n">
        <f aca="false">(A266-1)*$C$6</f>
        <v>0.46430211962902</v>
      </c>
      <c r="C266" s="48" t="n">
        <f aca="false">$C$7*B266</f>
        <v>3.56944444444444</v>
      </c>
      <c r="D266" s="49" t="n">
        <f aca="false">0.5*c_rho*'P3 Energie'!E8*'P3 Energie'!E7*(C266-c_Vv)^2+'P3 Energie'!E13+'P3 Energie'!E15+'P3 Energie'!E6*$C$7</f>
        <v>18416.3553978414</v>
      </c>
      <c r="E266" s="50" t="n">
        <f aca="false">D266*C266</f>
        <v>65736.1574617395</v>
      </c>
      <c r="F266" s="46" t="n">
        <v>258</v>
      </c>
      <c r="G266" s="47" t="n">
        <f aca="false">(F266-1)*$H$6</f>
        <v>0.463970536237147</v>
      </c>
      <c r="H266" s="48" t="n">
        <f aca="false">$H$7*G266</f>
        <v>3.56944444444444</v>
      </c>
      <c r="I266" s="49" t="n">
        <f aca="false">0.5*c_rho*'P3 Energie'!F8*'P3 Energie'!F7*(H266-c_Vv)^2+'P3 Energie'!F13+'P3 Energie'!F15+'P3 Energie'!F6*$H$7</f>
        <v>19243.5569529743</v>
      </c>
      <c r="J266" s="50" t="n">
        <f aca="false">I266*H266</f>
        <v>68688.8074571444</v>
      </c>
    </row>
    <row r="267" customFormat="false" ht="15" hidden="false" customHeight="false" outlineLevel="0" collapsed="false">
      <c r="A267" s="46" t="n">
        <v>259</v>
      </c>
      <c r="B267" s="47" t="n">
        <f aca="false">(A267-1)*$C$6</f>
        <v>0.466108742662596</v>
      </c>
      <c r="C267" s="48" t="n">
        <f aca="false">$C$7*B267</f>
        <v>3.58333333333333</v>
      </c>
      <c r="D267" s="49" t="n">
        <f aca="false">0.5*c_rho*'P3 Energie'!E8*'P3 Energie'!E7*(C267-c_Vv)^2+'P3 Energie'!E13+'P3 Energie'!E15+'P3 Energie'!E6*$C$7</f>
        <v>18416.3950797371</v>
      </c>
      <c r="E267" s="50" t="n">
        <f aca="false">D267*C267</f>
        <v>65992.0823690578</v>
      </c>
      <c r="F267" s="46" t="n">
        <v>259</v>
      </c>
      <c r="G267" s="47" t="n">
        <f aca="false">(F267-1)*$H$6</f>
        <v>0.465775869062973</v>
      </c>
      <c r="H267" s="48" t="n">
        <f aca="false">$H$7*G267</f>
        <v>3.58333333333333</v>
      </c>
      <c r="I267" s="49" t="n">
        <f aca="false">0.5*c_rho*'P3 Energie'!F8*'P3 Energie'!F7*(H267-c_Vv)^2+'P3 Energie'!F13+'P3 Energie'!F15+'P3 Energie'!F6*$H$7</f>
        <v>19243.5914294824</v>
      </c>
      <c r="J267" s="50" t="n">
        <f aca="false">I267*H267</f>
        <v>68956.202622312</v>
      </c>
    </row>
    <row r="268" customFormat="false" ht="15" hidden="false" customHeight="false" outlineLevel="0" collapsed="false">
      <c r="A268" s="46" t="n">
        <v>260</v>
      </c>
      <c r="B268" s="47" t="n">
        <f aca="false">(A268-1)*$C$6</f>
        <v>0.467915365696172</v>
      </c>
      <c r="C268" s="48" t="n">
        <f aca="false">$C$7*B268</f>
        <v>3.59722222222222</v>
      </c>
      <c r="D268" s="49" t="n">
        <f aca="false">0.5*c_rho*'P3 Energie'!E8*'P3 Energie'!E7*(C268-c_Vv)^2+'P3 Energie'!E13+'P3 Energie'!E15+'P3 Energie'!E6*$C$7</f>
        <v>18416.4349157371</v>
      </c>
      <c r="E268" s="50" t="n">
        <f aca="false">D268*C268</f>
        <v>66248.0089329989</v>
      </c>
      <c r="F268" s="46" t="n">
        <v>260</v>
      </c>
      <c r="G268" s="47" t="n">
        <f aca="false">(F268-1)*$H$6</f>
        <v>0.467581201888798</v>
      </c>
      <c r="H268" s="48" t="n">
        <f aca="false">$H$7*G268</f>
        <v>3.59722222222222</v>
      </c>
      <c r="I268" s="49" t="n">
        <f aca="false">0.5*c_rho*'P3 Energie'!F8*'P3 Energie'!F7*(H268-c_Vv)^2+'P3 Energie'!F13+'P3 Energie'!F15+'P3 Energie'!F6*$H$7</f>
        <v>19243.6260398799</v>
      </c>
      <c r="J268" s="50" t="n">
        <f aca="false">I268*H268</f>
        <v>69223.5992267901</v>
      </c>
    </row>
    <row r="269" customFormat="false" ht="15" hidden="false" customHeight="false" outlineLevel="0" collapsed="false">
      <c r="A269" s="46" t="n">
        <v>261</v>
      </c>
      <c r="B269" s="47" t="n">
        <f aca="false">(A269-1)*$C$6</f>
        <v>0.469721988729748</v>
      </c>
      <c r="C269" s="48" t="n">
        <f aca="false">$C$7*B269</f>
        <v>3.61111111111111</v>
      </c>
      <c r="D269" s="49" t="n">
        <f aca="false">0.5*c_rho*'P3 Energie'!E8*'P3 Energie'!E7*(C269-c_Vv)^2+'P3 Energie'!E13+'P3 Energie'!E15+'P3 Energie'!E6*$C$7</f>
        <v>18416.4749058417</v>
      </c>
      <c r="E269" s="50" t="n">
        <f aca="false">D269*C269</f>
        <v>66503.9371599838</v>
      </c>
      <c r="F269" s="46" t="n">
        <v>261</v>
      </c>
      <c r="G269" s="47" t="n">
        <f aca="false">(F269-1)*$H$6</f>
        <v>0.469386534714624</v>
      </c>
      <c r="H269" s="48" t="n">
        <f aca="false">$H$7*G269</f>
        <v>3.61111111111111</v>
      </c>
      <c r="I269" s="49" t="n">
        <f aca="false">0.5*c_rho*'P3 Energie'!F8*'P3 Energie'!F7*(H269-c_Vv)^2+'P3 Energie'!F13+'P3 Energie'!F15+'P3 Energie'!F6*$H$7</f>
        <v>19243.6607841667</v>
      </c>
      <c r="J269" s="50" t="n">
        <f aca="false">I269*H269</f>
        <v>69490.9972761574</v>
      </c>
    </row>
    <row r="270" customFormat="false" ht="15" hidden="false" customHeight="false" outlineLevel="0" collapsed="false">
      <c r="A270" s="46" t="n">
        <v>262</v>
      </c>
      <c r="B270" s="47" t="n">
        <f aca="false">(A270-1)*$C$6</f>
        <v>0.471528611763324</v>
      </c>
      <c r="C270" s="48" t="n">
        <f aca="false">$C$7*B270</f>
        <v>3.625</v>
      </c>
      <c r="D270" s="49" t="n">
        <f aca="false">0.5*c_rho*'P3 Energie'!E8*'P3 Energie'!E7*(C270-c_Vv)^2+'P3 Energie'!E13+'P3 Energie'!E15+'P3 Energie'!E6*$C$7</f>
        <v>18416.5150500507</v>
      </c>
      <c r="E270" s="50" t="n">
        <f aca="false">D270*C270</f>
        <v>66759.8670564336</v>
      </c>
      <c r="F270" s="46" t="n">
        <v>262</v>
      </c>
      <c r="G270" s="47" t="n">
        <f aca="false">(F270-1)*$H$6</f>
        <v>0.471191867540449</v>
      </c>
      <c r="H270" s="48" t="n">
        <f aca="false">$H$7*G270</f>
        <v>3.625</v>
      </c>
      <c r="I270" s="49" t="n">
        <f aca="false">0.5*c_rho*'P3 Energie'!F8*'P3 Energie'!F7*(H270-c_Vv)^2+'P3 Energie'!F13+'P3 Energie'!F15+'P3 Energie'!F6*$H$7</f>
        <v>19243.6956623428</v>
      </c>
      <c r="J270" s="50" t="n">
        <f aca="false">I270*H270</f>
        <v>69758.3967759928</v>
      </c>
    </row>
    <row r="271" customFormat="false" ht="15" hidden="false" customHeight="false" outlineLevel="0" collapsed="false">
      <c r="A271" s="46" t="n">
        <v>263</v>
      </c>
      <c r="B271" s="47" t="n">
        <f aca="false">(A271-1)*$C$6</f>
        <v>0.4733352347969</v>
      </c>
      <c r="C271" s="48" t="n">
        <f aca="false">$C$7*B271</f>
        <v>3.63888888888889</v>
      </c>
      <c r="D271" s="49" t="n">
        <f aca="false">0.5*c_rho*'P3 Energie'!E8*'P3 Energie'!E7*(C271-c_Vv)^2+'P3 Energie'!E13+'P3 Energie'!E15+'P3 Energie'!E6*$C$7</f>
        <v>18416.5553483641</v>
      </c>
      <c r="E271" s="50" t="n">
        <f aca="false">D271*C271</f>
        <v>67015.7986287693</v>
      </c>
      <c r="F271" s="46" t="n">
        <v>263</v>
      </c>
      <c r="G271" s="47" t="n">
        <f aca="false">(F271-1)*$H$6</f>
        <v>0.472997200366275</v>
      </c>
      <c r="H271" s="48" t="n">
        <f aca="false">$H$7*G271</f>
        <v>3.63888888888889</v>
      </c>
      <c r="I271" s="49" t="n">
        <f aca="false">0.5*c_rho*'P3 Energie'!F8*'P3 Energie'!F7*(H271-c_Vv)^2+'P3 Energie'!F13+'P3 Energie'!F15+'P3 Energie'!F6*$H$7</f>
        <v>19243.7306744083</v>
      </c>
      <c r="J271" s="50" t="n">
        <f aca="false">I271*H271</f>
        <v>70025.7977318748</v>
      </c>
    </row>
    <row r="272" customFormat="false" ht="15" hidden="false" customHeight="false" outlineLevel="0" collapsed="false">
      <c r="A272" s="46" t="n">
        <v>264</v>
      </c>
      <c r="B272" s="47" t="n">
        <f aca="false">(A272-1)*$C$6</f>
        <v>0.475141857830476</v>
      </c>
      <c r="C272" s="48" t="n">
        <f aca="false">$C$7*B272</f>
        <v>3.65277777777778</v>
      </c>
      <c r="D272" s="49" t="n">
        <f aca="false">0.5*c_rho*'P3 Energie'!E8*'P3 Energie'!E7*(C272-c_Vv)^2+'P3 Energie'!E13+'P3 Energie'!E15+'P3 Energie'!E6*$C$7</f>
        <v>18416.595800782</v>
      </c>
      <c r="E272" s="50" t="n">
        <f aca="false">D272*C272</f>
        <v>67271.7318834119</v>
      </c>
      <c r="F272" s="46" t="n">
        <v>264</v>
      </c>
      <c r="G272" s="47" t="n">
        <f aca="false">(F272-1)*$H$6</f>
        <v>0.4748025331921</v>
      </c>
      <c r="H272" s="48" t="n">
        <f aca="false">$H$7*G272</f>
        <v>3.65277777777778</v>
      </c>
      <c r="I272" s="49" t="n">
        <f aca="false">0.5*c_rho*'P3 Energie'!F8*'P3 Energie'!F7*(H272-c_Vv)^2+'P3 Energie'!F13+'P3 Energie'!F15+'P3 Energie'!F6*$H$7</f>
        <v>19243.7658203632</v>
      </c>
      <c r="J272" s="50" t="n">
        <f aca="false">I272*H272</f>
        <v>70293.2001493822</v>
      </c>
    </row>
    <row r="273" customFormat="false" ht="15" hidden="false" customHeight="false" outlineLevel="0" collapsed="false">
      <c r="A273" s="46" t="n">
        <v>265</v>
      </c>
      <c r="B273" s="47" t="n">
        <f aca="false">(A273-1)*$C$6</f>
        <v>0.476948480864052</v>
      </c>
      <c r="C273" s="48" t="n">
        <f aca="false">$C$7*B273</f>
        <v>3.66666666666667</v>
      </c>
      <c r="D273" s="49" t="n">
        <f aca="false">0.5*c_rho*'P3 Energie'!E8*'P3 Energie'!E7*(C273-c_Vv)^2+'P3 Energie'!E13+'P3 Energie'!E15+'P3 Energie'!E6*$C$7</f>
        <v>18416.6364073043</v>
      </c>
      <c r="E273" s="50" t="n">
        <f aca="false">D273*C273</f>
        <v>67527.6668267824</v>
      </c>
      <c r="F273" s="46" t="n">
        <v>265</v>
      </c>
      <c r="G273" s="47" t="n">
        <f aca="false">(F273-1)*$H$6</f>
        <v>0.476607866017926</v>
      </c>
      <c r="H273" s="48" t="n">
        <f aca="false">$H$7*G273</f>
        <v>3.66666666666667</v>
      </c>
      <c r="I273" s="49" t="n">
        <f aca="false">0.5*c_rho*'P3 Energie'!F8*'P3 Energie'!F7*(H273-c_Vv)^2+'P3 Energie'!F13+'P3 Energie'!F15+'P3 Energie'!F6*$H$7</f>
        <v>19243.8011002074</v>
      </c>
      <c r="J273" s="50" t="n">
        <f aca="false">I273*H273</f>
        <v>70560.6040340938</v>
      </c>
    </row>
    <row r="274" customFormat="false" ht="15" hidden="false" customHeight="false" outlineLevel="0" collapsed="false">
      <c r="A274" s="46" t="n">
        <v>266</v>
      </c>
      <c r="B274" s="47" t="n">
        <f aca="false">(A274-1)*$C$6</f>
        <v>0.478755103897628</v>
      </c>
      <c r="C274" s="48" t="n">
        <f aca="false">$C$7*B274</f>
        <v>3.68055555555556</v>
      </c>
      <c r="D274" s="49" t="n">
        <f aca="false">0.5*c_rho*'P3 Energie'!E8*'P3 Energie'!E7*(C274-c_Vv)^2+'P3 Energie'!E13+'P3 Energie'!E15+'P3 Energie'!E6*$C$7</f>
        <v>18416.6771679311</v>
      </c>
      <c r="E274" s="50" t="n">
        <f aca="false">D274*C274</f>
        <v>67783.6034653019</v>
      </c>
      <c r="F274" s="46" t="n">
        <v>266</v>
      </c>
      <c r="G274" s="47" t="n">
        <f aca="false">(F274-1)*$H$6</f>
        <v>0.478413198843751</v>
      </c>
      <c r="H274" s="48" t="n">
        <f aca="false">$H$7*G274</f>
        <v>3.68055555555556</v>
      </c>
      <c r="I274" s="49" t="n">
        <f aca="false">0.5*c_rho*'P3 Energie'!F8*'P3 Energie'!F7*(H274-c_Vv)^2+'P3 Energie'!F13+'P3 Energie'!F15+'P3 Energie'!F6*$H$7</f>
        <v>19243.836513941</v>
      </c>
      <c r="J274" s="50" t="n">
        <f aca="false">I274*H274</f>
        <v>70828.0093915883</v>
      </c>
    </row>
    <row r="275" customFormat="false" ht="15" hidden="false" customHeight="false" outlineLevel="0" collapsed="false">
      <c r="A275" s="46" t="n">
        <v>267</v>
      </c>
      <c r="B275" s="47" t="n">
        <f aca="false">(A275-1)*$C$6</f>
        <v>0.480561726931204</v>
      </c>
      <c r="C275" s="48" t="n">
        <f aca="false">$C$7*B275</f>
        <v>3.69444444444444</v>
      </c>
      <c r="D275" s="49" t="n">
        <f aca="false">0.5*c_rho*'P3 Energie'!E8*'P3 Energie'!E7*(C275-c_Vv)^2+'P3 Energie'!E13+'P3 Energie'!E15+'P3 Energie'!E6*$C$7</f>
        <v>18416.7180826623</v>
      </c>
      <c r="E275" s="50" t="n">
        <f aca="false">D275*C275</f>
        <v>68039.5418053913</v>
      </c>
      <c r="F275" s="46" t="n">
        <v>267</v>
      </c>
      <c r="G275" s="47" t="n">
        <f aca="false">(F275-1)*$H$6</f>
        <v>0.480218531669576</v>
      </c>
      <c r="H275" s="48" t="n">
        <f aca="false">$H$7*G275</f>
        <v>3.69444444444444</v>
      </c>
      <c r="I275" s="49" t="n">
        <f aca="false">0.5*c_rho*'P3 Energie'!F8*'P3 Energie'!F7*(H275-c_Vv)^2+'P3 Energie'!F13+'P3 Energie'!F15+'P3 Energie'!F6*$H$7</f>
        <v>19243.8720615639</v>
      </c>
      <c r="J275" s="50" t="n">
        <f aca="false">I275*H275</f>
        <v>71095.4162274444</v>
      </c>
    </row>
    <row r="276" customFormat="false" ht="15" hidden="false" customHeight="false" outlineLevel="0" collapsed="false">
      <c r="A276" s="46" t="n">
        <v>268</v>
      </c>
      <c r="B276" s="47" t="n">
        <f aca="false">(A276-1)*$C$6</f>
        <v>0.48236834996478</v>
      </c>
      <c r="C276" s="48" t="n">
        <f aca="false">$C$7*B276</f>
        <v>3.70833333333333</v>
      </c>
      <c r="D276" s="49" t="n">
        <f aca="false">0.5*c_rho*'P3 Energie'!E8*'P3 Energie'!E7*(C276-c_Vv)^2+'P3 Energie'!E13+'P3 Energie'!E15+'P3 Energie'!E6*$C$7</f>
        <v>18416.759151498</v>
      </c>
      <c r="E276" s="50" t="n">
        <f aca="false">D276*C276</f>
        <v>68295.4818534717</v>
      </c>
      <c r="F276" s="46" t="n">
        <v>268</v>
      </c>
      <c r="G276" s="47" t="n">
        <f aca="false">(F276-1)*$H$6</f>
        <v>0.482023864495402</v>
      </c>
      <c r="H276" s="48" t="n">
        <f aca="false">$H$7*G276</f>
        <v>3.70833333333333</v>
      </c>
      <c r="I276" s="49" t="n">
        <f aca="false">0.5*c_rho*'P3 Energie'!F8*'P3 Energie'!F7*(H276-c_Vv)^2+'P3 Energie'!F13+'P3 Energie'!F15+'P3 Energie'!F6*$H$7</f>
        <v>19243.9077430762</v>
      </c>
      <c r="J276" s="50" t="n">
        <f aca="false">I276*H276</f>
        <v>71362.8245472408</v>
      </c>
    </row>
    <row r="277" customFormat="false" ht="15" hidden="false" customHeight="false" outlineLevel="0" collapsed="false">
      <c r="A277" s="46" t="n">
        <v>269</v>
      </c>
      <c r="B277" s="47" t="n">
        <f aca="false">(A277-1)*$C$6</f>
        <v>0.484174972998356</v>
      </c>
      <c r="C277" s="48" t="n">
        <f aca="false">$C$7*B277</f>
        <v>3.72222222222222</v>
      </c>
      <c r="D277" s="49" t="n">
        <f aca="false">0.5*c_rho*'P3 Energie'!E8*'P3 Energie'!E7*(C277-c_Vv)^2+'P3 Energie'!E13+'P3 Energie'!E15+'P3 Energie'!E6*$C$7</f>
        <v>18416.8003744381</v>
      </c>
      <c r="E277" s="50" t="n">
        <f aca="false">D277*C277</f>
        <v>68551.4236159641</v>
      </c>
      <c r="F277" s="46" t="n">
        <v>269</v>
      </c>
      <c r="G277" s="47" t="n">
        <f aca="false">(F277-1)*$H$6</f>
        <v>0.483829197321227</v>
      </c>
      <c r="H277" s="48" t="n">
        <f aca="false">$H$7*G277</f>
        <v>3.72222222222222</v>
      </c>
      <c r="I277" s="49" t="n">
        <f aca="false">0.5*c_rho*'P3 Energie'!F8*'P3 Energie'!F7*(H277-c_Vv)^2+'P3 Energie'!F13+'P3 Energie'!F15+'P3 Energie'!F6*$H$7</f>
        <v>19243.9435584778</v>
      </c>
      <c r="J277" s="50" t="n">
        <f aca="false">I277*H277</f>
        <v>71630.2343565562</v>
      </c>
    </row>
    <row r="278" customFormat="false" ht="15" hidden="false" customHeight="false" outlineLevel="0" collapsed="false">
      <c r="A278" s="46" t="n">
        <v>270</v>
      </c>
      <c r="B278" s="47" t="n">
        <f aca="false">(A278-1)*$C$6</f>
        <v>0.485981596031931</v>
      </c>
      <c r="C278" s="48" t="n">
        <f aca="false">$C$7*B278</f>
        <v>3.73611111111111</v>
      </c>
      <c r="D278" s="49" t="n">
        <f aca="false">0.5*c_rho*'P3 Energie'!E8*'P3 Energie'!E7*(C278-c_Vv)^2+'P3 Energie'!E13+'P3 Energie'!E15+'P3 Energie'!E6*$C$7</f>
        <v>18416.8417514827</v>
      </c>
      <c r="E278" s="50" t="n">
        <f aca="false">D278*C278</f>
        <v>68807.3670992895</v>
      </c>
      <c r="F278" s="46" t="n">
        <v>270</v>
      </c>
      <c r="G278" s="47" t="n">
        <f aca="false">(F278-1)*$H$6</f>
        <v>0.485634530147053</v>
      </c>
      <c r="H278" s="48" t="n">
        <f aca="false">$H$7*G278</f>
        <v>3.73611111111111</v>
      </c>
      <c r="I278" s="49" t="n">
        <f aca="false">0.5*c_rho*'P3 Energie'!F8*'P3 Energie'!F7*(H278-c_Vv)^2+'P3 Energie'!F13+'P3 Energie'!F15+'P3 Energie'!F6*$H$7</f>
        <v>19243.9795077688</v>
      </c>
      <c r="J278" s="50" t="n">
        <f aca="false">I278*H278</f>
        <v>71897.6456609694</v>
      </c>
    </row>
    <row r="279" customFormat="false" ht="15" hidden="false" customHeight="false" outlineLevel="0" collapsed="false">
      <c r="A279" s="46" t="n">
        <v>271</v>
      </c>
      <c r="B279" s="47" t="n">
        <f aca="false">(A279-1)*$C$6</f>
        <v>0.487788219065507</v>
      </c>
      <c r="C279" s="48" t="n">
        <f aca="false">$C$7*B279</f>
        <v>3.75</v>
      </c>
      <c r="D279" s="49" t="n">
        <f aca="false">0.5*c_rho*'P3 Energie'!E8*'P3 Energie'!E7*(C279-c_Vv)^2+'P3 Energie'!E13+'P3 Energie'!E15+'P3 Energie'!E6*$C$7</f>
        <v>18416.8832826317</v>
      </c>
      <c r="E279" s="50" t="n">
        <f aca="false">D279*C279</f>
        <v>69063.312309869</v>
      </c>
      <c r="F279" s="46" t="n">
        <v>271</v>
      </c>
      <c r="G279" s="47" t="n">
        <f aca="false">(F279-1)*$H$6</f>
        <v>0.487439862972878</v>
      </c>
      <c r="H279" s="48" t="n">
        <f aca="false">$H$7*G279</f>
        <v>3.75</v>
      </c>
      <c r="I279" s="49" t="n">
        <f aca="false">0.5*c_rho*'P3 Energie'!F8*'P3 Energie'!F7*(H279-c_Vv)^2+'P3 Energie'!F13+'P3 Energie'!F15+'P3 Energie'!F6*$H$7</f>
        <v>19244.0155909491</v>
      </c>
      <c r="J279" s="50" t="n">
        <f aca="false">I279*H279</f>
        <v>72165.058466059</v>
      </c>
    </row>
    <row r="280" customFormat="false" ht="15" hidden="false" customHeight="false" outlineLevel="0" collapsed="false">
      <c r="A280" s="46" t="n">
        <v>272</v>
      </c>
      <c r="B280" s="47" t="n">
        <f aca="false">(A280-1)*$C$6</f>
        <v>0.489594842099083</v>
      </c>
      <c r="C280" s="48" t="n">
        <f aca="false">$C$7*B280</f>
        <v>3.76388888888889</v>
      </c>
      <c r="D280" s="49" t="n">
        <f aca="false">0.5*c_rho*'P3 Energie'!E8*'P3 Energie'!E7*(C280-c_Vv)^2+'P3 Energie'!E13+'P3 Energie'!E15+'P3 Energie'!E6*$C$7</f>
        <v>18416.9249678852</v>
      </c>
      <c r="E280" s="50" t="n">
        <f aca="false">D280*C280</f>
        <v>69319.2592541234</v>
      </c>
      <c r="F280" s="46" t="n">
        <v>272</v>
      </c>
      <c r="G280" s="47" t="n">
        <f aca="false">(F280-1)*$H$6</f>
        <v>0.489245195798704</v>
      </c>
      <c r="H280" s="48" t="n">
        <f aca="false">$H$7*G280</f>
        <v>3.76388888888889</v>
      </c>
      <c r="I280" s="49" t="n">
        <f aca="false">0.5*c_rho*'P3 Energie'!F8*'P3 Energie'!F7*(H280-c_Vv)^2+'P3 Energie'!F13+'P3 Energie'!F15+'P3 Energie'!F6*$H$7</f>
        <v>19244.0518080188</v>
      </c>
      <c r="J280" s="50" t="n">
        <f aca="false">I280*H280</f>
        <v>72432.4727774039</v>
      </c>
    </row>
    <row r="281" customFormat="false" ht="15" hidden="false" customHeight="false" outlineLevel="0" collapsed="false">
      <c r="A281" s="46" t="n">
        <v>273</v>
      </c>
      <c r="B281" s="47" t="n">
        <f aca="false">(A281-1)*$C$6</f>
        <v>0.491401465132659</v>
      </c>
      <c r="C281" s="48" t="n">
        <f aca="false">$C$7*B281</f>
        <v>3.77777777777778</v>
      </c>
      <c r="D281" s="49" t="n">
        <f aca="false">0.5*c_rho*'P3 Energie'!E8*'P3 Energie'!E7*(C281-c_Vv)^2+'P3 Energie'!E13+'P3 Energie'!E15+'P3 Energie'!E6*$C$7</f>
        <v>18416.9668072431</v>
      </c>
      <c r="E281" s="50" t="n">
        <f aca="false">D281*C281</f>
        <v>69575.207938474</v>
      </c>
      <c r="F281" s="46" t="n">
        <v>273</v>
      </c>
      <c r="G281" s="47" t="n">
        <f aca="false">(F281-1)*$H$6</f>
        <v>0.491050528624529</v>
      </c>
      <c r="H281" s="48" t="n">
        <f aca="false">$H$7*G281</f>
        <v>3.77777777777778</v>
      </c>
      <c r="I281" s="49" t="n">
        <f aca="false">0.5*c_rho*'P3 Energie'!F8*'P3 Energie'!F7*(H281-c_Vv)^2+'P3 Energie'!F13+'P3 Energie'!F15+'P3 Energie'!F6*$H$7</f>
        <v>19244.0881589778</v>
      </c>
      <c r="J281" s="50" t="n">
        <f aca="false">I281*H281</f>
        <v>72699.8886005827</v>
      </c>
    </row>
    <row r="282" customFormat="false" ht="15" hidden="false" customHeight="false" outlineLevel="0" collapsed="false">
      <c r="A282" s="46" t="n">
        <v>274</v>
      </c>
      <c r="B282" s="47" t="n">
        <f aca="false">(A282-1)*$C$6</f>
        <v>0.493208088166235</v>
      </c>
      <c r="C282" s="48" t="n">
        <f aca="false">$C$7*B282</f>
        <v>3.79166666666667</v>
      </c>
      <c r="D282" s="49" t="n">
        <f aca="false">0.5*c_rho*'P3 Energie'!E8*'P3 Energie'!E7*(C282-c_Vv)^2+'P3 Energie'!E13+'P3 Energie'!E15+'P3 Energie'!E6*$C$7</f>
        <v>18417.0088007055</v>
      </c>
      <c r="E282" s="50" t="n">
        <f aca="false">D282*C282</f>
        <v>69831.1583693416</v>
      </c>
      <c r="F282" s="46" t="n">
        <v>274</v>
      </c>
      <c r="G282" s="47" t="n">
        <f aca="false">(F282-1)*$H$6</f>
        <v>0.492855861450355</v>
      </c>
      <c r="H282" s="48" t="n">
        <f aca="false">$H$7*G282</f>
        <v>3.79166666666667</v>
      </c>
      <c r="I282" s="49" t="n">
        <f aca="false">0.5*c_rho*'P3 Energie'!F8*'P3 Energie'!F7*(H282-c_Vv)^2+'P3 Energie'!F13+'P3 Energie'!F15+'P3 Energie'!F6*$H$7</f>
        <v>19244.1246438262</v>
      </c>
      <c r="J282" s="50" t="n">
        <f aca="false">I282*H282</f>
        <v>72967.3059411742</v>
      </c>
    </row>
    <row r="283" customFormat="false" ht="15" hidden="false" customHeight="false" outlineLevel="0" collapsed="false">
      <c r="A283" s="46" t="n">
        <v>275</v>
      </c>
      <c r="B283" s="47" t="n">
        <f aca="false">(A283-1)*$C$6</f>
        <v>0.495014711199811</v>
      </c>
      <c r="C283" s="48" t="n">
        <f aca="false">$C$7*B283</f>
        <v>3.80555555555556</v>
      </c>
      <c r="D283" s="49" t="n">
        <f aca="false">0.5*c_rho*'P3 Energie'!E8*'P3 Energie'!E7*(C283-c_Vv)^2+'P3 Energie'!E13+'P3 Energie'!E15+'P3 Energie'!E6*$C$7</f>
        <v>18417.0509482723</v>
      </c>
      <c r="E283" s="50" t="n">
        <f aca="false">D283*C283</f>
        <v>70087.1105531474</v>
      </c>
      <c r="F283" s="46" t="n">
        <v>275</v>
      </c>
      <c r="G283" s="47" t="n">
        <f aca="false">(F283-1)*$H$6</f>
        <v>0.49466119427618</v>
      </c>
      <c r="H283" s="48" t="n">
        <f aca="false">$H$7*G283</f>
        <v>3.80555555555556</v>
      </c>
      <c r="I283" s="49" t="n">
        <f aca="false">0.5*c_rho*'P3 Energie'!F8*'P3 Energie'!F7*(H283-c_Vv)^2+'P3 Energie'!F13+'P3 Energie'!F15+'P3 Energie'!F6*$H$7</f>
        <v>19244.1612625639</v>
      </c>
      <c r="J283" s="50" t="n">
        <f aca="false">I283*H283</f>
        <v>73234.724804757</v>
      </c>
    </row>
    <row r="284" customFormat="false" ht="15" hidden="false" customHeight="false" outlineLevel="0" collapsed="false">
      <c r="A284" s="46" t="n">
        <v>276</v>
      </c>
      <c r="B284" s="47" t="n">
        <f aca="false">(A284-1)*$C$6</f>
        <v>0.496821334233387</v>
      </c>
      <c r="C284" s="48" t="n">
        <f aca="false">$C$7*B284</f>
        <v>3.81944444444444</v>
      </c>
      <c r="D284" s="49" t="n">
        <f aca="false">0.5*c_rho*'P3 Energie'!E8*'P3 Energie'!E7*(C284-c_Vv)^2+'P3 Energie'!E13+'P3 Energie'!E15+'P3 Energie'!E6*$C$7</f>
        <v>18417.0932499436</v>
      </c>
      <c r="E284" s="50" t="n">
        <f aca="false">D284*C284</f>
        <v>70343.0644963123</v>
      </c>
      <c r="F284" s="46" t="n">
        <v>276</v>
      </c>
      <c r="G284" s="47" t="n">
        <f aca="false">(F284-1)*$H$6</f>
        <v>0.496466527102006</v>
      </c>
      <c r="H284" s="48" t="n">
        <f aca="false">$H$7*G284</f>
        <v>3.81944444444444</v>
      </c>
      <c r="I284" s="49" t="n">
        <f aca="false">0.5*c_rho*'P3 Energie'!F8*'P3 Energie'!F7*(H284-c_Vv)^2+'P3 Energie'!F13+'P3 Energie'!F15+'P3 Energie'!F6*$H$7</f>
        <v>19244.198015191</v>
      </c>
      <c r="J284" s="50" t="n">
        <f aca="false">I284*H284</f>
        <v>73502.14519691</v>
      </c>
    </row>
    <row r="285" customFormat="false" ht="15" hidden="false" customHeight="false" outlineLevel="0" collapsed="false">
      <c r="A285" s="46" t="n">
        <v>277</v>
      </c>
      <c r="B285" s="47" t="n">
        <f aca="false">(A285-1)*$C$6</f>
        <v>0.498627957266963</v>
      </c>
      <c r="C285" s="48" t="n">
        <f aca="false">$C$7*B285</f>
        <v>3.83333333333333</v>
      </c>
      <c r="D285" s="49" t="n">
        <f aca="false">0.5*c_rho*'P3 Energie'!E8*'P3 Energie'!E7*(C285-c_Vv)^2+'P3 Energie'!E13+'P3 Energie'!E15+'P3 Energie'!E6*$C$7</f>
        <v>18417.1357057193</v>
      </c>
      <c r="E285" s="50" t="n">
        <f aca="false">D285*C285</f>
        <v>70599.0202052573</v>
      </c>
      <c r="F285" s="46" t="n">
        <v>277</v>
      </c>
      <c r="G285" s="47" t="n">
        <f aca="false">(F285-1)*$H$6</f>
        <v>0.498271859927831</v>
      </c>
      <c r="H285" s="48" t="n">
        <f aca="false">$H$7*G285</f>
        <v>3.83333333333333</v>
      </c>
      <c r="I285" s="49" t="n">
        <f aca="false">0.5*c_rho*'P3 Energie'!F8*'P3 Energie'!F7*(H285-c_Vv)^2+'P3 Energie'!F13+'P3 Energie'!F15+'P3 Energie'!F6*$H$7</f>
        <v>19244.2349017074</v>
      </c>
      <c r="J285" s="50" t="n">
        <f aca="false">I285*H285</f>
        <v>73769.5671232117</v>
      </c>
    </row>
    <row r="286" customFormat="false" ht="15" hidden="false" customHeight="false" outlineLevel="0" collapsed="false">
      <c r="A286" s="46" t="n">
        <v>278</v>
      </c>
      <c r="B286" s="47" t="n">
        <f aca="false">(A286-1)*$C$6</f>
        <v>0.500434580300539</v>
      </c>
      <c r="C286" s="48" t="n">
        <f aca="false">$C$7*B286</f>
        <v>3.84722222222222</v>
      </c>
      <c r="D286" s="49" t="n">
        <f aca="false">0.5*c_rho*'P3 Energie'!E8*'P3 Energie'!E7*(C286-c_Vv)^2+'P3 Energie'!E13+'P3 Energie'!E15+'P3 Energie'!E6*$C$7</f>
        <v>18417.1783155995</v>
      </c>
      <c r="E286" s="50" t="n">
        <f aca="false">D286*C286</f>
        <v>70854.9776864035</v>
      </c>
      <c r="F286" s="46" t="n">
        <v>278</v>
      </c>
      <c r="G286" s="47" t="n">
        <f aca="false">(F286-1)*$H$6</f>
        <v>0.500077192753657</v>
      </c>
      <c r="H286" s="48" t="n">
        <f aca="false">$H$7*G286</f>
        <v>3.84722222222222</v>
      </c>
      <c r="I286" s="49" t="n">
        <f aca="false">0.5*c_rho*'P3 Energie'!F8*'P3 Energie'!F7*(H286-c_Vv)^2+'P3 Energie'!F13+'P3 Energie'!F15+'P3 Energie'!F6*$H$7</f>
        <v>19244.2719221132</v>
      </c>
      <c r="J286" s="50" t="n">
        <f aca="false">I286*H286</f>
        <v>74036.9905892411</v>
      </c>
    </row>
    <row r="287" customFormat="false" ht="15" hidden="false" customHeight="false" outlineLevel="0" collapsed="false">
      <c r="A287" s="46" t="n">
        <v>279</v>
      </c>
      <c r="B287" s="47" t="n">
        <f aca="false">(A287-1)*$C$6</f>
        <v>0.502241203334115</v>
      </c>
      <c r="C287" s="48" t="n">
        <f aca="false">$C$7*B287</f>
        <v>3.86111111111111</v>
      </c>
      <c r="D287" s="49" t="n">
        <f aca="false">0.5*c_rho*'P3 Energie'!E8*'P3 Energie'!E7*(C287-c_Vv)^2+'P3 Energie'!E13+'P3 Energie'!E15+'P3 Energie'!E6*$C$7</f>
        <v>18417.2210795841</v>
      </c>
      <c r="E287" s="50" t="n">
        <f aca="false">D287*C287</f>
        <v>71110.9369461719</v>
      </c>
      <c r="F287" s="46" t="n">
        <v>279</v>
      </c>
      <c r="G287" s="47" t="n">
        <f aca="false">(F287-1)*$H$6</f>
        <v>0.501882525579482</v>
      </c>
      <c r="H287" s="48" t="n">
        <f aca="false">$H$7*G287</f>
        <v>3.86111111111111</v>
      </c>
      <c r="I287" s="49" t="n">
        <f aca="false">0.5*c_rho*'P3 Energie'!F8*'P3 Energie'!F7*(H287-c_Vv)^2+'P3 Energie'!F13+'P3 Energie'!F15+'P3 Energie'!F6*$H$7</f>
        <v>19244.3090764083</v>
      </c>
      <c r="J287" s="50" t="n">
        <f aca="false">I287*H287</f>
        <v>74304.4156005766</v>
      </c>
    </row>
    <row r="288" customFormat="false" ht="15" hidden="false" customHeight="false" outlineLevel="0" collapsed="false">
      <c r="A288" s="46" t="n">
        <v>280</v>
      </c>
      <c r="B288" s="47" t="n">
        <f aca="false">(A288-1)*$C$6</f>
        <v>0.504047826367691</v>
      </c>
      <c r="C288" s="48" t="n">
        <f aca="false">$C$7*B288</f>
        <v>3.875</v>
      </c>
      <c r="D288" s="49" t="n">
        <f aca="false">0.5*c_rho*'P3 Energie'!E8*'P3 Energie'!E7*(C288-c_Vv)^2+'P3 Energie'!E13+'P3 Energie'!E15+'P3 Energie'!E6*$C$7</f>
        <v>18417.2639976732</v>
      </c>
      <c r="E288" s="50" t="n">
        <f aca="false">D288*C288</f>
        <v>71366.8979909835</v>
      </c>
      <c r="F288" s="46" t="n">
        <v>280</v>
      </c>
      <c r="G288" s="47" t="n">
        <f aca="false">(F288-1)*$H$6</f>
        <v>0.503687858405308</v>
      </c>
      <c r="H288" s="48" t="n">
        <f aca="false">$H$7*G288</f>
        <v>3.875</v>
      </c>
      <c r="I288" s="49" t="n">
        <f aca="false">0.5*c_rho*'P3 Energie'!F8*'P3 Energie'!F7*(H288-c_Vv)^2+'P3 Energie'!F13+'P3 Energie'!F15+'P3 Energie'!F6*$H$7</f>
        <v>19244.3463645928</v>
      </c>
      <c r="J288" s="50" t="n">
        <f aca="false">I288*H288</f>
        <v>74571.8421627972</v>
      </c>
    </row>
    <row r="289" customFormat="false" ht="15" hidden="false" customHeight="false" outlineLevel="0" collapsed="false">
      <c r="A289" s="46" t="n">
        <v>281</v>
      </c>
      <c r="B289" s="47" t="n">
        <f aca="false">(A289-1)*$C$6</f>
        <v>0.505854449401267</v>
      </c>
      <c r="C289" s="48" t="n">
        <f aca="false">$C$7*B289</f>
        <v>3.88888888888889</v>
      </c>
      <c r="D289" s="49" t="n">
        <f aca="false">0.5*c_rho*'P3 Energie'!E8*'P3 Energie'!E7*(C289-c_Vv)^2+'P3 Energie'!E13+'P3 Energie'!E15+'P3 Energie'!E6*$C$7</f>
        <v>18417.3070698667</v>
      </c>
      <c r="E289" s="50" t="n">
        <f aca="false">D289*C289</f>
        <v>71622.8608272593</v>
      </c>
      <c r="F289" s="46" t="n">
        <v>281</v>
      </c>
      <c r="G289" s="47" t="n">
        <f aca="false">(F289-1)*$H$6</f>
        <v>0.505493191231133</v>
      </c>
      <c r="H289" s="48" t="n">
        <f aca="false">$H$7*G289</f>
        <v>3.88888888888889</v>
      </c>
      <c r="I289" s="49" t="n">
        <f aca="false">0.5*c_rho*'P3 Energie'!F8*'P3 Energie'!F7*(H289-c_Vv)^2+'P3 Energie'!F13+'P3 Energie'!F15+'P3 Energie'!F6*$H$7</f>
        <v>19244.3837866667</v>
      </c>
      <c r="J289" s="50" t="n">
        <f aca="false">I289*H289</f>
        <v>74839.2702814815</v>
      </c>
    </row>
    <row r="290" customFormat="false" ht="15" hidden="false" customHeight="false" outlineLevel="0" collapsed="false">
      <c r="A290" s="46" t="n">
        <v>282</v>
      </c>
      <c r="B290" s="47" t="n">
        <f aca="false">(A290-1)*$C$6</f>
        <v>0.507661072434843</v>
      </c>
      <c r="C290" s="48" t="n">
        <f aca="false">$C$7*B290</f>
        <v>3.90277777777778</v>
      </c>
      <c r="D290" s="49" t="n">
        <f aca="false">0.5*c_rho*'P3 Energie'!E8*'P3 Energie'!E7*(C290-c_Vv)^2+'P3 Energie'!E13+'P3 Energie'!E15+'P3 Energie'!E6*$C$7</f>
        <v>18417.3502961646</v>
      </c>
      <c r="E290" s="50" t="n">
        <f aca="false">D290*C290</f>
        <v>71878.8254614203</v>
      </c>
      <c r="F290" s="46" t="n">
        <v>282</v>
      </c>
      <c r="G290" s="47" t="n">
        <f aca="false">(F290-1)*$H$6</f>
        <v>0.507298524056959</v>
      </c>
      <c r="H290" s="48" t="n">
        <f aca="false">$H$7*G290</f>
        <v>3.90277777777778</v>
      </c>
      <c r="I290" s="49" t="n">
        <f aca="false">0.5*c_rho*'P3 Energie'!F8*'P3 Energie'!F7*(H290-c_Vv)^2+'P3 Energie'!F13+'P3 Energie'!F15+'P3 Energie'!F6*$H$7</f>
        <v>19244.4213426299</v>
      </c>
      <c r="J290" s="50" t="n">
        <f aca="false">I290*H290</f>
        <v>75106.6999622082</v>
      </c>
    </row>
    <row r="291" customFormat="false" ht="15" hidden="false" customHeight="false" outlineLevel="0" collapsed="false">
      <c r="A291" s="46" t="n">
        <v>283</v>
      </c>
      <c r="B291" s="47" t="n">
        <f aca="false">(A291-1)*$C$6</f>
        <v>0.509467695468419</v>
      </c>
      <c r="C291" s="48" t="n">
        <f aca="false">$C$7*B291</f>
        <v>3.91666666666667</v>
      </c>
      <c r="D291" s="49" t="n">
        <f aca="false">0.5*c_rho*'P3 Energie'!E8*'P3 Energie'!E7*(C291-c_Vv)^2+'P3 Energie'!E13+'P3 Energie'!E15+'P3 Energie'!E6*$C$7</f>
        <v>18417.3936765671</v>
      </c>
      <c r="E291" s="50" t="n">
        <f aca="false">D291*C291</f>
        <v>72134.7918998876</v>
      </c>
      <c r="F291" s="46" t="n">
        <v>283</v>
      </c>
      <c r="G291" s="47" t="n">
        <f aca="false">(F291-1)*$H$6</f>
        <v>0.509103856882784</v>
      </c>
      <c r="H291" s="48" t="n">
        <f aca="false">$H$7*G291</f>
        <v>3.91666666666667</v>
      </c>
      <c r="I291" s="49" t="n">
        <f aca="false">0.5*c_rho*'P3 Energie'!F8*'P3 Energie'!F7*(H291-c_Vv)^2+'P3 Energie'!F13+'P3 Energie'!F15+'P3 Energie'!F6*$H$7</f>
        <v>19244.4590324824</v>
      </c>
      <c r="J291" s="50" t="n">
        <f aca="false">I291*H291</f>
        <v>75374.1312105561</v>
      </c>
    </row>
    <row r="292" customFormat="false" ht="15" hidden="false" customHeight="false" outlineLevel="0" collapsed="false">
      <c r="A292" s="46" t="n">
        <v>284</v>
      </c>
      <c r="B292" s="47" t="n">
        <f aca="false">(A292-1)*$C$6</f>
        <v>0.511274318501995</v>
      </c>
      <c r="C292" s="48" t="n">
        <f aca="false">$C$7*B292</f>
        <v>3.93055555555556</v>
      </c>
      <c r="D292" s="49" t="n">
        <f aca="false">0.5*c_rho*'P3 Energie'!E8*'P3 Energie'!E7*(C292-c_Vv)^2+'P3 Energie'!E13+'P3 Energie'!E15+'P3 Energie'!E6*$C$7</f>
        <v>18417.4372110739</v>
      </c>
      <c r="E292" s="50" t="n">
        <f aca="false">D292*C292</f>
        <v>72390.7601490822</v>
      </c>
      <c r="F292" s="46" t="n">
        <v>284</v>
      </c>
      <c r="G292" s="47" t="n">
        <f aca="false">(F292-1)*$H$6</f>
        <v>0.51090918970861</v>
      </c>
      <c r="H292" s="48" t="n">
        <f aca="false">$H$7*G292</f>
        <v>3.93055555555556</v>
      </c>
      <c r="I292" s="49" t="n">
        <f aca="false">0.5*c_rho*'P3 Energie'!F8*'P3 Energie'!F7*(H292-c_Vv)^2+'P3 Energie'!F13+'P3 Energie'!F15+'P3 Energie'!F6*$H$7</f>
        <v>19244.4968562243</v>
      </c>
      <c r="J292" s="50" t="n">
        <f aca="false">I292*H292</f>
        <v>75641.5640321039</v>
      </c>
    </row>
    <row r="293" customFormat="false" ht="15" hidden="false" customHeight="false" outlineLevel="0" collapsed="false">
      <c r="A293" s="46" t="n">
        <v>285</v>
      </c>
      <c r="B293" s="47" t="n">
        <f aca="false">(A293-1)*$C$6</f>
        <v>0.513080941535571</v>
      </c>
      <c r="C293" s="48" t="n">
        <f aca="false">$C$7*B293</f>
        <v>3.94444444444444</v>
      </c>
      <c r="D293" s="49" t="n">
        <f aca="false">0.5*c_rho*'P3 Energie'!E8*'P3 Energie'!E7*(C293-c_Vv)^2+'P3 Energie'!E13+'P3 Energie'!E15+'P3 Energie'!E6*$C$7</f>
        <v>18417.4808996852</v>
      </c>
      <c r="E293" s="50" t="n">
        <f aca="false">D293*C293</f>
        <v>72646.7302154251</v>
      </c>
      <c r="F293" s="46" t="n">
        <v>285</v>
      </c>
      <c r="G293" s="47" t="n">
        <f aca="false">(F293-1)*$H$6</f>
        <v>0.512714522534435</v>
      </c>
      <c r="H293" s="48" t="n">
        <f aca="false">$H$7*G293</f>
        <v>3.94444444444444</v>
      </c>
      <c r="I293" s="49" t="n">
        <f aca="false">0.5*c_rho*'P3 Energie'!F8*'P3 Energie'!F7*(H293-c_Vv)^2+'P3 Energie'!F13+'P3 Energie'!F15+'P3 Energie'!F6*$H$7</f>
        <v>19244.5348138556</v>
      </c>
      <c r="J293" s="50" t="n">
        <f aca="false">I293*H293</f>
        <v>75908.9984324303</v>
      </c>
    </row>
    <row r="294" customFormat="false" ht="15" hidden="false" customHeight="false" outlineLevel="0" collapsed="false">
      <c r="A294" s="46" t="n">
        <v>286</v>
      </c>
      <c r="B294" s="47" t="n">
        <f aca="false">(A294-1)*$C$6</f>
        <v>0.514887564569147</v>
      </c>
      <c r="C294" s="48" t="n">
        <f aca="false">$C$7*B294</f>
        <v>3.95833333333333</v>
      </c>
      <c r="D294" s="49" t="n">
        <f aca="false">0.5*c_rho*'P3 Energie'!E8*'P3 Energie'!E7*(C294-c_Vv)^2+'P3 Energie'!E13+'P3 Energie'!E15+'P3 Energie'!E6*$C$7</f>
        <v>18417.524742401</v>
      </c>
      <c r="E294" s="50" t="n">
        <f aca="false">D294*C294</f>
        <v>72902.7021053372</v>
      </c>
      <c r="F294" s="46" t="n">
        <v>286</v>
      </c>
      <c r="G294" s="47" t="n">
        <f aca="false">(F294-1)*$H$6</f>
        <v>0.514519855360261</v>
      </c>
      <c r="H294" s="48" t="n">
        <f aca="false">$H$7*G294</f>
        <v>3.95833333333333</v>
      </c>
      <c r="I294" s="49" t="n">
        <f aca="false">0.5*c_rho*'P3 Energie'!F8*'P3 Energie'!F7*(H294-c_Vv)^2+'P3 Energie'!F13+'P3 Energie'!F15+'P3 Energie'!F6*$H$7</f>
        <v>19244.5729053762</v>
      </c>
      <c r="J294" s="50" t="n">
        <f aca="false">I294*H294</f>
        <v>76176.434417114</v>
      </c>
    </row>
    <row r="295" customFormat="false" ht="15" hidden="false" customHeight="false" outlineLevel="0" collapsed="false">
      <c r="A295" s="46" t="n">
        <v>287</v>
      </c>
      <c r="B295" s="47" t="n">
        <f aca="false">(A295-1)*$C$6</f>
        <v>0.516694187602723</v>
      </c>
      <c r="C295" s="48" t="n">
        <f aca="false">$C$7*B295</f>
        <v>3.97222222222222</v>
      </c>
      <c r="D295" s="49" t="n">
        <f aca="false">0.5*c_rho*'P3 Energie'!E8*'P3 Energie'!E7*(C295-c_Vv)^2+'P3 Energie'!E13+'P3 Energie'!E15+'P3 Energie'!E6*$C$7</f>
        <v>18417.5687392212</v>
      </c>
      <c r="E295" s="50" t="n">
        <f aca="false">D295*C295</f>
        <v>73158.6758252398</v>
      </c>
      <c r="F295" s="46" t="n">
        <v>287</v>
      </c>
      <c r="G295" s="47" t="n">
        <f aca="false">(F295-1)*$H$6</f>
        <v>0.516325188186086</v>
      </c>
      <c r="H295" s="48" t="n">
        <f aca="false">$H$7*G295</f>
        <v>3.97222222222222</v>
      </c>
      <c r="I295" s="49" t="n">
        <f aca="false">0.5*c_rho*'P3 Energie'!F8*'P3 Energie'!F7*(H295-c_Vv)^2+'P3 Energie'!F13+'P3 Energie'!F15+'P3 Energie'!F6*$H$7</f>
        <v>19244.6111307861</v>
      </c>
      <c r="J295" s="50" t="n">
        <f aca="false">I295*H295</f>
        <v>76443.8719917337</v>
      </c>
    </row>
    <row r="296" customFormat="false" ht="15" hidden="false" customHeight="false" outlineLevel="0" collapsed="false">
      <c r="A296" s="46" t="n">
        <v>288</v>
      </c>
      <c r="B296" s="47" t="n">
        <f aca="false">(A296-1)*$C$6</f>
        <v>0.518500810636299</v>
      </c>
      <c r="C296" s="48" t="n">
        <f aca="false">$C$7*B296</f>
        <v>3.98611111111111</v>
      </c>
      <c r="D296" s="49" t="n">
        <f aca="false">0.5*c_rho*'P3 Energie'!E8*'P3 Energie'!E7*(C296-c_Vv)^2+'P3 Energie'!E13+'P3 Energie'!E15+'P3 Energie'!E6*$C$7</f>
        <v>18417.6128901459</v>
      </c>
      <c r="E296" s="50" t="n">
        <f aca="false">D296*C296</f>
        <v>73414.6513815536</v>
      </c>
      <c r="F296" s="46" t="n">
        <v>288</v>
      </c>
      <c r="G296" s="47" t="n">
        <f aca="false">(F296-1)*$H$6</f>
        <v>0.518130521011912</v>
      </c>
      <c r="H296" s="48" t="n">
        <f aca="false">$H$7*G296</f>
        <v>3.98611111111111</v>
      </c>
      <c r="I296" s="49" t="n">
        <f aca="false">0.5*c_rho*'P3 Energie'!F8*'P3 Energie'!F7*(H296-c_Vv)^2+'P3 Energie'!F13+'P3 Energie'!F15+'P3 Energie'!F6*$H$7</f>
        <v>19244.6494900854</v>
      </c>
      <c r="J296" s="50" t="n">
        <f aca="false">I296*H296</f>
        <v>76711.3111618683</v>
      </c>
    </row>
    <row r="297" customFormat="false" ht="15" hidden="false" customHeight="false" outlineLevel="0" collapsed="false">
      <c r="A297" s="46" t="n">
        <v>289</v>
      </c>
      <c r="B297" s="47" t="n">
        <f aca="false">(A297-1)*$C$6</f>
        <v>0.520307433669875</v>
      </c>
      <c r="C297" s="48" t="n">
        <f aca="false">$C$7*B297</f>
        <v>4</v>
      </c>
      <c r="D297" s="49" t="n">
        <f aca="false">0.5*c_rho*'P3 Energie'!E8*'P3 Energie'!E7*(C297-c_Vv)^2+'P3 Energie'!E13+'P3 Energie'!E15+'P3 Energie'!E6*$C$7</f>
        <v>18417.657195175</v>
      </c>
      <c r="E297" s="50" t="n">
        <f aca="false">D297*C297</f>
        <v>73670.6287806999</v>
      </c>
      <c r="F297" s="46" t="n">
        <v>289</v>
      </c>
      <c r="G297" s="47" t="n">
        <f aca="false">(F297-1)*$H$6</f>
        <v>0.519935853837737</v>
      </c>
      <c r="H297" s="48" t="n">
        <f aca="false">$H$7*G297</f>
        <v>4</v>
      </c>
      <c r="I297" s="49" t="n">
        <f aca="false">0.5*c_rho*'P3 Energie'!F8*'P3 Energie'!F7*(H297-c_Vv)^2+'P3 Energie'!F13+'P3 Energie'!F15+'P3 Energie'!F6*$H$7</f>
        <v>19244.6879832741</v>
      </c>
      <c r="J297" s="50" t="n">
        <f aca="false">I297*H297</f>
        <v>76978.7519330963</v>
      </c>
    </row>
    <row r="298" customFormat="false" ht="15" hidden="false" customHeight="false" outlineLevel="0" collapsed="false">
      <c r="A298" s="46" t="n">
        <v>290</v>
      </c>
      <c r="B298" s="47" t="n">
        <f aca="false">(A298-1)*$C$6</f>
        <v>0.522114056703451</v>
      </c>
      <c r="C298" s="48" t="n">
        <f aca="false">$C$7*B298</f>
        <v>4.01388888888889</v>
      </c>
      <c r="D298" s="49" t="n">
        <f aca="false">0.5*c_rho*'P3 Energie'!E8*'P3 Energie'!E7*(C298-c_Vv)^2+'P3 Energie'!E13+'P3 Energie'!E15+'P3 Energie'!E6*$C$7</f>
        <v>18417.7016543085</v>
      </c>
      <c r="E298" s="50" t="n">
        <f aca="false">D298*C298</f>
        <v>73926.6080290995</v>
      </c>
      <c r="F298" s="46" t="n">
        <v>290</v>
      </c>
      <c r="G298" s="47" t="n">
        <f aca="false">(F298-1)*$H$6</f>
        <v>0.521741186663562</v>
      </c>
      <c r="H298" s="48" t="n">
        <f aca="false">$H$7*G298</f>
        <v>4.01388888888889</v>
      </c>
      <c r="I298" s="49" t="n">
        <f aca="false">0.5*c_rho*'P3 Energie'!F8*'P3 Energie'!F7*(H298-c_Vv)^2+'P3 Energie'!F13+'P3 Energie'!F15+'P3 Energie'!F6*$H$7</f>
        <v>19244.7266103521</v>
      </c>
      <c r="J298" s="50" t="n">
        <f aca="false">I298*H298</f>
        <v>77246.1943109966</v>
      </c>
    </row>
    <row r="299" customFormat="false" ht="15" hidden="false" customHeight="false" outlineLevel="0" collapsed="false">
      <c r="A299" s="46" t="n">
        <v>291</v>
      </c>
      <c r="B299" s="47" t="n">
        <f aca="false">(A299-1)*$C$6</f>
        <v>0.523920679737027</v>
      </c>
      <c r="C299" s="48" t="n">
        <f aca="false">$C$7*B299</f>
        <v>4.02777777777778</v>
      </c>
      <c r="D299" s="49" t="n">
        <f aca="false">0.5*c_rho*'P3 Energie'!E8*'P3 Energie'!E7*(C299-c_Vv)^2+'P3 Energie'!E13+'P3 Energie'!E15+'P3 Energie'!E6*$C$7</f>
        <v>18417.7462675465</v>
      </c>
      <c r="E299" s="50" t="n">
        <f aca="false">D299*C299</f>
        <v>74182.5891331736</v>
      </c>
      <c r="F299" s="46" t="n">
        <v>291</v>
      </c>
      <c r="G299" s="47" t="n">
        <f aca="false">(F299-1)*$H$6</f>
        <v>0.523546519489388</v>
      </c>
      <c r="H299" s="48" t="n">
        <f aca="false">$H$7*G299</f>
        <v>4.02777777777778</v>
      </c>
      <c r="I299" s="49" t="n">
        <f aca="false">0.5*c_rho*'P3 Energie'!F8*'P3 Energie'!F7*(H299-c_Vv)^2+'P3 Energie'!F13+'P3 Energie'!F15+'P3 Energie'!F6*$H$7</f>
        <v>19244.7653713194</v>
      </c>
      <c r="J299" s="50" t="n">
        <f aca="false">I299*H299</f>
        <v>77513.6383011478</v>
      </c>
    </row>
    <row r="300" customFormat="false" ht="15" hidden="false" customHeight="false" outlineLevel="0" collapsed="false">
      <c r="A300" s="46" t="n">
        <v>292</v>
      </c>
      <c r="B300" s="47" t="n">
        <f aca="false">(A300-1)*$C$6</f>
        <v>0.525727302770602</v>
      </c>
      <c r="C300" s="48" t="n">
        <f aca="false">$C$7*B300</f>
        <v>4.04166666666667</v>
      </c>
      <c r="D300" s="49" t="n">
        <f aca="false">0.5*c_rho*'P3 Energie'!E8*'P3 Energie'!E7*(C300-c_Vv)^2+'P3 Energie'!E13+'P3 Energie'!E15+'P3 Energie'!E6*$C$7</f>
        <v>18417.791034889</v>
      </c>
      <c r="E300" s="50" t="n">
        <f aca="false">D300*C300</f>
        <v>74438.572099343</v>
      </c>
      <c r="F300" s="46" t="n">
        <v>292</v>
      </c>
      <c r="G300" s="47" t="n">
        <f aca="false">(F300-1)*$H$6</f>
        <v>0.525351852315213</v>
      </c>
      <c r="H300" s="48" t="n">
        <f aca="false">$H$7*G300</f>
        <v>4.04166666666667</v>
      </c>
      <c r="I300" s="49" t="n">
        <f aca="false">0.5*c_rho*'P3 Energie'!F8*'P3 Energie'!F7*(H300-c_Vv)^2+'P3 Energie'!F13+'P3 Energie'!F15+'P3 Energie'!F6*$H$7</f>
        <v>19244.8042661762</v>
      </c>
      <c r="J300" s="50" t="n">
        <f aca="false">I300*H300</f>
        <v>77781.0839091287</v>
      </c>
    </row>
    <row r="301" customFormat="false" ht="15" hidden="false" customHeight="false" outlineLevel="0" collapsed="false">
      <c r="A301" s="46" t="n">
        <v>293</v>
      </c>
      <c r="B301" s="47" t="n">
        <f aca="false">(A301-1)*$C$6</f>
        <v>0.527533925804178</v>
      </c>
      <c r="C301" s="48" t="n">
        <f aca="false">$C$7*B301</f>
        <v>4.05555555555556</v>
      </c>
      <c r="D301" s="49" t="n">
        <f aca="false">0.5*c_rho*'P3 Energie'!E8*'P3 Energie'!E7*(C301-c_Vv)^2+'P3 Energie'!E13+'P3 Energie'!E15+'P3 Energie'!E6*$C$7</f>
        <v>18417.8359563359</v>
      </c>
      <c r="E301" s="50" t="n">
        <f aca="false">D301*C301</f>
        <v>74694.5569340289</v>
      </c>
      <c r="F301" s="46" t="n">
        <v>293</v>
      </c>
      <c r="G301" s="47" t="n">
        <f aca="false">(F301-1)*$H$6</f>
        <v>0.527157185141039</v>
      </c>
      <c r="H301" s="48" t="n">
        <f aca="false">$H$7*G301</f>
        <v>4.05555555555556</v>
      </c>
      <c r="I301" s="49" t="n">
        <f aca="false">0.5*c_rho*'P3 Energie'!F8*'P3 Energie'!F7*(H301-c_Vv)^2+'P3 Energie'!F13+'P3 Energie'!F15+'P3 Energie'!F6*$H$7</f>
        <v>19244.8432949222</v>
      </c>
      <c r="J301" s="50" t="n">
        <f aca="false">I301*H301</f>
        <v>78048.5311405179</v>
      </c>
    </row>
    <row r="302" customFormat="false" ht="15" hidden="false" customHeight="false" outlineLevel="0" collapsed="false">
      <c r="A302" s="46" t="n">
        <v>294</v>
      </c>
      <c r="B302" s="47" t="n">
        <f aca="false">(A302-1)*$C$6</f>
        <v>0.529340548837754</v>
      </c>
      <c r="C302" s="48" t="n">
        <f aca="false">$C$7*B302</f>
        <v>4.06944444444445</v>
      </c>
      <c r="D302" s="49" t="n">
        <f aca="false">0.5*c_rho*'P3 Energie'!E8*'P3 Energie'!E7*(C302-c_Vv)^2+'P3 Energie'!E13+'P3 Energie'!E15+'P3 Energie'!E6*$C$7</f>
        <v>18417.8810318873</v>
      </c>
      <c r="E302" s="50" t="n">
        <f aca="false">D302*C302</f>
        <v>74950.5436436523</v>
      </c>
      <c r="F302" s="46" t="n">
        <v>294</v>
      </c>
      <c r="G302" s="47" t="n">
        <f aca="false">(F302-1)*$H$6</f>
        <v>0.528962517966864</v>
      </c>
      <c r="H302" s="48" t="n">
        <f aca="false">$H$7*G302</f>
        <v>4.06944444444445</v>
      </c>
      <c r="I302" s="49" t="n">
        <f aca="false">0.5*c_rho*'P3 Energie'!F8*'P3 Energie'!F7*(H302-c_Vv)^2+'P3 Energie'!F13+'P3 Energie'!F15+'P3 Energie'!F6*$H$7</f>
        <v>19244.8824575576</v>
      </c>
      <c r="J302" s="50" t="n">
        <f aca="false">I302*H302</f>
        <v>78315.9800008943</v>
      </c>
    </row>
    <row r="303" customFormat="false" ht="15" hidden="false" customHeight="false" outlineLevel="0" collapsed="false">
      <c r="A303" s="46" t="n">
        <v>295</v>
      </c>
      <c r="B303" s="47" t="n">
        <f aca="false">(A303-1)*$C$6</f>
        <v>0.53114717187133</v>
      </c>
      <c r="C303" s="48" t="n">
        <f aca="false">$C$7*B303</f>
        <v>4.08333333333333</v>
      </c>
      <c r="D303" s="49" t="n">
        <f aca="false">0.5*c_rho*'P3 Energie'!E8*'P3 Energie'!E7*(C303-c_Vv)^2+'P3 Energie'!E13+'P3 Energie'!E15+'P3 Energie'!E6*$C$7</f>
        <v>18417.9262615431</v>
      </c>
      <c r="E303" s="50" t="n">
        <f aca="false">D303*C303</f>
        <v>75206.5322346341</v>
      </c>
      <c r="F303" s="46" t="n">
        <v>295</v>
      </c>
      <c r="G303" s="47" t="n">
        <f aca="false">(F303-1)*$H$6</f>
        <v>0.53076785079269</v>
      </c>
      <c r="H303" s="48" t="n">
        <f aca="false">$H$7*G303</f>
        <v>4.08333333333333</v>
      </c>
      <c r="I303" s="49" t="n">
        <f aca="false">0.5*c_rho*'P3 Energie'!F8*'P3 Energie'!F7*(H303-c_Vv)^2+'P3 Energie'!F13+'P3 Energie'!F15+'P3 Energie'!F6*$H$7</f>
        <v>19244.9217540824</v>
      </c>
      <c r="J303" s="50" t="n">
        <f aca="false">I303*H303</f>
        <v>78583.4304958365</v>
      </c>
    </row>
    <row r="304" customFormat="false" ht="15" hidden="false" customHeight="false" outlineLevel="0" collapsed="false">
      <c r="A304" s="46" t="n">
        <v>296</v>
      </c>
      <c r="B304" s="47" t="n">
        <f aca="false">(A304-1)*$C$6</f>
        <v>0.532953794904906</v>
      </c>
      <c r="C304" s="48" t="n">
        <f aca="false">$C$7*B304</f>
        <v>4.09722222222222</v>
      </c>
      <c r="D304" s="49" t="n">
        <f aca="false">0.5*c_rho*'P3 Energie'!E8*'P3 Energie'!E7*(C304-c_Vv)^2+'P3 Energie'!E13+'P3 Energie'!E15+'P3 Energie'!E6*$C$7</f>
        <v>18417.9716453033</v>
      </c>
      <c r="E304" s="50" t="n">
        <f aca="false">D304*C304</f>
        <v>75462.5227133955</v>
      </c>
      <c r="F304" s="46" t="n">
        <v>296</v>
      </c>
      <c r="G304" s="47" t="n">
        <f aca="false">(F304-1)*$H$6</f>
        <v>0.532573183618515</v>
      </c>
      <c r="H304" s="48" t="n">
        <f aca="false">$H$7*G304</f>
        <v>4.09722222222222</v>
      </c>
      <c r="I304" s="49" t="n">
        <f aca="false">0.5*c_rho*'P3 Energie'!F8*'P3 Energie'!F7*(H304-c_Vv)^2+'P3 Energie'!F13+'P3 Energie'!F15+'P3 Energie'!F6*$H$7</f>
        <v>19244.9611844965</v>
      </c>
      <c r="J304" s="50" t="n">
        <f aca="false">I304*H304</f>
        <v>78850.8826309233</v>
      </c>
    </row>
    <row r="305" customFormat="false" ht="15" hidden="false" customHeight="false" outlineLevel="0" collapsed="false">
      <c r="A305" s="46" t="n">
        <v>297</v>
      </c>
      <c r="B305" s="47" t="n">
        <f aca="false">(A305-1)*$C$6</f>
        <v>0.534760417938482</v>
      </c>
      <c r="C305" s="48" t="n">
        <f aca="false">$C$7*B305</f>
        <v>4.11111111111111</v>
      </c>
      <c r="D305" s="49" t="n">
        <f aca="false">0.5*c_rho*'P3 Energie'!E8*'P3 Energie'!E7*(C305-c_Vv)^2+'P3 Energie'!E13+'P3 Energie'!E15+'P3 Energie'!E6*$C$7</f>
        <v>18418.017183168</v>
      </c>
      <c r="E305" s="50" t="n">
        <f aca="false">D305*C305</f>
        <v>75718.5150863574</v>
      </c>
      <c r="F305" s="46" t="n">
        <v>297</v>
      </c>
      <c r="G305" s="47" t="n">
        <f aca="false">(F305-1)*$H$6</f>
        <v>0.534378516444341</v>
      </c>
      <c r="H305" s="48" t="n">
        <f aca="false">$H$7*G305</f>
        <v>4.11111111111111</v>
      </c>
      <c r="I305" s="49" t="n">
        <f aca="false">0.5*c_rho*'P3 Energie'!F8*'P3 Energie'!F7*(H305-c_Vv)^2+'P3 Energie'!F13+'P3 Energie'!F15+'P3 Energie'!F6*$H$7</f>
        <v>19245.0007488</v>
      </c>
      <c r="J305" s="50" t="n">
        <f aca="false">I305*H305</f>
        <v>79118.3364117333</v>
      </c>
    </row>
    <row r="306" customFormat="false" ht="15" hidden="false" customHeight="false" outlineLevel="0" collapsed="false">
      <c r="A306" s="46" t="n">
        <v>298</v>
      </c>
      <c r="B306" s="47" t="n">
        <f aca="false">(A306-1)*$C$6</f>
        <v>0.536567040972058</v>
      </c>
      <c r="C306" s="48" t="n">
        <f aca="false">$C$7*B306</f>
        <v>4.125</v>
      </c>
      <c r="D306" s="49" t="n">
        <f aca="false">0.5*c_rho*'P3 Energie'!E8*'P3 Energie'!E7*(C306-c_Vv)^2+'P3 Energie'!E13+'P3 Energie'!E15+'P3 Energie'!E6*$C$7</f>
        <v>18418.0628751372</v>
      </c>
      <c r="E306" s="50" t="n">
        <f aca="false">D306*C306</f>
        <v>75974.5093599408</v>
      </c>
      <c r="F306" s="46" t="n">
        <v>298</v>
      </c>
      <c r="G306" s="47" t="n">
        <f aca="false">(F306-1)*$H$6</f>
        <v>0.536183849270166</v>
      </c>
      <c r="H306" s="48" t="n">
        <f aca="false">$H$7*G306</f>
        <v>4.125</v>
      </c>
      <c r="I306" s="49" t="n">
        <f aca="false">0.5*c_rho*'P3 Energie'!F8*'P3 Energie'!F7*(H306-c_Vv)^2+'P3 Energie'!F13+'P3 Energie'!F15+'P3 Energie'!F6*$H$7</f>
        <v>19245.0404469928</v>
      </c>
      <c r="J306" s="50" t="n">
        <f aca="false">I306*H306</f>
        <v>79385.7918438454</v>
      </c>
    </row>
    <row r="307" customFormat="false" ht="15" hidden="false" customHeight="false" outlineLevel="0" collapsed="false">
      <c r="A307" s="46" t="n">
        <v>299</v>
      </c>
      <c r="B307" s="47" t="n">
        <f aca="false">(A307-1)*$C$6</f>
        <v>0.538373664005634</v>
      </c>
      <c r="C307" s="48" t="n">
        <f aca="false">$C$7*B307</f>
        <v>4.13888888888889</v>
      </c>
      <c r="D307" s="49" t="n">
        <f aca="false">0.5*c_rho*'P3 Energie'!E8*'P3 Energie'!E7*(C307-c_Vv)^2+'P3 Energie'!E13+'P3 Energie'!E15+'P3 Energie'!E6*$C$7</f>
        <v>18418.1087212108</v>
      </c>
      <c r="E307" s="50" t="n">
        <f aca="false">D307*C307</f>
        <v>76230.5055405667</v>
      </c>
      <c r="F307" s="46" t="n">
        <v>299</v>
      </c>
      <c r="G307" s="47" t="n">
        <f aca="false">(F307-1)*$H$6</f>
        <v>0.537989182095992</v>
      </c>
      <c r="H307" s="48" t="n">
        <f aca="false">$H$7*G307</f>
        <v>4.13888888888889</v>
      </c>
      <c r="I307" s="49" t="n">
        <f aca="false">0.5*c_rho*'P3 Energie'!F8*'P3 Energie'!F7*(H307-c_Vv)^2+'P3 Energie'!F13+'P3 Energie'!F15+'P3 Energie'!F6*$H$7</f>
        <v>19245.080279075</v>
      </c>
      <c r="J307" s="50" t="n">
        <f aca="false">I307*H307</f>
        <v>79653.2489328382</v>
      </c>
    </row>
    <row r="308" customFormat="false" ht="15" hidden="false" customHeight="false" outlineLevel="0" collapsed="false">
      <c r="A308" s="46" t="n">
        <v>300</v>
      </c>
      <c r="B308" s="47" t="n">
        <f aca="false">(A308-1)*$C$6</f>
        <v>0.54018028703921</v>
      </c>
      <c r="C308" s="48" t="n">
        <f aca="false">$C$7*B308</f>
        <v>4.15277777777778</v>
      </c>
      <c r="D308" s="49" t="n">
        <f aca="false">0.5*c_rho*'P3 Energie'!E8*'P3 Energie'!E7*(C308-c_Vv)^2+'P3 Energie'!E13+'P3 Energie'!E15+'P3 Energie'!E6*$C$7</f>
        <v>18418.1547213888</v>
      </c>
      <c r="E308" s="50" t="n">
        <f aca="false">D308*C308</f>
        <v>76486.5036346563</v>
      </c>
      <c r="F308" s="46" t="n">
        <v>300</v>
      </c>
      <c r="G308" s="47" t="n">
        <f aca="false">(F308-1)*$H$6</f>
        <v>0.539794514921817</v>
      </c>
      <c r="H308" s="48" t="n">
        <f aca="false">$H$7*G308</f>
        <v>4.15277777777778</v>
      </c>
      <c r="I308" s="49" t="n">
        <f aca="false">0.5*c_rho*'P3 Energie'!F8*'P3 Energie'!F7*(H308-c_Vv)^2+'P3 Energie'!F13+'P3 Energie'!F15+'P3 Energie'!F6*$H$7</f>
        <v>19245.1202450465</v>
      </c>
      <c r="J308" s="50" t="n">
        <f aca="false">I308*H308</f>
        <v>79920.7076842904</v>
      </c>
    </row>
    <row r="309" customFormat="false" ht="15" hidden="false" customHeight="false" outlineLevel="0" collapsed="false">
      <c r="A309" s="46" t="n">
        <v>301</v>
      </c>
      <c r="B309" s="47" t="n">
        <f aca="false">(A309-1)*$C$6</f>
        <v>0.541986910072786</v>
      </c>
      <c r="C309" s="48" t="n">
        <f aca="false">$C$7*B309</f>
        <v>4.16666666666667</v>
      </c>
      <c r="D309" s="49" t="n">
        <f aca="false">0.5*c_rho*'P3 Energie'!E8*'P3 Energie'!E7*(C309-c_Vv)^2+'P3 Energie'!E13+'P3 Energie'!E15+'P3 Energie'!E6*$C$7</f>
        <v>18418.2008756713</v>
      </c>
      <c r="E309" s="50" t="n">
        <f aca="false">D309*C309</f>
        <v>76742.5036486304</v>
      </c>
      <c r="F309" s="46" t="n">
        <v>301</v>
      </c>
      <c r="G309" s="47" t="n">
        <f aca="false">(F309-1)*$H$6</f>
        <v>0.541599847747643</v>
      </c>
      <c r="H309" s="48" t="n">
        <f aca="false">$H$7*G309</f>
        <v>4.16666666666667</v>
      </c>
      <c r="I309" s="49" t="n">
        <f aca="false">0.5*c_rho*'P3 Energie'!F8*'P3 Energie'!F7*(H309-c_Vv)^2+'P3 Energie'!F13+'P3 Energie'!F15+'P3 Energie'!F6*$H$7</f>
        <v>19245.1603449074</v>
      </c>
      <c r="J309" s="50" t="n">
        <f aca="false">I309*H309</f>
        <v>80188.1681037809</v>
      </c>
    </row>
    <row r="310" customFormat="false" ht="15" hidden="false" customHeight="false" outlineLevel="0" collapsed="false">
      <c r="A310" s="46" t="n">
        <v>302</v>
      </c>
      <c r="B310" s="47" t="n">
        <f aca="false">(A310-1)*$C$6</f>
        <v>0.543793533106362</v>
      </c>
      <c r="C310" s="48" t="n">
        <f aca="false">$C$7*B310</f>
        <v>4.18055555555556</v>
      </c>
      <c r="D310" s="49" t="n">
        <f aca="false">0.5*c_rho*'P3 Energie'!E8*'P3 Energie'!E7*(C310-c_Vv)^2+'P3 Energie'!E13+'P3 Energie'!E15+'P3 Energie'!E6*$C$7</f>
        <v>18418.2471840582</v>
      </c>
      <c r="E310" s="50" t="n">
        <f aca="false">D310*C310</f>
        <v>76998.5055889102</v>
      </c>
      <c r="F310" s="46" t="n">
        <v>302</v>
      </c>
      <c r="G310" s="47" t="n">
        <f aca="false">(F310-1)*$H$6</f>
        <v>0.543405180573468</v>
      </c>
      <c r="H310" s="48" t="n">
        <f aca="false">$H$7*G310</f>
        <v>4.18055555555556</v>
      </c>
      <c r="I310" s="49" t="n">
        <f aca="false">0.5*c_rho*'P3 Energie'!F8*'P3 Energie'!F7*(H310-c_Vv)^2+'P3 Energie'!F13+'P3 Energie'!F15+'P3 Energie'!F6*$H$7</f>
        <v>19245.2005786576</v>
      </c>
      <c r="J310" s="50" t="n">
        <f aca="false">I310*H310</f>
        <v>80455.6301968882</v>
      </c>
    </row>
    <row r="311" customFormat="false" ht="15" hidden="false" customHeight="false" outlineLevel="0" collapsed="false">
      <c r="A311" s="46" t="n">
        <v>303</v>
      </c>
      <c r="B311" s="47" t="n">
        <f aca="false">(A311-1)*$C$6</f>
        <v>0.545600156139938</v>
      </c>
      <c r="C311" s="48" t="n">
        <f aca="false">$C$7*B311</f>
        <v>4.19444444444444</v>
      </c>
      <c r="D311" s="49" t="n">
        <f aca="false">0.5*c_rho*'P3 Energie'!E8*'P3 Energie'!E7*(C311-c_Vv)^2+'P3 Energie'!E13+'P3 Energie'!E15+'P3 Energie'!E6*$C$7</f>
        <v>18418.2936465496</v>
      </c>
      <c r="E311" s="50" t="n">
        <f aca="false">D311*C311</f>
        <v>77254.5094619166</v>
      </c>
      <c r="F311" s="46" t="n">
        <v>303</v>
      </c>
      <c r="G311" s="47" t="n">
        <f aca="false">(F311-1)*$H$6</f>
        <v>0.545210513399294</v>
      </c>
      <c r="H311" s="48" t="n">
        <f aca="false">$H$7*G311</f>
        <v>4.19444444444445</v>
      </c>
      <c r="I311" s="49" t="n">
        <f aca="false">0.5*c_rho*'P3 Energie'!F8*'P3 Energie'!F7*(H311-c_Vv)^2+'P3 Energie'!F13+'P3 Energie'!F15+'P3 Energie'!F6*$H$7</f>
        <v>19245.2409462972</v>
      </c>
      <c r="J311" s="50" t="n">
        <f aca="false">I311*H311</f>
        <v>80723.0939691911</v>
      </c>
    </row>
    <row r="312" customFormat="false" ht="15" hidden="false" customHeight="false" outlineLevel="0" collapsed="false">
      <c r="A312" s="46" t="n">
        <v>304</v>
      </c>
      <c r="B312" s="47" t="n">
        <f aca="false">(A312-1)*$C$6</f>
        <v>0.547406779173514</v>
      </c>
      <c r="C312" s="48" t="n">
        <f aca="false">$C$7*B312</f>
        <v>4.20833333333333</v>
      </c>
      <c r="D312" s="49" t="n">
        <f aca="false">0.5*c_rho*'P3 Energie'!E8*'P3 Energie'!E7*(C312-c_Vv)^2+'P3 Energie'!E13+'P3 Energie'!E15+'P3 Energie'!E6*$C$7</f>
        <v>18418.3402631455</v>
      </c>
      <c r="E312" s="50" t="n">
        <f aca="false">D312*C312</f>
        <v>77510.5152740706</v>
      </c>
      <c r="F312" s="46" t="n">
        <v>304</v>
      </c>
      <c r="G312" s="47" t="n">
        <f aca="false">(F312-1)*$H$6</f>
        <v>0.547015846225119</v>
      </c>
      <c r="H312" s="48" t="n">
        <f aca="false">$H$7*G312</f>
        <v>4.20833333333333</v>
      </c>
      <c r="I312" s="49" t="n">
        <f aca="false">0.5*c_rho*'P3 Energie'!F8*'P3 Energie'!F7*(H312-c_Vv)^2+'P3 Energie'!F13+'P3 Energie'!F15+'P3 Energie'!F6*$H$7</f>
        <v>19245.2814478262</v>
      </c>
      <c r="J312" s="50" t="n">
        <f aca="false">I312*H312</f>
        <v>80990.5594262684</v>
      </c>
    </row>
    <row r="313" customFormat="false" ht="15" hidden="false" customHeight="false" outlineLevel="0" collapsed="false">
      <c r="A313" s="46" t="n">
        <v>305</v>
      </c>
      <c r="B313" s="47" t="n">
        <f aca="false">(A313-1)*$C$6</f>
        <v>0.54921340220709</v>
      </c>
      <c r="C313" s="48" t="n">
        <f aca="false">$C$7*B313</f>
        <v>4.22222222222222</v>
      </c>
      <c r="D313" s="49" t="n">
        <f aca="false">0.5*c_rho*'P3 Energie'!E8*'P3 Energie'!E7*(C313-c_Vv)^2+'P3 Energie'!E13+'P3 Energie'!E15+'P3 Energie'!E6*$C$7</f>
        <v>18418.3870338458</v>
      </c>
      <c r="E313" s="50" t="n">
        <f aca="false">D313*C313</f>
        <v>77766.5230317933</v>
      </c>
      <c r="F313" s="46" t="n">
        <v>305</v>
      </c>
      <c r="G313" s="47" t="n">
        <f aca="false">(F313-1)*$H$6</f>
        <v>0.548821179050945</v>
      </c>
      <c r="H313" s="48" t="n">
        <f aca="false">$H$7*G313</f>
        <v>4.22222222222222</v>
      </c>
      <c r="I313" s="49" t="n">
        <f aca="false">0.5*c_rho*'P3 Energie'!F8*'P3 Energie'!F7*(H313-c_Vv)^2+'P3 Energie'!F13+'P3 Energie'!F15+'P3 Energie'!F6*$H$7</f>
        <v>19245.3220832444</v>
      </c>
      <c r="J313" s="50" t="n">
        <f aca="false">I313*H313</f>
        <v>81258.0265736988</v>
      </c>
    </row>
    <row r="314" customFormat="false" ht="15" hidden="false" customHeight="false" outlineLevel="0" collapsed="false">
      <c r="A314" s="46" t="n">
        <v>306</v>
      </c>
      <c r="B314" s="47" t="n">
        <f aca="false">(A314-1)*$C$6</f>
        <v>0.551020025240666</v>
      </c>
      <c r="C314" s="48" t="n">
        <f aca="false">$C$7*B314</f>
        <v>4.23611111111111</v>
      </c>
      <c r="D314" s="49" t="n">
        <f aca="false">0.5*c_rho*'P3 Energie'!E8*'P3 Energie'!E7*(C314-c_Vv)^2+'P3 Energie'!E13+'P3 Energie'!E15+'P3 Energie'!E6*$C$7</f>
        <v>18418.4339586505</v>
      </c>
      <c r="E314" s="50" t="n">
        <f aca="false">D314*C314</f>
        <v>78022.5327415057</v>
      </c>
      <c r="F314" s="46" t="n">
        <v>306</v>
      </c>
      <c r="G314" s="47" t="n">
        <f aca="false">(F314-1)*$H$6</f>
        <v>0.55062651187677</v>
      </c>
      <c r="H314" s="48" t="n">
        <f aca="false">$H$7*G314</f>
        <v>4.23611111111111</v>
      </c>
      <c r="I314" s="49" t="n">
        <f aca="false">0.5*c_rho*'P3 Energie'!F8*'P3 Energie'!F7*(H314-c_Vv)^2+'P3 Energie'!F13+'P3 Energie'!F15+'P3 Energie'!F6*$H$7</f>
        <v>19245.3628525521</v>
      </c>
      <c r="J314" s="50" t="n">
        <f aca="false">I314*H314</f>
        <v>81525.4954170609</v>
      </c>
    </row>
    <row r="315" customFormat="false" ht="15" hidden="false" customHeight="false" outlineLevel="0" collapsed="false">
      <c r="A315" s="46" t="n">
        <v>307</v>
      </c>
      <c r="B315" s="47" t="n">
        <f aca="false">(A315-1)*$C$6</f>
        <v>0.552826648274242</v>
      </c>
      <c r="C315" s="48" t="n">
        <f aca="false">$C$7*B315</f>
        <v>4.25</v>
      </c>
      <c r="D315" s="49" t="n">
        <f aca="false">0.5*c_rho*'P3 Energie'!E8*'P3 Energie'!E7*(C315-c_Vv)^2+'P3 Energie'!E13+'P3 Energie'!E15+'P3 Energie'!E6*$C$7</f>
        <v>18418.4810375597</v>
      </c>
      <c r="E315" s="50" t="n">
        <f aca="false">D315*C315</f>
        <v>78278.5444096288</v>
      </c>
      <c r="F315" s="46" t="n">
        <v>307</v>
      </c>
      <c r="G315" s="47" t="n">
        <f aca="false">(F315-1)*$H$6</f>
        <v>0.552431844702596</v>
      </c>
      <c r="H315" s="48" t="n">
        <f aca="false">$H$7*G315</f>
        <v>4.25</v>
      </c>
      <c r="I315" s="49" t="n">
        <f aca="false">0.5*c_rho*'P3 Energie'!F8*'P3 Energie'!F7*(H315-c_Vv)^2+'P3 Energie'!F13+'P3 Energie'!F15+'P3 Energie'!F6*$H$7</f>
        <v>19245.4037557491</v>
      </c>
      <c r="J315" s="50" t="n">
        <f aca="false">I315*H315</f>
        <v>81792.9659619336</v>
      </c>
    </row>
    <row r="316" customFormat="false" ht="15" hidden="false" customHeight="false" outlineLevel="0" collapsed="false">
      <c r="A316" s="46" t="n">
        <v>308</v>
      </c>
      <c r="B316" s="47" t="n">
        <f aca="false">(A316-1)*$C$6</f>
        <v>0.554633271307818</v>
      </c>
      <c r="C316" s="48" t="n">
        <f aca="false">$C$7*B316</f>
        <v>4.26388888888889</v>
      </c>
      <c r="D316" s="49" t="n">
        <f aca="false">0.5*c_rho*'P3 Energie'!E8*'P3 Energie'!E7*(C316-c_Vv)^2+'P3 Energie'!E13+'P3 Energie'!E15+'P3 Energie'!E6*$C$7</f>
        <v>18418.5282705734</v>
      </c>
      <c r="E316" s="50" t="n">
        <f aca="false">D316*C316</f>
        <v>78534.5580425836</v>
      </c>
      <c r="F316" s="46" t="n">
        <v>308</v>
      </c>
      <c r="G316" s="47" t="n">
        <f aca="false">(F316-1)*$H$6</f>
        <v>0.554237177528421</v>
      </c>
      <c r="H316" s="48" t="n">
        <f aca="false">$H$7*G316</f>
        <v>4.26388888888889</v>
      </c>
      <c r="I316" s="49" t="n">
        <f aca="false">0.5*c_rho*'P3 Energie'!F8*'P3 Energie'!F7*(H316-c_Vv)^2+'P3 Energie'!F13+'P3 Energie'!F15+'P3 Energie'!F6*$H$7</f>
        <v>19245.4447928354</v>
      </c>
      <c r="J316" s="50" t="n">
        <f aca="false">I316*H316</f>
        <v>82060.4382138955</v>
      </c>
    </row>
    <row r="317" customFormat="false" ht="15" hidden="false" customHeight="false" outlineLevel="0" collapsed="false">
      <c r="A317" s="46" t="n">
        <v>309</v>
      </c>
      <c r="B317" s="47" t="n">
        <f aca="false">(A317-1)*$C$6</f>
        <v>0.556439894341394</v>
      </c>
      <c r="C317" s="48" t="n">
        <f aca="false">$C$7*B317</f>
        <v>4.27777777777778</v>
      </c>
      <c r="D317" s="49" t="n">
        <f aca="false">0.5*c_rho*'P3 Energie'!E8*'P3 Energie'!E7*(C317-c_Vv)^2+'P3 Energie'!E13+'P3 Energie'!E15+'P3 Energie'!E6*$C$7</f>
        <v>18418.5756576915</v>
      </c>
      <c r="E317" s="50" t="n">
        <f aca="false">D317*C317</f>
        <v>78790.5736467912</v>
      </c>
      <c r="F317" s="46" t="n">
        <v>309</v>
      </c>
      <c r="G317" s="47" t="n">
        <f aca="false">(F317-1)*$H$6</f>
        <v>0.556042510354247</v>
      </c>
      <c r="H317" s="48" t="n">
        <f aca="false">$H$7*G317</f>
        <v>4.27777777777778</v>
      </c>
      <c r="I317" s="49" t="n">
        <f aca="false">0.5*c_rho*'P3 Energie'!F8*'P3 Energie'!F7*(H317-c_Vv)^2+'P3 Energie'!F13+'P3 Energie'!F15+'P3 Energie'!F6*$H$7</f>
        <v>19245.4859638111</v>
      </c>
      <c r="J317" s="50" t="n">
        <f aca="false">I317*H317</f>
        <v>82327.9121785253</v>
      </c>
    </row>
    <row r="318" customFormat="false" ht="15" hidden="false" customHeight="false" outlineLevel="0" collapsed="false">
      <c r="A318" s="46" t="n">
        <v>310</v>
      </c>
      <c r="B318" s="47" t="n">
        <f aca="false">(A318-1)*$C$6</f>
        <v>0.55824651737497</v>
      </c>
      <c r="C318" s="48" t="n">
        <f aca="false">$C$7*B318</f>
        <v>4.29166666666667</v>
      </c>
      <c r="D318" s="49" t="n">
        <f aca="false">0.5*c_rho*'P3 Energie'!E8*'P3 Energie'!E7*(C318-c_Vv)^2+'P3 Energie'!E13+'P3 Energie'!E15+'P3 Energie'!E6*$C$7</f>
        <v>18418.623198914</v>
      </c>
      <c r="E318" s="50" t="n">
        <f aca="false">D318*C318</f>
        <v>79046.5912286725</v>
      </c>
      <c r="F318" s="46" t="n">
        <v>310</v>
      </c>
      <c r="G318" s="47" t="n">
        <f aca="false">(F318-1)*$H$6</f>
        <v>0.557847843180072</v>
      </c>
      <c r="H318" s="48" t="n">
        <f aca="false">$H$7*G318</f>
        <v>4.29166666666667</v>
      </c>
      <c r="I318" s="49" t="n">
        <f aca="false">0.5*c_rho*'P3 Energie'!F8*'P3 Energie'!F7*(H318-c_Vv)^2+'P3 Energie'!F13+'P3 Energie'!F15+'P3 Energie'!F6*$H$7</f>
        <v>19245.5272686762</v>
      </c>
      <c r="J318" s="50" t="n">
        <f aca="false">I318*H318</f>
        <v>82595.3878614019</v>
      </c>
    </row>
    <row r="319" customFormat="false" ht="15" hidden="false" customHeight="false" outlineLevel="0" collapsed="false">
      <c r="A319" s="46" t="n">
        <v>311</v>
      </c>
      <c r="B319" s="47" t="n">
        <f aca="false">(A319-1)*$C$6</f>
        <v>0.560053140408546</v>
      </c>
      <c r="C319" s="48" t="n">
        <f aca="false">$C$7*B319</f>
        <v>4.30555555555556</v>
      </c>
      <c r="D319" s="49" t="n">
        <f aca="false">0.5*c_rho*'P3 Energie'!E8*'P3 Energie'!E7*(C319-c_Vv)^2+'P3 Energie'!E13+'P3 Energie'!E15+'P3 Energie'!E6*$C$7</f>
        <v>18418.670894241</v>
      </c>
      <c r="E319" s="50" t="n">
        <f aca="false">D319*C319</f>
        <v>79302.6107946487</v>
      </c>
      <c r="F319" s="46" t="n">
        <v>311</v>
      </c>
      <c r="G319" s="47" t="n">
        <f aca="false">(F319-1)*$H$6</f>
        <v>0.559653176005897</v>
      </c>
      <c r="H319" s="48" t="n">
        <f aca="false">$H$7*G319</f>
        <v>4.30555555555556</v>
      </c>
      <c r="I319" s="49" t="n">
        <f aca="false">0.5*c_rho*'P3 Energie'!F8*'P3 Energie'!F7*(H319-c_Vv)^2+'P3 Energie'!F13+'P3 Energie'!F15+'P3 Energie'!F6*$H$7</f>
        <v>19245.5687074306</v>
      </c>
      <c r="J319" s="50" t="n">
        <f aca="false">I319*H319</f>
        <v>82862.8652681038</v>
      </c>
    </row>
    <row r="320" customFormat="false" ht="15" hidden="false" customHeight="false" outlineLevel="0" collapsed="false">
      <c r="A320" s="46" t="n">
        <v>312</v>
      </c>
      <c r="B320" s="47" t="n">
        <f aca="false">(A320-1)*$C$6</f>
        <v>0.561859763442121</v>
      </c>
      <c r="C320" s="48" t="n">
        <f aca="false">$C$7*B320</f>
        <v>4.31944444444444</v>
      </c>
      <c r="D320" s="49" t="n">
        <f aca="false">0.5*c_rho*'P3 Energie'!E8*'P3 Energie'!E7*(C320-c_Vv)^2+'P3 Energie'!E13+'P3 Energie'!E15+'P3 Energie'!E6*$C$7</f>
        <v>18418.7187436724</v>
      </c>
      <c r="E320" s="50" t="n">
        <f aca="false">D320*C320</f>
        <v>79558.6323511406</v>
      </c>
      <c r="F320" s="46" t="n">
        <v>312</v>
      </c>
      <c r="G320" s="47" t="n">
        <f aca="false">(F320-1)*$H$6</f>
        <v>0.561458508831723</v>
      </c>
      <c r="H320" s="48" t="n">
        <f aca="false">$H$7*G320</f>
        <v>4.31944444444445</v>
      </c>
      <c r="I320" s="49" t="n">
        <f aca="false">0.5*c_rho*'P3 Energie'!F8*'P3 Energie'!F7*(H320-c_Vv)^2+'P3 Energie'!F13+'P3 Energie'!F15+'P3 Energie'!F6*$H$7</f>
        <v>19245.6102800743</v>
      </c>
      <c r="J320" s="50" t="n">
        <f aca="false">I320*H320</f>
        <v>83130.3444042099</v>
      </c>
    </row>
    <row r="321" customFormat="false" ht="15" hidden="false" customHeight="false" outlineLevel="0" collapsed="false">
      <c r="A321" s="46" t="n">
        <v>313</v>
      </c>
      <c r="B321" s="47" t="n">
        <f aca="false">(A321-1)*$C$6</f>
        <v>0.563666386475697</v>
      </c>
      <c r="C321" s="48" t="n">
        <f aca="false">$C$7*B321</f>
        <v>4.33333333333333</v>
      </c>
      <c r="D321" s="49" t="n">
        <f aca="false">0.5*c_rho*'P3 Energie'!E8*'P3 Energie'!E7*(C321-c_Vv)^2+'P3 Energie'!E13+'P3 Energie'!E15+'P3 Energie'!E6*$C$7</f>
        <v>18418.7667472083</v>
      </c>
      <c r="E321" s="50" t="n">
        <f aca="false">D321*C321</f>
        <v>79814.6559045693</v>
      </c>
      <c r="F321" s="46" t="n">
        <v>313</v>
      </c>
      <c r="G321" s="47" t="n">
        <f aca="false">(F321-1)*$H$6</f>
        <v>0.563263841657548</v>
      </c>
      <c r="H321" s="48" t="n">
        <f aca="false">$H$7*G321</f>
        <v>4.33333333333333</v>
      </c>
      <c r="I321" s="49" t="n">
        <f aca="false">0.5*c_rho*'P3 Energie'!F8*'P3 Energie'!F7*(H321-c_Vv)^2+'P3 Energie'!F13+'P3 Energie'!F15+'P3 Energie'!F6*$H$7</f>
        <v>19245.6519866074</v>
      </c>
      <c r="J321" s="50" t="n">
        <f aca="false">I321*H321</f>
        <v>83397.8252752988</v>
      </c>
    </row>
    <row r="322" customFormat="false" ht="15" hidden="false" customHeight="false" outlineLevel="0" collapsed="false">
      <c r="A322" s="46" t="n">
        <v>314</v>
      </c>
      <c r="B322" s="47" t="n">
        <f aca="false">(A322-1)*$C$6</f>
        <v>0.565473009509273</v>
      </c>
      <c r="C322" s="48" t="n">
        <f aca="false">$C$7*B322</f>
        <v>4.34722222222222</v>
      </c>
      <c r="D322" s="49" t="n">
        <f aca="false">0.5*c_rho*'P3 Energie'!E8*'P3 Energie'!E7*(C322-c_Vv)^2+'P3 Energie'!E13+'P3 Energie'!E15+'P3 Energie'!E6*$C$7</f>
        <v>18418.8149048486</v>
      </c>
      <c r="E322" s="50" t="n">
        <f aca="false">D322*C322</f>
        <v>80070.6814613559</v>
      </c>
      <c r="F322" s="46" t="n">
        <v>314</v>
      </c>
      <c r="G322" s="47" t="n">
        <f aca="false">(F322-1)*$H$6</f>
        <v>0.565069174483374</v>
      </c>
      <c r="H322" s="48" t="n">
        <f aca="false">$H$7*G322</f>
        <v>4.34722222222222</v>
      </c>
      <c r="I322" s="49" t="n">
        <f aca="false">0.5*c_rho*'P3 Energie'!F8*'P3 Energie'!F7*(H322-c_Vv)^2+'P3 Energie'!F13+'P3 Energie'!F15+'P3 Energie'!F6*$H$7</f>
        <v>19245.6938270299</v>
      </c>
      <c r="J322" s="50" t="n">
        <f aca="false">I322*H322</f>
        <v>83665.3078869493</v>
      </c>
    </row>
    <row r="323" customFormat="false" ht="15" hidden="false" customHeight="false" outlineLevel="0" collapsed="false">
      <c r="A323" s="46" t="n">
        <v>315</v>
      </c>
      <c r="B323" s="47" t="n">
        <f aca="false">(A323-1)*$C$6</f>
        <v>0.567279632542849</v>
      </c>
      <c r="C323" s="48" t="n">
        <f aca="false">$C$7*B323</f>
        <v>4.36111111111111</v>
      </c>
      <c r="D323" s="49" t="n">
        <f aca="false">0.5*c_rho*'P3 Energie'!E8*'P3 Energie'!E7*(C323-c_Vv)^2+'P3 Energie'!E13+'P3 Energie'!E15+'P3 Energie'!E6*$C$7</f>
        <v>18418.8632165934</v>
      </c>
      <c r="E323" s="50" t="n">
        <f aca="false">D323*C323</f>
        <v>80326.7090279213</v>
      </c>
      <c r="F323" s="46" t="n">
        <v>315</v>
      </c>
      <c r="G323" s="47" t="n">
        <f aca="false">(F323-1)*$H$6</f>
        <v>0.566874507309199</v>
      </c>
      <c r="H323" s="48" t="n">
        <f aca="false">$H$7*G323</f>
        <v>4.36111111111111</v>
      </c>
      <c r="I323" s="49" t="n">
        <f aca="false">0.5*c_rho*'P3 Energie'!F8*'P3 Energie'!F7*(H323-c_Vv)^2+'P3 Energie'!F13+'P3 Energie'!F15+'P3 Energie'!F6*$H$7</f>
        <v>19245.7358013417</v>
      </c>
      <c r="J323" s="50" t="n">
        <f aca="false">I323*H323</f>
        <v>83932.7922447401</v>
      </c>
    </row>
    <row r="324" customFormat="false" ht="15" hidden="false" customHeight="false" outlineLevel="0" collapsed="false">
      <c r="A324" s="46" t="n">
        <v>316</v>
      </c>
      <c r="B324" s="47" t="n">
        <f aca="false">(A324-1)*$C$6</f>
        <v>0.569086255576425</v>
      </c>
      <c r="C324" s="48" t="n">
        <f aca="false">$C$7*B324</f>
        <v>4.375</v>
      </c>
      <c r="D324" s="49" t="n">
        <f aca="false">0.5*c_rho*'P3 Energie'!E8*'P3 Energie'!E7*(C324-c_Vv)^2+'P3 Energie'!E13+'P3 Energie'!E15+'P3 Energie'!E6*$C$7</f>
        <v>18418.9116824427</v>
      </c>
      <c r="E324" s="50" t="n">
        <f aca="false">D324*C324</f>
        <v>80582.7386106866</v>
      </c>
      <c r="F324" s="46" t="n">
        <v>316</v>
      </c>
      <c r="G324" s="47" t="n">
        <f aca="false">(F324-1)*$H$6</f>
        <v>0.568679840135025</v>
      </c>
      <c r="H324" s="48" t="n">
        <f aca="false">$H$7*G324</f>
        <v>4.375</v>
      </c>
      <c r="I324" s="49" t="n">
        <f aca="false">0.5*c_rho*'P3 Energie'!F8*'P3 Energie'!F7*(H324-c_Vv)^2+'P3 Energie'!F13+'P3 Energie'!F15+'P3 Energie'!F6*$H$7</f>
        <v>19245.7779095428</v>
      </c>
      <c r="J324" s="50" t="n">
        <f aca="false">I324*H324</f>
        <v>84200.2783542499</v>
      </c>
    </row>
    <row r="325" customFormat="false" ht="15" hidden="false" customHeight="false" outlineLevel="0" collapsed="false">
      <c r="A325" s="46" t="n">
        <v>317</v>
      </c>
      <c r="B325" s="47" t="n">
        <f aca="false">(A325-1)*$C$6</f>
        <v>0.570892878610001</v>
      </c>
      <c r="C325" s="48" t="n">
        <f aca="false">$C$7*B325</f>
        <v>4.38888888888889</v>
      </c>
      <c r="D325" s="49" t="n">
        <f aca="false">0.5*c_rho*'P3 Energie'!E8*'P3 Energie'!E7*(C325-c_Vv)^2+'P3 Energie'!E13+'P3 Energie'!E15+'P3 Energie'!E6*$C$7</f>
        <v>18418.9603023963</v>
      </c>
      <c r="E325" s="50" t="n">
        <f aca="false">D325*C325</f>
        <v>80838.7702160728</v>
      </c>
      <c r="F325" s="46" t="n">
        <v>317</v>
      </c>
      <c r="G325" s="47" t="n">
        <f aca="false">(F325-1)*$H$6</f>
        <v>0.57048517296085</v>
      </c>
      <c r="H325" s="48" t="n">
        <f aca="false">$H$7*G325</f>
        <v>4.38888888888889</v>
      </c>
      <c r="I325" s="49" t="n">
        <f aca="false">0.5*c_rho*'P3 Energie'!F8*'P3 Energie'!F7*(H325-c_Vv)^2+'P3 Energie'!F13+'P3 Energie'!F15+'P3 Energie'!F6*$H$7</f>
        <v>19245.8201516333</v>
      </c>
      <c r="J325" s="50" t="n">
        <f aca="false">I325*H325</f>
        <v>84467.7662210574</v>
      </c>
    </row>
    <row r="326" customFormat="false" ht="15" hidden="false" customHeight="false" outlineLevel="0" collapsed="false">
      <c r="A326" s="46" t="n">
        <v>318</v>
      </c>
      <c r="B326" s="47" t="n">
        <f aca="false">(A326-1)*$C$6</f>
        <v>0.572699501643577</v>
      </c>
      <c r="C326" s="48" t="n">
        <f aca="false">$C$7*B326</f>
        <v>4.40277777777778</v>
      </c>
      <c r="D326" s="49" t="n">
        <f aca="false">0.5*c_rho*'P3 Energie'!E8*'P3 Energie'!E7*(C326-c_Vv)^2+'P3 Energie'!E13+'P3 Energie'!E15+'P3 Energie'!E6*$C$7</f>
        <v>18419.0090764545</v>
      </c>
      <c r="E326" s="50" t="n">
        <f aca="false">D326*C326</f>
        <v>81094.8038505009</v>
      </c>
      <c r="F326" s="46" t="n">
        <v>318</v>
      </c>
      <c r="G326" s="47" t="n">
        <f aca="false">(F326-1)*$H$6</f>
        <v>0.572290505786676</v>
      </c>
      <c r="H326" s="48" t="n">
        <f aca="false">$H$7*G326</f>
        <v>4.40277777777778</v>
      </c>
      <c r="I326" s="49" t="n">
        <f aca="false">0.5*c_rho*'P3 Energie'!F8*'P3 Energie'!F7*(H326-c_Vv)^2+'P3 Energie'!F13+'P3 Energie'!F15+'P3 Energie'!F6*$H$7</f>
        <v>19245.8625276132</v>
      </c>
      <c r="J326" s="50" t="n">
        <f aca="false">I326*H326</f>
        <v>84735.2558507414</v>
      </c>
    </row>
    <row r="327" customFormat="false" ht="15" hidden="false" customHeight="false" outlineLevel="0" collapsed="false">
      <c r="A327" s="46" t="n">
        <v>319</v>
      </c>
      <c r="B327" s="47" t="n">
        <f aca="false">(A327-1)*$C$6</f>
        <v>0.574506124677153</v>
      </c>
      <c r="C327" s="48" t="n">
        <f aca="false">$C$7*B327</f>
        <v>4.41666666666667</v>
      </c>
      <c r="D327" s="49" t="n">
        <f aca="false">0.5*c_rho*'P3 Energie'!E8*'P3 Energie'!E7*(C327-c_Vv)^2+'P3 Energie'!E13+'P3 Energie'!E15+'P3 Energie'!E6*$C$7</f>
        <v>18419.0580046171</v>
      </c>
      <c r="E327" s="50" t="n">
        <f aca="false">D327*C327</f>
        <v>81350.839520392</v>
      </c>
      <c r="F327" s="46" t="n">
        <v>319</v>
      </c>
      <c r="G327" s="47" t="n">
        <f aca="false">(F327-1)*$H$6</f>
        <v>0.574095838612501</v>
      </c>
      <c r="H327" s="48" t="n">
        <f aca="false">$H$7*G327</f>
        <v>4.41666666666667</v>
      </c>
      <c r="I327" s="49" t="n">
        <f aca="false">0.5*c_rho*'P3 Energie'!F8*'P3 Energie'!F7*(H327-c_Vv)^2+'P3 Energie'!F13+'P3 Energie'!F15+'P3 Energie'!F6*$H$7</f>
        <v>19245.9050374824</v>
      </c>
      <c r="J327" s="50" t="n">
        <f aca="false">I327*H327</f>
        <v>85002.7472488806</v>
      </c>
    </row>
    <row r="328" customFormat="false" ht="15" hidden="false" customHeight="false" outlineLevel="0" collapsed="false">
      <c r="A328" s="46" t="n">
        <v>320</v>
      </c>
      <c r="B328" s="47" t="n">
        <f aca="false">(A328-1)*$C$6</f>
        <v>0.576312747710729</v>
      </c>
      <c r="C328" s="48" t="n">
        <f aca="false">$C$7*B328</f>
        <v>4.43055555555556</v>
      </c>
      <c r="D328" s="49" t="n">
        <f aca="false">0.5*c_rho*'P3 Energie'!E8*'P3 Energie'!E7*(C328-c_Vv)^2+'P3 Energie'!E13+'P3 Energie'!E15+'P3 Energie'!E6*$C$7</f>
        <v>18419.1070868841</v>
      </c>
      <c r="E328" s="50" t="n">
        <f aca="false">D328*C328</f>
        <v>81606.877232167</v>
      </c>
      <c r="F328" s="46" t="n">
        <v>320</v>
      </c>
      <c r="G328" s="47" t="n">
        <f aca="false">(F328-1)*$H$6</f>
        <v>0.575901171438327</v>
      </c>
      <c r="H328" s="48" t="n">
        <f aca="false">$H$7*G328</f>
        <v>4.43055555555556</v>
      </c>
      <c r="I328" s="49" t="n">
        <f aca="false">0.5*c_rho*'P3 Energie'!F8*'P3 Energie'!F7*(H328-c_Vv)^2+'P3 Energie'!F13+'P3 Energie'!F15+'P3 Energie'!F6*$H$7</f>
        <v>19245.947681241</v>
      </c>
      <c r="J328" s="50" t="n">
        <f aca="false">I328*H328</f>
        <v>85270.2404210538</v>
      </c>
    </row>
    <row r="329" customFormat="false" ht="15" hidden="false" customHeight="false" outlineLevel="0" collapsed="false">
      <c r="A329" s="46" t="n">
        <v>321</v>
      </c>
      <c r="B329" s="47" t="n">
        <f aca="false">(A329-1)*$C$6</f>
        <v>0.578119370744305</v>
      </c>
      <c r="C329" s="48" t="n">
        <f aca="false">$C$7*B329</f>
        <v>4.44444444444445</v>
      </c>
      <c r="D329" s="49" t="n">
        <f aca="false">0.5*c_rho*'P3 Energie'!E8*'P3 Energie'!E7*(C329-c_Vv)^2+'P3 Energie'!E13+'P3 Energie'!E15+'P3 Energie'!E6*$C$7</f>
        <v>18419.1563232556</v>
      </c>
      <c r="E329" s="50" t="n">
        <f aca="false">D329*C329</f>
        <v>81862.9169922469</v>
      </c>
      <c r="F329" s="46" t="n">
        <v>321</v>
      </c>
      <c r="G329" s="47" t="n">
        <f aca="false">(F329-1)*$H$6</f>
        <v>0.577706504264152</v>
      </c>
      <c r="H329" s="48" t="n">
        <f aca="false">$H$7*G329</f>
        <v>4.44444444444445</v>
      </c>
      <c r="I329" s="49" t="n">
        <f aca="false">0.5*c_rho*'P3 Energie'!F8*'P3 Energie'!F7*(H329-c_Vv)^2+'P3 Energie'!F13+'P3 Energie'!F15+'P3 Energie'!F6*$H$7</f>
        <v>19245.9904588889</v>
      </c>
      <c r="J329" s="50" t="n">
        <f aca="false">I329*H329</f>
        <v>85537.7353728395</v>
      </c>
    </row>
    <row r="330" customFormat="false" ht="15" hidden="false" customHeight="false" outlineLevel="0" collapsed="false">
      <c r="A330" s="46" t="n">
        <v>322</v>
      </c>
      <c r="B330" s="47" t="n">
        <f aca="false">(A330-1)*$C$6</f>
        <v>0.579925993777881</v>
      </c>
      <c r="C330" s="48" t="n">
        <f aca="false">$C$7*B330</f>
        <v>4.45833333333333</v>
      </c>
      <c r="D330" s="49" t="n">
        <f aca="false">0.5*c_rho*'P3 Energie'!E8*'P3 Energie'!E7*(C330-c_Vv)^2+'P3 Energie'!E13+'P3 Energie'!E15+'P3 Energie'!E6*$C$7</f>
        <v>18419.2057137315</v>
      </c>
      <c r="E330" s="50" t="n">
        <f aca="false">D330*C330</f>
        <v>82118.9588070529</v>
      </c>
      <c r="F330" s="46" t="n">
        <v>322</v>
      </c>
      <c r="G330" s="47" t="n">
        <f aca="false">(F330-1)*$H$6</f>
        <v>0.579511837089978</v>
      </c>
      <c r="H330" s="48" t="n">
        <f aca="false">$H$7*G330</f>
        <v>4.45833333333333</v>
      </c>
      <c r="I330" s="49" t="n">
        <f aca="false">0.5*c_rho*'P3 Energie'!F8*'P3 Energie'!F7*(H330-c_Vv)^2+'P3 Energie'!F13+'P3 Energie'!F15+'P3 Energie'!F6*$H$7</f>
        <v>19246.0333704262</v>
      </c>
      <c r="J330" s="50" t="n">
        <f aca="false">I330*H330</f>
        <v>85805.2321098166</v>
      </c>
    </row>
    <row r="331" customFormat="false" ht="15" hidden="false" customHeight="false" outlineLevel="0" collapsed="false">
      <c r="A331" s="46" t="n">
        <v>323</v>
      </c>
      <c r="B331" s="47" t="n">
        <f aca="false">(A331-1)*$C$6</f>
        <v>0.581732616811457</v>
      </c>
      <c r="C331" s="48" t="n">
        <f aca="false">$C$7*B331</f>
        <v>4.47222222222222</v>
      </c>
      <c r="D331" s="49" t="n">
        <f aca="false">0.5*c_rho*'P3 Energie'!E8*'P3 Energie'!E7*(C331-c_Vv)^2+'P3 Energie'!E13+'P3 Energie'!E15+'P3 Energie'!E6*$C$7</f>
        <v>18419.2552583119</v>
      </c>
      <c r="E331" s="50" t="n">
        <f aca="false">D331*C331</f>
        <v>82375.0026830059</v>
      </c>
      <c r="F331" s="46" t="n">
        <v>323</v>
      </c>
      <c r="G331" s="47" t="n">
        <f aca="false">(F331-1)*$H$6</f>
        <v>0.581317169915803</v>
      </c>
      <c r="H331" s="48" t="n">
        <f aca="false">$H$7*G331</f>
        <v>4.47222222222222</v>
      </c>
      <c r="I331" s="49" t="n">
        <f aca="false">0.5*c_rho*'P3 Energie'!F8*'P3 Energie'!F7*(H331-c_Vv)^2+'P3 Energie'!F13+'P3 Energie'!F15+'P3 Energie'!F6*$H$7</f>
        <v>19246.0764158528</v>
      </c>
      <c r="J331" s="50" t="n">
        <f aca="false">I331*H331</f>
        <v>86072.7306375638</v>
      </c>
    </row>
    <row r="332" customFormat="false" ht="15" hidden="false" customHeight="false" outlineLevel="0" collapsed="false">
      <c r="A332" s="46" t="n">
        <v>324</v>
      </c>
      <c r="B332" s="47" t="n">
        <f aca="false">(A332-1)*$C$6</f>
        <v>0.583539239845033</v>
      </c>
      <c r="C332" s="48" t="n">
        <f aca="false">$C$7*B332</f>
        <v>4.48611111111111</v>
      </c>
      <c r="D332" s="49" t="n">
        <f aca="false">0.5*c_rho*'P3 Energie'!E8*'P3 Energie'!E7*(C332-c_Vv)^2+'P3 Energie'!E13+'P3 Energie'!E15+'P3 Energie'!E6*$C$7</f>
        <v>18419.3049569967</v>
      </c>
      <c r="E332" s="50" t="n">
        <f aca="false">D332*C332</f>
        <v>82631.0486265268</v>
      </c>
      <c r="F332" s="46" t="n">
        <v>324</v>
      </c>
      <c r="G332" s="47" t="n">
        <f aca="false">(F332-1)*$H$6</f>
        <v>0.583122502741629</v>
      </c>
      <c r="H332" s="48" t="n">
        <f aca="false">$H$7*G332</f>
        <v>4.48611111111111</v>
      </c>
      <c r="I332" s="49" t="n">
        <f aca="false">0.5*c_rho*'P3 Energie'!F8*'P3 Energie'!F7*(H332-c_Vv)^2+'P3 Energie'!F13+'P3 Energie'!F15+'P3 Energie'!F6*$H$7</f>
        <v>19246.1195951688</v>
      </c>
      <c r="J332" s="50" t="n">
        <f aca="false">I332*H332</f>
        <v>86340.2309616598</v>
      </c>
    </row>
    <row r="333" customFormat="false" ht="15" hidden="false" customHeight="false" outlineLevel="0" collapsed="false">
      <c r="A333" s="46" t="n">
        <v>325</v>
      </c>
      <c r="B333" s="47" t="n">
        <f aca="false">(A333-1)*$C$6</f>
        <v>0.585345862878609</v>
      </c>
      <c r="C333" s="48" t="n">
        <f aca="false">$C$7*B333</f>
        <v>4.5</v>
      </c>
      <c r="D333" s="49" t="n">
        <f aca="false">0.5*c_rho*'P3 Energie'!E8*'P3 Energie'!E7*(C333-c_Vv)^2+'P3 Energie'!E13+'P3 Energie'!E15+'P3 Energie'!E6*$C$7</f>
        <v>18419.354809786</v>
      </c>
      <c r="E333" s="50" t="n">
        <f aca="false">D333*C333</f>
        <v>82887.0966440369</v>
      </c>
      <c r="F333" s="46" t="n">
        <v>325</v>
      </c>
      <c r="G333" s="47" t="n">
        <f aca="false">(F333-1)*$H$6</f>
        <v>0.584927835567454</v>
      </c>
      <c r="H333" s="48" t="n">
        <f aca="false">$H$7*G333</f>
        <v>4.5</v>
      </c>
      <c r="I333" s="49" t="n">
        <f aca="false">0.5*c_rho*'P3 Energie'!F8*'P3 Energie'!F7*(H333-c_Vv)^2+'P3 Energie'!F13+'P3 Energie'!F15+'P3 Energie'!F6*$H$7</f>
        <v>19246.1629083741</v>
      </c>
      <c r="J333" s="50" t="n">
        <f aca="false">I333*H333</f>
        <v>86607.7330876834</v>
      </c>
    </row>
    <row r="334" customFormat="false" ht="15" hidden="false" customHeight="false" outlineLevel="0" collapsed="false">
      <c r="A334" s="46" t="n">
        <v>326</v>
      </c>
      <c r="B334" s="47" t="n">
        <f aca="false">(A334-1)*$C$6</f>
        <v>0.587152485912185</v>
      </c>
      <c r="C334" s="48" t="n">
        <f aca="false">$C$7*B334</f>
        <v>4.51388888888889</v>
      </c>
      <c r="D334" s="49" t="n">
        <f aca="false">0.5*c_rho*'P3 Energie'!E8*'P3 Energie'!E7*(C334-c_Vv)^2+'P3 Energie'!E13+'P3 Energie'!E15+'P3 Energie'!E6*$C$7</f>
        <v>18419.4048166797</v>
      </c>
      <c r="E334" s="50" t="n">
        <f aca="false">D334*C334</f>
        <v>83143.146741957</v>
      </c>
      <c r="F334" s="46" t="n">
        <v>326</v>
      </c>
      <c r="G334" s="47" t="n">
        <f aca="false">(F334-1)*$H$6</f>
        <v>0.58673316839328</v>
      </c>
      <c r="H334" s="48" t="n">
        <f aca="false">$H$7*G334</f>
        <v>4.51388888888889</v>
      </c>
      <c r="I334" s="49" t="n">
        <f aca="false">0.5*c_rho*'P3 Energie'!F8*'P3 Energie'!F7*(H334-c_Vv)^2+'P3 Energie'!F13+'P3 Energie'!F15+'P3 Energie'!F6*$H$7</f>
        <v>19246.2063554688</v>
      </c>
      <c r="J334" s="50" t="n">
        <f aca="false">I334*H334</f>
        <v>86875.2370212131</v>
      </c>
    </row>
    <row r="335" customFormat="false" ht="15" hidden="false" customHeight="false" outlineLevel="0" collapsed="false">
      <c r="A335" s="46" t="n">
        <v>327</v>
      </c>
      <c r="B335" s="47" t="n">
        <f aca="false">(A335-1)*$C$6</f>
        <v>0.588959108945761</v>
      </c>
      <c r="C335" s="48" t="n">
        <f aca="false">$C$7*B335</f>
        <v>4.52777777777778</v>
      </c>
      <c r="D335" s="49" t="n">
        <f aca="false">0.5*c_rho*'P3 Energie'!E8*'P3 Energie'!E7*(C335-c_Vv)^2+'P3 Energie'!E13+'P3 Energie'!E15+'P3 Energie'!E6*$C$7</f>
        <v>18419.4549776779</v>
      </c>
      <c r="E335" s="50" t="n">
        <f aca="false">D335*C335</f>
        <v>83399.1989267081</v>
      </c>
      <c r="F335" s="46" t="n">
        <v>327</v>
      </c>
      <c r="G335" s="47" t="n">
        <f aca="false">(F335-1)*$H$6</f>
        <v>0.588538501219105</v>
      </c>
      <c r="H335" s="48" t="n">
        <f aca="false">$H$7*G335</f>
        <v>4.52777777777778</v>
      </c>
      <c r="I335" s="49" t="n">
        <f aca="false">0.5*c_rho*'P3 Energie'!F8*'P3 Energie'!F7*(H335-c_Vv)^2+'P3 Energie'!F13+'P3 Energie'!F15+'P3 Energie'!F6*$H$7</f>
        <v>19246.2499364528</v>
      </c>
      <c r="J335" s="50" t="n">
        <f aca="false">I335*H335</f>
        <v>87142.7427678279</v>
      </c>
    </row>
    <row r="336" customFormat="false" ht="15" hidden="false" customHeight="false" outlineLevel="0" collapsed="false">
      <c r="A336" s="46" t="n">
        <v>328</v>
      </c>
      <c r="B336" s="47" t="n">
        <f aca="false">(A336-1)*$C$6</f>
        <v>0.590765731979337</v>
      </c>
      <c r="C336" s="48" t="n">
        <f aca="false">$C$7*B336</f>
        <v>4.54166666666667</v>
      </c>
      <c r="D336" s="49" t="n">
        <f aca="false">0.5*c_rho*'P3 Energie'!E8*'P3 Energie'!E7*(C336-c_Vv)^2+'P3 Energie'!E13+'P3 Energie'!E15+'P3 Energie'!E6*$C$7</f>
        <v>18419.5052927805</v>
      </c>
      <c r="E336" s="50" t="n">
        <f aca="false">D336*C336</f>
        <v>83655.2532047114</v>
      </c>
      <c r="F336" s="46" t="n">
        <v>328</v>
      </c>
      <c r="G336" s="47" t="n">
        <f aca="false">(F336-1)*$H$6</f>
        <v>0.590343834044931</v>
      </c>
      <c r="H336" s="48" t="n">
        <f aca="false">$H$7*G336</f>
        <v>4.54166666666667</v>
      </c>
      <c r="I336" s="49" t="n">
        <f aca="false">0.5*c_rho*'P3 Energie'!F8*'P3 Energie'!F7*(H336-c_Vv)^2+'P3 Energie'!F13+'P3 Energie'!F15+'P3 Energie'!F6*$H$7</f>
        <v>19246.2936513262</v>
      </c>
      <c r="J336" s="50" t="n">
        <f aca="false">I336*H336</f>
        <v>87410.2503331063</v>
      </c>
    </row>
    <row r="337" customFormat="false" ht="15" hidden="false" customHeight="false" outlineLevel="0" collapsed="false">
      <c r="A337" s="46" t="n">
        <v>329</v>
      </c>
      <c r="B337" s="47" t="n">
        <f aca="false">(A337-1)*$C$6</f>
        <v>0.592572355012913</v>
      </c>
      <c r="C337" s="48" t="n">
        <f aca="false">$C$7*B337</f>
        <v>4.55555555555556</v>
      </c>
      <c r="D337" s="49" t="n">
        <f aca="false">0.5*c_rho*'P3 Energie'!E8*'P3 Energie'!E7*(C337-c_Vv)^2+'P3 Energie'!E13+'P3 Energie'!E15+'P3 Energie'!E6*$C$7</f>
        <v>18419.5557619876</v>
      </c>
      <c r="E337" s="50" t="n">
        <f aca="false">D337*C337</f>
        <v>83911.3095823878</v>
      </c>
      <c r="F337" s="46" t="n">
        <v>329</v>
      </c>
      <c r="G337" s="47" t="n">
        <f aca="false">(F337-1)*$H$6</f>
        <v>0.592149166870756</v>
      </c>
      <c r="H337" s="48" t="n">
        <f aca="false">$H$7*G337</f>
        <v>4.55555555555556</v>
      </c>
      <c r="I337" s="49" t="n">
        <f aca="false">0.5*c_rho*'P3 Energie'!F8*'P3 Energie'!F7*(H337-c_Vv)^2+'P3 Energie'!F13+'P3 Energie'!F15+'P3 Energie'!F6*$H$7</f>
        <v>19246.3375000889</v>
      </c>
      <c r="J337" s="50" t="n">
        <f aca="false">I337*H337</f>
        <v>87677.7597226272</v>
      </c>
    </row>
    <row r="338" customFormat="false" ht="15" hidden="false" customHeight="false" outlineLevel="0" collapsed="false">
      <c r="A338" s="46" t="n">
        <v>330</v>
      </c>
      <c r="B338" s="47" t="n">
        <f aca="false">(A338-1)*$C$6</f>
        <v>0.594378978046489</v>
      </c>
      <c r="C338" s="48" t="n">
        <f aca="false">$C$7*B338</f>
        <v>4.56944444444445</v>
      </c>
      <c r="D338" s="49" t="n">
        <f aca="false">0.5*c_rho*'P3 Energie'!E8*'P3 Energie'!E7*(C338-c_Vv)^2+'P3 Energie'!E13+'P3 Energie'!E15+'P3 Energie'!E6*$C$7</f>
        <v>18419.6063852991</v>
      </c>
      <c r="E338" s="50" t="n">
        <f aca="false">D338*C338</f>
        <v>84167.3680661583</v>
      </c>
      <c r="F338" s="46" t="n">
        <v>330</v>
      </c>
      <c r="G338" s="47" t="n">
        <f aca="false">(F338-1)*$H$6</f>
        <v>0.593954499696581</v>
      </c>
      <c r="H338" s="48" t="n">
        <f aca="false">$H$7*G338</f>
        <v>4.56944444444445</v>
      </c>
      <c r="I338" s="49" t="n">
        <f aca="false">0.5*c_rho*'P3 Energie'!F8*'P3 Energie'!F7*(H338-c_Vv)^2+'P3 Energie'!F13+'P3 Energie'!F15+'P3 Energie'!F6*$H$7</f>
        <v>19246.381482741</v>
      </c>
      <c r="J338" s="50" t="n">
        <f aca="false">I338*H338</f>
        <v>87945.2709419692</v>
      </c>
    </row>
    <row r="339" customFormat="false" ht="15" hidden="false" customHeight="false" outlineLevel="0" collapsed="false">
      <c r="A339" s="46" t="n">
        <v>331</v>
      </c>
      <c r="B339" s="47" t="n">
        <f aca="false">(A339-1)*$C$6</f>
        <v>0.596185601080065</v>
      </c>
      <c r="C339" s="48" t="n">
        <f aca="false">$C$7*B339</f>
        <v>4.58333333333333</v>
      </c>
      <c r="D339" s="49" t="n">
        <f aca="false">0.5*c_rho*'P3 Energie'!E8*'P3 Energie'!E7*(C339-c_Vv)^2+'P3 Energie'!E13+'P3 Energie'!E15+'P3 Energie'!E6*$C$7</f>
        <v>18419.6571627151</v>
      </c>
      <c r="E339" s="50" t="n">
        <f aca="false">D339*C339</f>
        <v>84423.428662444</v>
      </c>
      <c r="F339" s="46" t="n">
        <v>331</v>
      </c>
      <c r="G339" s="47" t="n">
        <f aca="false">(F339-1)*$H$6</f>
        <v>0.595759832522407</v>
      </c>
      <c r="H339" s="48" t="n">
        <f aca="false">$H$7*G339</f>
        <v>4.58333333333333</v>
      </c>
      <c r="I339" s="49" t="n">
        <f aca="false">0.5*c_rho*'P3 Energie'!F8*'P3 Energie'!F7*(H339-c_Vv)^2+'P3 Energie'!F13+'P3 Energie'!F15+'P3 Energie'!F6*$H$7</f>
        <v>19246.4255992824</v>
      </c>
      <c r="J339" s="50" t="n">
        <f aca="false">I339*H339</f>
        <v>88212.7839967111</v>
      </c>
    </row>
    <row r="340" customFormat="false" ht="15" hidden="false" customHeight="false" outlineLevel="0" collapsed="false">
      <c r="A340" s="46" t="n">
        <v>332</v>
      </c>
      <c r="B340" s="47" t="n">
        <f aca="false">(A340-1)*$C$6</f>
        <v>0.597992224113641</v>
      </c>
      <c r="C340" s="48" t="n">
        <f aca="false">$C$7*B340</f>
        <v>4.59722222222222</v>
      </c>
      <c r="D340" s="49" t="n">
        <f aca="false">0.5*c_rho*'P3 Energie'!E8*'P3 Energie'!E7*(C340-c_Vv)^2+'P3 Energie'!E13+'P3 Energie'!E15+'P3 Energie'!E6*$C$7</f>
        <v>18419.7080942355</v>
      </c>
      <c r="E340" s="50" t="n">
        <f aca="false">D340*C340</f>
        <v>84679.4913776658</v>
      </c>
      <c r="F340" s="46" t="n">
        <v>332</v>
      </c>
      <c r="G340" s="47" t="n">
        <f aca="false">(F340-1)*$H$6</f>
        <v>0.597565165348232</v>
      </c>
      <c r="H340" s="48" t="n">
        <f aca="false">$H$7*G340</f>
        <v>4.59722222222222</v>
      </c>
      <c r="I340" s="49" t="n">
        <f aca="false">0.5*c_rho*'P3 Energie'!F8*'P3 Energie'!F7*(H340-c_Vv)^2+'P3 Energie'!F13+'P3 Energie'!F15+'P3 Energie'!F6*$H$7</f>
        <v>19246.4698497132</v>
      </c>
      <c r="J340" s="50" t="n">
        <f aca="false">I340*H340</f>
        <v>88480.2988924315</v>
      </c>
    </row>
    <row r="341" customFormat="false" ht="15" hidden="false" customHeight="false" outlineLevel="0" collapsed="false">
      <c r="A341" s="46" t="n">
        <v>333</v>
      </c>
      <c r="B341" s="47" t="n">
        <f aca="false">(A341-1)*$C$6</f>
        <v>0.599798847147216</v>
      </c>
      <c r="C341" s="48" t="n">
        <f aca="false">$C$7*B341</f>
        <v>4.61111111111111</v>
      </c>
      <c r="D341" s="49" t="n">
        <f aca="false">0.5*c_rho*'P3 Energie'!E8*'P3 Energie'!E7*(C341-c_Vv)^2+'P3 Energie'!E13+'P3 Energie'!E15+'P3 Energie'!E6*$C$7</f>
        <v>18419.7591798603</v>
      </c>
      <c r="E341" s="50" t="n">
        <f aca="false">D341*C341</f>
        <v>84935.5562182449</v>
      </c>
      <c r="F341" s="46" t="n">
        <v>333</v>
      </c>
      <c r="G341" s="47" t="n">
        <f aca="false">(F341-1)*$H$6</f>
        <v>0.599370498174058</v>
      </c>
      <c r="H341" s="48" t="n">
        <f aca="false">$H$7*G341</f>
        <v>4.61111111111111</v>
      </c>
      <c r="I341" s="49" t="n">
        <f aca="false">0.5*c_rho*'P3 Energie'!F8*'P3 Energie'!F7*(H341-c_Vv)^2+'P3 Energie'!F13+'P3 Energie'!F15+'P3 Energie'!F6*$H$7</f>
        <v>19246.5142340333</v>
      </c>
      <c r="J341" s="50" t="n">
        <f aca="false">I341*H341</f>
        <v>88747.8156347093</v>
      </c>
    </row>
    <row r="342" customFormat="false" ht="15" hidden="false" customHeight="false" outlineLevel="0" collapsed="false">
      <c r="A342" s="46" t="n">
        <v>334</v>
      </c>
      <c r="B342" s="47" t="n">
        <f aca="false">(A342-1)*$C$6</f>
        <v>0.601605470180793</v>
      </c>
      <c r="C342" s="48" t="n">
        <f aca="false">$C$7*B342</f>
        <v>4.625</v>
      </c>
      <c r="D342" s="49" t="n">
        <f aca="false">0.5*c_rho*'P3 Energie'!E8*'P3 Energie'!E7*(C342-c_Vv)^2+'P3 Energie'!E13+'P3 Energie'!E15+'P3 Energie'!E6*$C$7</f>
        <v>18419.8104195897</v>
      </c>
      <c r="E342" s="50" t="n">
        <f aca="false">D342*C342</f>
        <v>85191.6231906022</v>
      </c>
      <c r="F342" s="46" t="n">
        <v>334</v>
      </c>
      <c r="G342" s="47" t="n">
        <f aca="false">(F342-1)*$H$6</f>
        <v>0.601175830999883</v>
      </c>
      <c r="H342" s="48" t="n">
        <f aca="false">$H$7*G342</f>
        <v>4.625</v>
      </c>
      <c r="I342" s="49" t="n">
        <f aca="false">0.5*c_rho*'P3 Energie'!F8*'P3 Energie'!F7*(H342-c_Vv)^2+'P3 Energie'!F13+'P3 Energie'!F15+'P3 Energie'!F6*$H$7</f>
        <v>19246.5587522428</v>
      </c>
      <c r="J342" s="50" t="n">
        <f aca="false">I342*H342</f>
        <v>89015.3342291231</v>
      </c>
    </row>
    <row r="343" customFormat="false" ht="15" hidden="false" customHeight="false" outlineLevel="0" collapsed="false">
      <c r="A343" s="46" t="n">
        <v>335</v>
      </c>
      <c r="B343" s="47" t="n">
        <f aca="false">(A343-1)*$C$6</f>
        <v>0.603412093214368</v>
      </c>
      <c r="C343" s="48" t="n">
        <f aca="false">$C$7*B343</f>
        <v>4.63888888888889</v>
      </c>
      <c r="D343" s="49" t="n">
        <f aca="false">0.5*c_rho*'P3 Energie'!E8*'P3 Energie'!E7*(C343-c_Vv)^2+'P3 Energie'!E13+'P3 Energie'!E15+'P3 Energie'!E6*$C$7</f>
        <v>18419.8618134234</v>
      </c>
      <c r="E343" s="50" t="n">
        <f aca="false">D343*C343</f>
        <v>85447.6923011587</v>
      </c>
      <c r="F343" s="46" t="n">
        <v>335</v>
      </c>
      <c r="G343" s="47" t="n">
        <f aca="false">(F343-1)*$H$6</f>
        <v>0.602981163825709</v>
      </c>
      <c r="H343" s="48" t="n">
        <f aca="false">$H$7*G343</f>
        <v>4.63888888888889</v>
      </c>
      <c r="I343" s="49" t="n">
        <f aca="false">0.5*c_rho*'P3 Energie'!F8*'P3 Energie'!F7*(H343-c_Vv)^2+'P3 Energie'!F13+'P3 Energie'!F15+'P3 Energie'!F6*$H$7</f>
        <v>19246.6034043417</v>
      </c>
      <c r="J343" s="50" t="n">
        <f aca="false">I343*H343</f>
        <v>89282.8546812516</v>
      </c>
    </row>
    <row r="344" customFormat="false" ht="15" hidden="false" customHeight="false" outlineLevel="0" collapsed="false">
      <c r="A344" s="46" t="n">
        <v>336</v>
      </c>
      <c r="B344" s="47" t="n">
        <f aca="false">(A344-1)*$C$6</f>
        <v>0.605218716247944</v>
      </c>
      <c r="C344" s="48" t="n">
        <f aca="false">$C$7*B344</f>
        <v>4.65277777777778</v>
      </c>
      <c r="D344" s="49" t="n">
        <f aca="false">0.5*c_rho*'P3 Energie'!E8*'P3 Energie'!E7*(C344-c_Vv)^2+'P3 Energie'!E13+'P3 Energie'!E15+'P3 Energie'!E6*$C$7</f>
        <v>18419.9133613616</v>
      </c>
      <c r="E344" s="50" t="n">
        <f aca="false">D344*C344</f>
        <v>85703.7635563354</v>
      </c>
      <c r="F344" s="46" t="n">
        <v>336</v>
      </c>
      <c r="G344" s="47" t="n">
        <f aca="false">(F344-1)*$H$6</f>
        <v>0.604786496651534</v>
      </c>
      <c r="H344" s="48" t="n">
        <f aca="false">$H$7*G344</f>
        <v>4.65277777777778</v>
      </c>
      <c r="I344" s="49" t="n">
        <f aca="false">0.5*c_rho*'P3 Energie'!F8*'P3 Energie'!F7*(H344-c_Vv)^2+'P3 Energie'!F13+'P3 Energie'!F15+'P3 Energie'!F6*$H$7</f>
        <v>19246.6481903299</v>
      </c>
      <c r="J344" s="50" t="n">
        <f aca="false">I344*H344</f>
        <v>89550.3769966737</v>
      </c>
    </row>
    <row r="345" customFormat="false" ht="15" hidden="false" customHeight="false" outlineLevel="0" collapsed="false">
      <c r="A345" s="46" t="n">
        <v>337</v>
      </c>
      <c r="B345" s="47" t="n">
        <f aca="false">(A345-1)*$C$6</f>
        <v>0.60702533928152</v>
      </c>
      <c r="C345" s="48" t="n">
        <f aca="false">$C$7*B345</f>
        <v>4.66666666666667</v>
      </c>
      <c r="D345" s="49" t="n">
        <f aca="false">0.5*c_rho*'P3 Energie'!E8*'P3 Energie'!E7*(C345-c_Vv)^2+'P3 Energie'!E13+'P3 Energie'!E15+'P3 Energie'!E6*$C$7</f>
        <v>18419.9650634043</v>
      </c>
      <c r="E345" s="50" t="n">
        <f aca="false">D345*C345</f>
        <v>85959.8369625534</v>
      </c>
      <c r="F345" s="46" t="n">
        <v>337</v>
      </c>
      <c r="G345" s="47" t="n">
        <f aca="false">(F345-1)*$H$6</f>
        <v>0.60659182947736</v>
      </c>
      <c r="H345" s="48" t="n">
        <f aca="false">$H$7*G345</f>
        <v>4.66666666666667</v>
      </c>
      <c r="I345" s="49" t="n">
        <f aca="false">0.5*c_rho*'P3 Energie'!F8*'P3 Energie'!F7*(H345-c_Vv)^2+'P3 Energie'!F13+'P3 Energie'!F15+'P3 Energie'!F6*$H$7</f>
        <v>19246.6931102074</v>
      </c>
      <c r="J345" s="50" t="n">
        <f aca="false">I345*H345</f>
        <v>89817.9011809679</v>
      </c>
    </row>
    <row r="346" customFormat="false" ht="15" hidden="false" customHeight="false" outlineLevel="0" collapsed="false">
      <c r="A346" s="46" t="n">
        <v>338</v>
      </c>
      <c r="B346" s="47" t="n">
        <f aca="false">(A346-1)*$C$6</f>
        <v>0.608831962315096</v>
      </c>
      <c r="C346" s="48" t="n">
        <f aca="false">$C$7*B346</f>
        <v>4.68055555555556</v>
      </c>
      <c r="D346" s="49" t="n">
        <f aca="false">0.5*c_rho*'P3 Energie'!E8*'P3 Energie'!E7*(C346-c_Vv)^2+'P3 Energie'!E13+'P3 Energie'!E15+'P3 Energie'!E6*$C$7</f>
        <v>18420.0169195514</v>
      </c>
      <c r="E346" s="50" t="n">
        <f aca="false">D346*C346</f>
        <v>86215.9125262337</v>
      </c>
      <c r="F346" s="46" t="n">
        <v>338</v>
      </c>
      <c r="G346" s="47" t="n">
        <f aca="false">(F346-1)*$H$6</f>
        <v>0.608397162303185</v>
      </c>
      <c r="H346" s="48" t="n">
        <f aca="false">$H$7*G346</f>
        <v>4.68055555555556</v>
      </c>
      <c r="I346" s="49" t="n">
        <f aca="false">0.5*c_rho*'P3 Energie'!F8*'P3 Energie'!F7*(H346-c_Vv)^2+'P3 Energie'!F13+'P3 Energie'!F15+'P3 Energie'!F6*$H$7</f>
        <v>19246.7381639743</v>
      </c>
      <c r="J346" s="50" t="n">
        <f aca="false">I346*H346</f>
        <v>90085.4272397131</v>
      </c>
    </row>
    <row r="347" customFormat="false" ht="15" hidden="false" customHeight="false" outlineLevel="0" collapsed="false">
      <c r="A347" s="46" t="n">
        <v>339</v>
      </c>
      <c r="B347" s="47" t="n">
        <f aca="false">(A347-1)*$C$6</f>
        <v>0.610638585348672</v>
      </c>
      <c r="C347" s="48" t="n">
        <f aca="false">$C$7*B347</f>
        <v>4.69444444444445</v>
      </c>
      <c r="D347" s="49" t="n">
        <f aca="false">0.5*c_rho*'P3 Energie'!E8*'P3 Energie'!E7*(C347-c_Vv)^2+'P3 Energie'!E13+'P3 Energie'!E15+'P3 Energie'!E6*$C$7</f>
        <v>18420.068929803</v>
      </c>
      <c r="E347" s="50" t="n">
        <f aca="false">D347*C347</f>
        <v>86471.9902537973</v>
      </c>
      <c r="F347" s="46" t="n">
        <v>339</v>
      </c>
      <c r="G347" s="47" t="n">
        <f aca="false">(F347-1)*$H$6</f>
        <v>0.610202495129011</v>
      </c>
      <c r="H347" s="48" t="n">
        <f aca="false">$H$7*G347</f>
        <v>4.69444444444445</v>
      </c>
      <c r="I347" s="49" t="n">
        <f aca="false">0.5*c_rho*'P3 Energie'!F8*'P3 Energie'!F7*(H347-c_Vv)^2+'P3 Energie'!F13+'P3 Energie'!F15+'P3 Energie'!F6*$H$7</f>
        <v>19246.7833516306</v>
      </c>
      <c r="J347" s="50" t="n">
        <f aca="false">I347*H347</f>
        <v>90352.9551784879</v>
      </c>
    </row>
    <row r="348" customFormat="false" ht="15" hidden="false" customHeight="false" outlineLevel="0" collapsed="false">
      <c r="A348" s="46" t="n">
        <v>340</v>
      </c>
      <c r="B348" s="47" t="n">
        <f aca="false">(A348-1)*$C$6</f>
        <v>0.612445208382248</v>
      </c>
      <c r="C348" s="48" t="n">
        <f aca="false">$C$7*B348</f>
        <v>4.70833333333333</v>
      </c>
      <c r="D348" s="49" t="n">
        <f aca="false">0.5*c_rho*'P3 Energie'!E8*'P3 Energie'!E7*(C348-c_Vv)^2+'P3 Energie'!E13+'P3 Energie'!E15+'P3 Energie'!E6*$C$7</f>
        <v>18420.121094159</v>
      </c>
      <c r="E348" s="50" t="n">
        <f aca="false">D348*C348</f>
        <v>86728.0701516652</v>
      </c>
      <c r="F348" s="46" t="n">
        <v>340</v>
      </c>
      <c r="G348" s="47" t="n">
        <f aca="false">(F348-1)*$H$6</f>
        <v>0.612007827954836</v>
      </c>
      <c r="H348" s="48" t="n">
        <f aca="false">$H$7*G348</f>
        <v>4.70833333333333</v>
      </c>
      <c r="I348" s="49" t="n">
        <f aca="false">0.5*c_rho*'P3 Energie'!F8*'P3 Energie'!F7*(H348-c_Vv)^2+'P3 Energie'!F13+'P3 Energie'!F15+'P3 Energie'!F6*$H$7</f>
        <v>19246.8286731762</v>
      </c>
      <c r="J348" s="50" t="n">
        <f aca="false">I348*H348</f>
        <v>90620.4850028711</v>
      </c>
    </row>
    <row r="349" customFormat="false" ht="15" hidden="false" customHeight="false" outlineLevel="0" collapsed="false">
      <c r="A349" s="46" t="n">
        <v>341</v>
      </c>
      <c r="B349" s="47" t="n">
        <f aca="false">(A349-1)*$C$6</f>
        <v>0.614251831415824</v>
      </c>
      <c r="C349" s="48" t="n">
        <f aca="false">$C$7*B349</f>
        <v>4.72222222222222</v>
      </c>
      <c r="D349" s="49" t="n">
        <f aca="false">0.5*c_rho*'P3 Energie'!E8*'P3 Energie'!E7*(C349-c_Vv)^2+'P3 Energie'!E13+'P3 Energie'!E15+'P3 Energie'!E6*$C$7</f>
        <v>18420.1734126195</v>
      </c>
      <c r="E349" s="50" t="n">
        <f aca="false">D349*C349</f>
        <v>86984.1522262585</v>
      </c>
      <c r="F349" s="46" t="n">
        <v>341</v>
      </c>
      <c r="G349" s="47" t="n">
        <f aca="false">(F349-1)*$H$6</f>
        <v>0.613813160780662</v>
      </c>
      <c r="H349" s="48" t="n">
        <f aca="false">$H$7*G349</f>
        <v>4.72222222222222</v>
      </c>
      <c r="I349" s="49" t="n">
        <f aca="false">0.5*c_rho*'P3 Energie'!F8*'P3 Energie'!F7*(H349-c_Vv)^2+'P3 Energie'!F13+'P3 Energie'!F15+'P3 Energie'!F6*$H$7</f>
        <v>19246.8741286111</v>
      </c>
      <c r="J349" s="50" t="n">
        <f aca="false">I349*H349</f>
        <v>90888.0167184414</v>
      </c>
    </row>
    <row r="350" customFormat="false" ht="15" hidden="false" customHeight="false" outlineLevel="0" collapsed="false">
      <c r="A350" s="46" t="n">
        <v>342</v>
      </c>
      <c r="B350" s="47" t="n">
        <f aca="false">(A350-1)*$C$6</f>
        <v>0.6160584544494</v>
      </c>
      <c r="C350" s="48" t="n">
        <f aca="false">$C$7*B350</f>
        <v>4.73611111111111</v>
      </c>
      <c r="D350" s="49" t="n">
        <f aca="false">0.5*c_rho*'P3 Energie'!E8*'P3 Energie'!E7*(C350-c_Vv)^2+'P3 Energie'!E13+'P3 Energie'!E15+'P3 Energie'!E6*$C$7</f>
        <v>18420.2258851844</v>
      </c>
      <c r="E350" s="50" t="n">
        <f aca="false">D350*C350</f>
        <v>87240.2364839982</v>
      </c>
      <c r="F350" s="46" t="n">
        <v>342</v>
      </c>
      <c r="G350" s="47" t="n">
        <f aca="false">(F350-1)*$H$6</f>
        <v>0.615618493606487</v>
      </c>
      <c r="H350" s="48" t="n">
        <f aca="false">$H$7*G350</f>
        <v>4.73611111111111</v>
      </c>
      <c r="I350" s="49" t="n">
        <f aca="false">0.5*c_rho*'P3 Energie'!F8*'P3 Energie'!F7*(H350-c_Vv)^2+'P3 Energie'!F13+'P3 Energie'!F15+'P3 Energie'!F6*$H$7</f>
        <v>19246.9197179354</v>
      </c>
      <c r="J350" s="50" t="n">
        <f aca="false">I350*H350</f>
        <v>91155.5503307775</v>
      </c>
    </row>
    <row r="351" customFormat="false" ht="15" hidden="false" customHeight="false" outlineLevel="0" collapsed="false">
      <c r="A351" s="46" t="n">
        <v>343</v>
      </c>
      <c r="B351" s="47" t="n">
        <f aca="false">(A351-1)*$C$6</f>
        <v>0.617865077482976</v>
      </c>
      <c r="C351" s="48" t="n">
        <f aca="false">$C$7*B351</f>
        <v>4.75</v>
      </c>
      <c r="D351" s="49" t="n">
        <f aca="false">0.5*c_rho*'P3 Energie'!E8*'P3 Energie'!E7*(C351-c_Vv)^2+'P3 Energie'!E13+'P3 Energie'!E15+'P3 Energie'!E6*$C$7</f>
        <v>18420.2785118537</v>
      </c>
      <c r="E351" s="50" t="n">
        <f aca="false">D351*C351</f>
        <v>87496.3229313052</v>
      </c>
      <c r="F351" s="46" t="n">
        <v>343</v>
      </c>
      <c r="G351" s="47" t="n">
        <f aca="false">(F351-1)*$H$6</f>
        <v>0.617423826432313</v>
      </c>
      <c r="H351" s="48" t="n">
        <f aca="false">$H$7*G351</f>
        <v>4.75</v>
      </c>
      <c r="I351" s="49" t="n">
        <f aca="false">0.5*c_rho*'P3 Energie'!F8*'P3 Energie'!F7*(H351-c_Vv)^2+'P3 Energie'!F13+'P3 Energie'!F15+'P3 Energie'!F6*$H$7</f>
        <v>19246.9654411491</v>
      </c>
      <c r="J351" s="50" t="n">
        <f aca="false">I351*H351</f>
        <v>91423.0858454581</v>
      </c>
    </row>
    <row r="352" customFormat="false" ht="15" hidden="false" customHeight="false" outlineLevel="0" collapsed="false">
      <c r="A352" s="46" t="n">
        <v>344</v>
      </c>
      <c r="B352" s="47" t="n">
        <f aca="false">(A352-1)*$C$6</f>
        <v>0.619671700516552</v>
      </c>
      <c r="C352" s="48" t="n">
        <f aca="false">$C$7*B352</f>
        <v>4.76388888888889</v>
      </c>
      <c r="D352" s="49" t="n">
        <f aca="false">0.5*c_rho*'P3 Energie'!E8*'P3 Energie'!E7*(C352-c_Vv)^2+'P3 Energie'!E13+'P3 Energie'!E15+'P3 Energie'!E6*$C$7</f>
        <v>18420.3312926275</v>
      </c>
      <c r="E352" s="50" t="n">
        <f aca="false">D352*C352</f>
        <v>87752.4115746006</v>
      </c>
      <c r="F352" s="46" t="n">
        <v>344</v>
      </c>
      <c r="G352" s="47" t="n">
        <f aca="false">(F352-1)*$H$6</f>
        <v>0.619229159258138</v>
      </c>
      <c r="H352" s="48" t="n">
        <f aca="false">$H$7*G352</f>
        <v>4.76388888888889</v>
      </c>
      <c r="I352" s="49" t="n">
        <f aca="false">0.5*c_rho*'P3 Energie'!F8*'P3 Energie'!F7*(H352-c_Vv)^2+'P3 Energie'!F13+'P3 Energie'!F15+'P3 Energie'!F6*$H$7</f>
        <v>19247.0112982521</v>
      </c>
      <c r="J352" s="50" t="n">
        <f aca="false">I352*H352</f>
        <v>91690.623268062</v>
      </c>
    </row>
    <row r="353" customFormat="false" ht="15" hidden="false" customHeight="false" outlineLevel="0" collapsed="false">
      <c r="A353" s="46" t="n">
        <v>345</v>
      </c>
      <c r="B353" s="47" t="n">
        <f aca="false">(A353-1)*$C$6</f>
        <v>0.621478323550128</v>
      </c>
      <c r="C353" s="48" t="n">
        <f aca="false">$C$7*B353</f>
        <v>4.77777777777778</v>
      </c>
      <c r="D353" s="49" t="n">
        <f aca="false">0.5*c_rho*'P3 Energie'!E8*'P3 Energie'!E7*(C353-c_Vv)^2+'P3 Energie'!E13+'P3 Energie'!E15+'P3 Energie'!E6*$C$7</f>
        <v>18420.3842275058</v>
      </c>
      <c r="E353" s="50" t="n">
        <f aca="false">D353*C353</f>
        <v>88008.5024203054</v>
      </c>
      <c r="F353" s="46" t="n">
        <v>345</v>
      </c>
      <c r="G353" s="47" t="n">
        <f aca="false">(F353-1)*$H$6</f>
        <v>0.621034492083964</v>
      </c>
      <c r="H353" s="48" t="n">
        <f aca="false">$H$7*G353</f>
        <v>4.77777777777778</v>
      </c>
      <c r="I353" s="49" t="n">
        <f aca="false">0.5*c_rho*'P3 Energie'!F8*'P3 Energie'!F7*(H353-c_Vv)^2+'P3 Energie'!F13+'P3 Energie'!F15+'P3 Energie'!F6*$H$7</f>
        <v>19247.0572892444</v>
      </c>
      <c r="J353" s="50" t="n">
        <f aca="false">I353*H353</f>
        <v>91958.1626041679</v>
      </c>
    </row>
    <row r="354" customFormat="false" ht="15" hidden="false" customHeight="false" outlineLevel="0" collapsed="false">
      <c r="A354" s="46" t="n">
        <v>346</v>
      </c>
      <c r="B354" s="47" t="n">
        <f aca="false">(A354-1)*$C$6</f>
        <v>0.623284946583704</v>
      </c>
      <c r="C354" s="48" t="n">
        <f aca="false">$C$7*B354</f>
        <v>4.79166666666667</v>
      </c>
      <c r="D354" s="49" t="n">
        <f aca="false">0.5*c_rho*'P3 Energie'!E8*'P3 Energie'!E7*(C354-c_Vv)^2+'P3 Energie'!E13+'P3 Energie'!E15+'P3 Energie'!E6*$C$7</f>
        <v>18420.4373164885</v>
      </c>
      <c r="E354" s="50" t="n">
        <f aca="false">D354*C354</f>
        <v>88264.5954748407</v>
      </c>
      <c r="F354" s="46" t="n">
        <v>346</v>
      </c>
      <c r="G354" s="47" t="n">
        <f aca="false">(F354-1)*$H$6</f>
        <v>0.622839824909789</v>
      </c>
      <c r="H354" s="48" t="n">
        <f aca="false">$H$7*G354</f>
        <v>4.79166666666667</v>
      </c>
      <c r="I354" s="49" t="n">
        <f aca="false">0.5*c_rho*'P3 Energie'!F8*'P3 Energie'!F7*(H354-c_Vv)^2+'P3 Energie'!F13+'P3 Energie'!F15+'P3 Energie'!F6*$H$7</f>
        <v>19247.1034141262</v>
      </c>
      <c r="J354" s="50" t="n">
        <f aca="false">I354*H354</f>
        <v>92225.7038593545</v>
      </c>
    </row>
    <row r="355" customFormat="false" ht="15" hidden="false" customHeight="false" outlineLevel="0" collapsed="false">
      <c r="A355" s="46" t="n">
        <v>347</v>
      </c>
      <c r="B355" s="47" t="n">
        <f aca="false">(A355-1)*$C$6</f>
        <v>0.62509156961728</v>
      </c>
      <c r="C355" s="48" t="n">
        <f aca="false">$C$7*B355</f>
        <v>4.80555555555556</v>
      </c>
      <c r="D355" s="49" t="n">
        <f aca="false">0.5*c_rho*'P3 Energie'!E8*'P3 Energie'!E7*(C355-c_Vv)^2+'P3 Energie'!E13+'P3 Energie'!E15+'P3 Energie'!E6*$C$7</f>
        <v>18420.4905595756</v>
      </c>
      <c r="E355" s="50" t="n">
        <f aca="false">D355*C355</f>
        <v>88520.6907446274</v>
      </c>
      <c r="F355" s="46" t="n">
        <v>347</v>
      </c>
      <c r="G355" s="47" t="n">
        <f aca="false">(F355-1)*$H$6</f>
        <v>0.624645157735615</v>
      </c>
      <c r="H355" s="48" t="n">
        <f aca="false">$H$7*G355</f>
        <v>4.80555555555556</v>
      </c>
      <c r="I355" s="49" t="n">
        <f aca="false">0.5*c_rho*'P3 Energie'!F8*'P3 Energie'!F7*(H355-c_Vv)^2+'P3 Energie'!F13+'P3 Energie'!F15+'P3 Energie'!F6*$H$7</f>
        <v>19247.1496728972</v>
      </c>
      <c r="J355" s="50" t="n">
        <f aca="false">I355*H355</f>
        <v>92493.2470392006</v>
      </c>
    </row>
    <row r="356" customFormat="false" ht="15" hidden="false" customHeight="false" outlineLevel="0" collapsed="false">
      <c r="A356" s="46" t="n">
        <v>348</v>
      </c>
      <c r="B356" s="47" t="n">
        <f aca="false">(A356-1)*$C$6</f>
        <v>0.626898192650856</v>
      </c>
      <c r="C356" s="48" t="n">
        <f aca="false">$C$7*B356</f>
        <v>4.81944444444445</v>
      </c>
      <c r="D356" s="49" t="n">
        <f aca="false">0.5*c_rho*'P3 Energie'!E8*'P3 Energie'!E7*(C356-c_Vv)^2+'P3 Energie'!E13+'P3 Energie'!E15+'P3 Energie'!E6*$C$7</f>
        <v>18420.5439567672</v>
      </c>
      <c r="E356" s="50" t="n">
        <f aca="false">D356*C356</f>
        <v>88776.7882360866</v>
      </c>
      <c r="F356" s="46" t="n">
        <v>348</v>
      </c>
      <c r="G356" s="47" t="n">
        <f aca="false">(F356-1)*$H$6</f>
        <v>0.62645049056144</v>
      </c>
      <c r="H356" s="48" t="n">
        <f aca="false">$H$7*G356</f>
        <v>4.81944444444445</v>
      </c>
      <c r="I356" s="49" t="n">
        <f aca="false">0.5*c_rho*'P3 Energie'!F8*'P3 Energie'!F7*(H356-c_Vv)^2+'P3 Energie'!F13+'P3 Energie'!F15+'P3 Energie'!F6*$H$7</f>
        <v>19247.1960655576</v>
      </c>
      <c r="J356" s="50" t="n">
        <f aca="false">I356*H356</f>
        <v>92760.7921492847</v>
      </c>
    </row>
    <row r="357" customFormat="false" ht="15" hidden="false" customHeight="false" outlineLevel="0" collapsed="false">
      <c r="A357" s="46" t="n">
        <v>349</v>
      </c>
      <c r="B357" s="47" t="n">
        <f aca="false">(A357-1)*$C$6</f>
        <v>0.628704815684432</v>
      </c>
      <c r="C357" s="48" t="n">
        <f aca="false">$C$7*B357</f>
        <v>4.83333333333333</v>
      </c>
      <c r="D357" s="49" t="n">
        <f aca="false">0.5*c_rho*'P3 Energie'!E8*'P3 Energie'!E7*(C357-c_Vv)^2+'P3 Energie'!E13+'P3 Energie'!E15+'P3 Energie'!E6*$C$7</f>
        <v>18420.5975080633</v>
      </c>
      <c r="E357" s="50" t="n">
        <f aca="false">D357*C357</f>
        <v>89032.8879556393</v>
      </c>
      <c r="F357" s="46" t="n">
        <v>349</v>
      </c>
      <c r="G357" s="47" t="n">
        <f aca="false">(F357-1)*$H$6</f>
        <v>0.628255823387266</v>
      </c>
      <c r="H357" s="48" t="n">
        <f aca="false">$H$7*G357</f>
        <v>4.83333333333333</v>
      </c>
      <c r="I357" s="49" t="n">
        <f aca="false">0.5*c_rho*'P3 Energie'!F8*'P3 Energie'!F7*(H357-c_Vv)^2+'P3 Energie'!F13+'P3 Energie'!F15+'P3 Energie'!F6*$H$7</f>
        <v>19247.2425921074</v>
      </c>
      <c r="J357" s="50" t="n">
        <f aca="false">I357*H357</f>
        <v>93028.3391951858</v>
      </c>
    </row>
    <row r="358" customFormat="false" ht="15" hidden="false" customHeight="false" outlineLevel="0" collapsed="false">
      <c r="A358" s="46" t="n">
        <v>350</v>
      </c>
      <c r="B358" s="47" t="n">
        <f aca="false">(A358-1)*$C$6</f>
        <v>0.630511438718008</v>
      </c>
      <c r="C358" s="48" t="n">
        <f aca="false">$C$7*B358</f>
        <v>4.84722222222222</v>
      </c>
      <c r="D358" s="49" t="n">
        <f aca="false">0.5*c_rho*'P3 Energie'!E8*'P3 Energie'!E7*(C358-c_Vv)^2+'P3 Energie'!E13+'P3 Energie'!E15+'P3 Energie'!E6*$C$7</f>
        <v>18420.6512134638</v>
      </c>
      <c r="E358" s="50" t="n">
        <f aca="false">D358*C358</f>
        <v>89288.9899097065</v>
      </c>
      <c r="F358" s="46" t="n">
        <v>350</v>
      </c>
      <c r="G358" s="47" t="n">
        <f aca="false">(F358-1)*$H$6</f>
        <v>0.630061156213091</v>
      </c>
      <c r="H358" s="48" t="n">
        <f aca="false">$H$7*G358</f>
        <v>4.84722222222222</v>
      </c>
      <c r="I358" s="49" t="n">
        <f aca="false">0.5*c_rho*'P3 Energie'!F8*'P3 Energie'!F7*(H358-c_Vv)^2+'P3 Energie'!F13+'P3 Energie'!F15+'P3 Energie'!F6*$H$7</f>
        <v>19247.2892525465</v>
      </c>
      <c r="J358" s="50" t="n">
        <f aca="false">I358*H358</f>
        <v>93295.8881824825</v>
      </c>
    </row>
    <row r="359" customFormat="false" ht="15" hidden="false" customHeight="false" outlineLevel="0" collapsed="false">
      <c r="A359" s="46" t="n">
        <v>351</v>
      </c>
      <c r="B359" s="47" t="n">
        <f aca="false">(A359-1)*$C$6</f>
        <v>0.632318061751584</v>
      </c>
      <c r="C359" s="48" t="n">
        <f aca="false">$C$7*B359</f>
        <v>4.86111111111111</v>
      </c>
      <c r="D359" s="49" t="n">
        <f aca="false">0.5*c_rho*'P3 Energie'!E8*'P3 Energie'!E7*(C359-c_Vv)^2+'P3 Energie'!E13+'P3 Energie'!E15+'P3 Energie'!E6*$C$7</f>
        <v>18420.7050729688</v>
      </c>
      <c r="E359" s="50" t="n">
        <f aca="false">D359*C359</f>
        <v>89545.0941047092</v>
      </c>
      <c r="F359" s="46" t="n">
        <v>351</v>
      </c>
      <c r="G359" s="47" t="n">
        <f aca="false">(F359-1)*$H$6</f>
        <v>0.631866489038916</v>
      </c>
      <c r="H359" s="48" t="n">
        <f aca="false">$H$7*G359</f>
        <v>4.86111111111111</v>
      </c>
      <c r="I359" s="49" t="n">
        <f aca="false">0.5*c_rho*'P3 Energie'!F8*'P3 Energie'!F7*(H359-c_Vv)^2+'P3 Energie'!F13+'P3 Energie'!F15+'P3 Energie'!F6*$H$7</f>
        <v>19247.336046875</v>
      </c>
      <c r="J359" s="50" t="n">
        <f aca="false">I359*H359</f>
        <v>93563.4391167535</v>
      </c>
    </row>
    <row r="360" customFormat="false" ht="15" hidden="false" customHeight="false" outlineLevel="0" collapsed="false">
      <c r="A360" s="46" t="n">
        <v>352</v>
      </c>
      <c r="B360" s="47" t="n">
        <f aca="false">(A360-1)*$C$6</f>
        <v>0.63412468478516</v>
      </c>
      <c r="C360" s="48" t="n">
        <f aca="false">$C$7*B360</f>
        <v>4.875</v>
      </c>
      <c r="D360" s="49" t="n">
        <f aca="false">0.5*c_rho*'P3 Energie'!E8*'P3 Energie'!E7*(C360-c_Vv)^2+'P3 Energie'!E13+'P3 Energie'!E15+'P3 Energie'!E6*$C$7</f>
        <v>18420.7590865782</v>
      </c>
      <c r="E360" s="50" t="n">
        <f aca="false">D360*C360</f>
        <v>89801.2005470685</v>
      </c>
      <c r="F360" s="46" t="n">
        <v>352</v>
      </c>
      <c r="G360" s="47" t="n">
        <f aca="false">(F360-1)*$H$6</f>
        <v>0.633671821864742</v>
      </c>
      <c r="H360" s="48" t="n">
        <f aca="false">$H$7*G360</f>
        <v>4.875</v>
      </c>
      <c r="I360" s="49" t="n">
        <f aca="false">0.5*c_rho*'P3 Energie'!F8*'P3 Energie'!F7*(H360-c_Vv)^2+'P3 Energie'!F13+'P3 Energie'!F15+'P3 Energie'!F6*$H$7</f>
        <v>19247.3829750928</v>
      </c>
      <c r="J360" s="50" t="n">
        <f aca="false">I360*H360</f>
        <v>93830.9920035775</v>
      </c>
    </row>
    <row r="361" customFormat="false" ht="15" hidden="false" customHeight="false" outlineLevel="0" collapsed="false">
      <c r="A361" s="46" t="n">
        <v>353</v>
      </c>
      <c r="B361" s="47" t="n">
        <f aca="false">(A361-1)*$C$6</f>
        <v>0.635931307818736</v>
      </c>
      <c r="C361" s="48" t="n">
        <f aca="false">$C$7*B361</f>
        <v>4.88888888888889</v>
      </c>
      <c r="D361" s="49" t="n">
        <f aca="false">0.5*c_rho*'P3 Energie'!E8*'P3 Energie'!E7*(C361-c_Vv)^2+'P3 Energie'!E13+'P3 Energie'!E15+'P3 Energie'!E6*$C$7</f>
        <v>18420.813254292</v>
      </c>
      <c r="E361" s="50" t="n">
        <f aca="false">D361*C361</f>
        <v>90057.3092432054</v>
      </c>
      <c r="F361" s="46" t="n">
        <v>353</v>
      </c>
      <c r="G361" s="47" t="n">
        <f aca="false">(F361-1)*$H$6</f>
        <v>0.635477154690567</v>
      </c>
      <c r="H361" s="48" t="n">
        <f aca="false">$H$7*G361</f>
        <v>4.88888888888889</v>
      </c>
      <c r="I361" s="49" t="n">
        <f aca="false">0.5*c_rho*'P3 Energie'!F8*'P3 Energie'!F7*(H361-c_Vv)^2+'P3 Energie'!F13+'P3 Energie'!F15+'P3 Energie'!F6*$H$7</f>
        <v>19247.4300372</v>
      </c>
      <c r="J361" s="50" t="n">
        <f aca="false">I361*H361</f>
        <v>94098.5468485333</v>
      </c>
    </row>
    <row r="362" customFormat="false" ht="15" hidden="false" customHeight="false" outlineLevel="0" collapsed="false">
      <c r="A362" s="46" t="n">
        <v>354</v>
      </c>
      <c r="B362" s="47" t="n">
        <f aca="false">(A362-1)*$C$6</f>
        <v>0.637737930852312</v>
      </c>
      <c r="C362" s="48" t="n">
        <f aca="false">$C$7*B362</f>
        <v>4.90277777777778</v>
      </c>
      <c r="D362" s="49" t="n">
        <f aca="false">0.5*c_rho*'P3 Energie'!E8*'P3 Energie'!E7*(C362-c_Vv)^2+'P3 Energie'!E13+'P3 Energie'!E15+'P3 Energie'!E6*$C$7</f>
        <v>18420.8675761103</v>
      </c>
      <c r="E362" s="50" t="n">
        <f aca="false">D362*C362</f>
        <v>90313.4201995408</v>
      </c>
      <c r="F362" s="46" t="n">
        <v>354</v>
      </c>
      <c r="G362" s="47" t="n">
        <f aca="false">(F362-1)*$H$6</f>
        <v>0.637282487516393</v>
      </c>
      <c r="H362" s="48" t="n">
        <f aca="false">$H$7*G362</f>
        <v>4.90277777777778</v>
      </c>
      <c r="I362" s="49" t="n">
        <f aca="false">0.5*c_rho*'P3 Energie'!F8*'P3 Energie'!F7*(H362-c_Vv)^2+'P3 Energie'!F13+'P3 Energie'!F15+'P3 Energie'!F6*$H$7</f>
        <v>19247.4772331965</v>
      </c>
      <c r="J362" s="50" t="n">
        <f aca="false">I362*H362</f>
        <v>94366.1036571997</v>
      </c>
    </row>
    <row r="363" customFormat="false" ht="15" hidden="false" customHeight="false" outlineLevel="0" collapsed="false">
      <c r="A363" s="46" t="n">
        <v>355</v>
      </c>
      <c r="B363" s="47" t="n">
        <f aca="false">(A363-1)*$C$6</f>
        <v>0.639544553885888</v>
      </c>
      <c r="C363" s="48" t="n">
        <f aca="false">$C$7*B363</f>
        <v>4.91666666666667</v>
      </c>
      <c r="D363" s="49" t="n">
        <f aca="false">0.5*c_rho*'P3 Energie'!E8*'P3 Energie'!E7*(C363-c_Vv)^2+'P3 Energie'!E13+'P3 Energie'!E15+'P3 Energie'!E6*$C$7</f>
        <v>18420.9220520331</v>
      </c>
      <c r="E363" s="50" t="n">
        <f aca="false">D363*C363</f>
        <v>90569.5334224959</v>
      </c>
      <c r="F363" s="46" t="n">
        <v>355</v>
      </c>
      <c r="G363" s="47" t="n">
        <f aca="false">(F363-1)*$H$6</f>
        <v>0.639087820342218</v>
      </c>
      <c r="H363" s="48" t="n">
        <f aca="false">$H$7*G363</f>
        <v>4.91666666666667</v>
      </c>
      <c r="I363" s="49" t="n">
        <f aca="false">0.5*c_rho*'P3 Energie'!F8*'P3 Energie'!F7*(H363-c_Vv)^2+'P3 Energie'!F13+'P3 Energie'!F15+'P3 Energie'!F6*$H$7</f>
        <v>19247.5245630824</v>
      </c>
      <c r="J363" s="50" t="n">
        <f aca="false">I363*H363</f>
        <v>94633.6624351552</v>
      </c>
    </row>
    <row r="364" customFormat="false" ht="15" hidden="false" customHeight="false" outlineLevel="0" collapsed="false">
      <c r="A364" s="46" t="n">
        <v>356</v>
      </c>
      <c r="B364" s="47" t="n">
        <f aca="false">(A364-1)*$C$6</f>
        <v>0.641351176919463</v>
      </c>
      <c r="C364" s="48" t="n">
        <f aca="false">$C$7*B364</f>
        <v>4.93055555555556</v>
      </c>
      <c r="D364" s="49" t="n">
        <f aca="false">0.5*c_rho*'P3 Energie'!E8*'P3 Energie'!E7*(C364-c_Vv)^2+'P3 Energie'!E13+'P3 Energie'!E15+'P3 Energie'!E6*$C$7</f>
        <v>18420.9766820603</v>
      </c>
      <c r="E364" s="50" t="n">
        <f aca="false">D364*C364</f>
        <v>90825.6489184915</v>
      </c>
      <c r="F364" s="46" t="n">
        <v>356</v>
      </c>
      <c r="G364" s="47" t="n">
        <f aca="false">(F364-1)*$H$6</f>
        <v>0.640893153168044</v>
      </c>
      <c r="H364" s="48" t="n">
        <f aca="false">$H$7*G364</f>
        <v>4.93055555555556</v>
      </c>
      <c r="I364" s="49" t="n">
        <f aca="false">0.5*c_rho*'P3 Energie'!F8*'P3 Energie'!F7*(H364-c_Vv)^2+'P3 Energie'!F13+'P3 Energie'!F15+'P3 Energie'!F6*$H$7</f>
        <v>19247.5720268576</v>
      </c>
      <c r="J364" s="50" t="n">
        <f aca="false">I364*H364</f>
        <v>94901.2231879787</v>
      </c>
    </row>
    <row r="365" customFormat="false" ht="15" hidden="false" customHeight="false" outlineLevel="0" collapsed="false">
      <c r="A365" s="46" t="n">
        <v>357</v>
      </c>
      <c r="B365" s="47" t="n">
        <f aca="false">(A365-1)*$C$6</f>
        <v>0.643157799953039</v>
      </c>
      <c r="C365" s="48" t="n">
        <f aca="false">$C$7*B365</f>
        <v>4.94444444444445</v>
      </c>
      <c r="D365" s="49" t="n">
        <f aca="false">0.5*c_rho*'P3 Energie'!E8*'P3 Energie'!E7*(C365-c_Vv)^2+'P3 Energie'!E13+'P3 Energie'!E15+'P3 Energie'!E6*$C$7</f>
        <v>18421.0314661919</v>
      </c>
      <c r="E365" s="50" t="n">
        <f aca="false">D365*C365</f>
        <v>91081.7666939488</v>
      </c>
      <c r="F365" s="46" t="n">
        <v>357</v>
      </c>
      <c r="G365" s="47" t="n">
        <f aca="false">(F365-1)*$H$6</f>
        <v>0.642698485993869</v>
      </c>
      <c r="H365" s="48" t="n">
        <f aca="false">$H$7*G365</f>
        <v>4.94444444444445</v>
      </c>
      <c r="I365" s="49" t="n">
        <f aca="false">0.5*c_rho*'P3 Energie'!F8*'P3 Energie'!F7*(H365-c_Vv)^2+'P3 Energie'!F13+'P3 Energie'!F15+'P3 Energie'!F6*$H$7</f>
        <v>19247.6196245222</v>
      </c>
      <c r="J365" s="50" t="n">
        <f aca="false">I365*H365</f>
        <v>95168.7859212488</v>
      </c>
    </row>
    <row r="366" customFormat="false" ht="15" hidden="false" customHeight="false" outlineLevel="0" collapsed="false">
      <c r="A366" s="46" t="n">
        <v>358</v>
      </c>
      <c r="B366" s="47" t="n">
        <f aca="false">(A366-1)*$C$6</f>
        <v>0.644964422986615</v>
      </c>
      <c r="C366" s="48" t="n">
        <f aca="false">$C$7*B366</f>
        <v>4.95833333333333</v>
      </c>
      <c r="D366" s="49" t="n">
        <f aca="false">0.5*c_rho*'P3 Energie'!E8*'P3 Energie'!E7*(C366-c_Vv)^2+'P3 Energie'!E13+'P3 Energie'!E15+'P3 Energie'!E6*$C$7</f>
        <v>18421.086404428</v>
      </c>
      <c r="E366" s="50" t="n">
        <f aca="false">D366*C366</f>
        <v>91337.8867552888</v>
      </c>
      <c r="F366" s="46" t="n">
        <v>358</v>
      </c>
      <c r="G366" s="47" t="n">
        <f aca="false">(F366-1)*$H$6</f>
        <v>0.644503818819695</v>
      </c>
      <c r="H366" s="48" t="n">
        <f aca="false">$H$7*G366</f>
        <v>4.95833333333333</v>
      </c>
      <c r="I366" s="49" t="n">
        <f aca="false">0.5*c_rho*'P3 Energie'!F8*'P3 Energie'!F7*(H366-c_Vv)^2+'P3 Energie'!F13+'P3 Energie'!F15+'P3 Energie'!F6*$H$7</f>
        <v>19247.6673560762</v>
      </c>
      <c r="J366" s="50" t="n">
        <f aca="false">I366*H366</f>
        <v>95436.3506405443</v>
      </c>
    </row>
    <row r="367" customFormat="false" ht="15" hidden="false" customHeight="false" outlineLevel="0" collapsed="false">
      <c r="A367" s="46" t="n">
        <v>359</v>
      </c>
      <c r="B367" s="47" t="n">
        <f aca="false">(A367-1)*$C$6</f>
        <v>0.646771046020191</v>
      </c>
      <c r="C367" s="48" t="n">
        <f aca="false">$C$7*B367</f>
        <v>4.97222222222222</v>
      </c>
      <c r="D367" s="49" t="n">
        <f aca="false">0.5*c_rho*'P3 Energie'!E8*'P3 Energie'!E7*(C367-c_Vv)^2+'P3 Energie'!E13+'P3 Energie'!E15+'P3 Energie'!E6*$C$7</f>
        <v>18421.1414967685</v>
      </c>
      <c r="E367" s="50" t="n">
        <f aca="false">D367*C367</f>
        <v>91594.0091089324</v>
      </c>
      <c r="F367" s="46" t="n">
        <v>359</v>
      </c>
      <c r="G367" s="47" t="n">
        <f aca="false">(F367-1)*$H$6</f>
        <v>0.64630915164552</v>
      </c>
      <c r="H367" s="48" t="n">
        <f aca="false">$H$7*G367</f>
        <v>4.97222222222222</v>
      </c>
      <c r="I367" s="49" t="n">
        <f aca="false">0.5*c_rho*'P3 Energie'!F8*'P3 Energie'!F7*(H367-c_Vv)^2+'P3 Energie'!F13+'P3 Energie'!F15+'P3 Energie'!F6*$H$7</f>
        <v>19247.7152215194</v>
      </c>
      <c r="J367" s="50" t="n">
        <f aca="false">I367*H367</f>
        <v>95703.9173514439</v>
      </c>
    </row>
    <row r="368" customFormat="false" ht="15" hidden="false" customHeight="false" outlineLevel="0" collapsed="false">
      <c r="A368" s="46" t="n">
        <v>360</v>
      </c>
      <c r="B368" s="47" t="n">
        <f aca="false">(A368-1)*$C$6</f>
        <v>0.648577669053767</v>
      </c>
      <c r="C368" s="48" t="n">
        <f aca="false">$C$7*B368</f>
        <v>4.98611111111111</v>
      </c>
      <c r="D368" s="49" t="n">
        <f aca="false">0.5*c_rho*'P3 Energie'!E8*'P3 Energie'!E7*(C368-c_Vv)^2+'P3 Energie'!E13+'P3 Energie'!E15+'P3 Energie'!E6*$C$7</f>
        <v>18421.1967432135</v>
      </c>
      <c r="E368" s="50" t="n">
        <f aca="false">D368*C368</f>
        <v>91850.1337613008</v>
      </c>
      <c r="F368" s="46" t="n">
        <v>360</v>
      </c>
      <c r="G368" s="47" t="n">
        <f aca="false">(F368-1)*$H$6</f>
        <v>0.648114484471346</v>
      </c>
      <c r="H368" s="48" t="n">
        <f aca="false">$H$7*G368</f>
        <v>4.98611111111111</v>
      </c>
      <c r="I368" s="49" t="n">
        <f aca="false">0.5*c_rho*'P3 Energie'!F8*'P3 Energie'!F7*(H368-c_Vv)^2+'P3 Energie'!F13+'P3 Energie'!F15+'P3 Energie'!F6*$H$7</f>
        <v>19247.7632208521</v>
      </c>
      <c r="J368" s="50" t="n">
        <f aca="false">I368*H368</f>
        <v>95971.4860595264</v>
      </c>
    </row>
    <row r="369" customFormat="false" ht="15" hidden="false" customHeight="false" outlineLevel="0" collapsed="false">
      <c r="A369" s="46" t="n">
        <v>361</v>
      </c>
      <c r="B369" s="47" t="n">
        <f aca="false">(A369-1)*$C$6</f>
        <v>0.650384292087343</v>
      </c>
      <c r="C369" s="48" t="n">
        <f aca="false">$C$7*B369</f>
        <v>5</v>
      </c>
      <c r="D369" s="49" t="n">
        <f aca="false">0.5*c_rho*'P3 Energie'!E8*'P3 Energie'!E7*(C369-c_Vv)^2+'P3 Energie'!E13+'P3 Energie'!E15+'P3 Energie'!E6*$C$7</f>
        <v>18421.252143763</v>
      </c>
      <c r="E369" s="50" t="n">
        <f aca="false">D369*C369</f>
        <v>92106.2607188149</v>
      </c>
      <c r="F369" s="46" t="n">
        <v>361</v>
      </c>
      <c r="G369" s="47" t="n">
        <f aca="false">(F369-1)*$H$6</f>
        <v>0.649919817297171</v>
      </c>
      <c r="H369" s="48" t="n">
        <f aca="false">$H$7*G369</f>
        <v>5</v>
      </c>
      <c r="I369" s="49" t="n">
        <f aca="false">0.5*c_rho*'P3 Energie'!F8*'P3 Energie'!F7*(H369-c_Vv)^2+'P3 Energie'!F13+'P3 Energie'!F15+'P3 Energie'!F6*$H$7</f>
        <v>19247.8113540741</v>
      </c>
      <c r="J369" s="50" t="n">
        <f aca="false">I369*H369</f>
        <v>96239.0567703704</v>
      </c>
    </row>
    <row r="370" customFormat="false" ht="15" hidden="false" customHeight="false" outlineLevel="0" collapsed="false">
      <c r="A370" s="46" t="n">
        <v>362</v>
      </c>
      <c r="B370" s="47" t="n">
        <f aca="false">(A370-1)*$C$6</f>
        <v>0.652190915120919</v>
      </c>
      <c r="C370" s="48" t="n">
        <f aca="false">$C$7*B370</f>
        <v>5.01388888888889</v>
      </c>
      <c r="D370" s="49" t="n">
        <f aca="false">0.5*c_rho*'P3 Energie'!E8*'P3 Energie'!E7*(C370-c_Vv)^2+'P3 Energie'!E13+'P3 Energie'!E15+'P3 Energie'!E6*$C$7</f>
        <v>18421.3076984169</v>
      </c>
      <c r="E370" s="50" t="n">
        <f aca="false">D370*C370</f>
        <v>92362.3899878956</v>
      </c>
      <c r="F370" s="46" t="n">
        <v>362</v>
      </c>
      <c r="G370" s="47" t="n">
        <f aca="false">(F370-1)*$H$6</f>
        <v>0.651725150122997</v>
      </c>
      <c r="H370" s="48" t="n">
        <f aca="false">$H$7*G370</f>
        <v>5.01388888888889</v>
      </c>
      <c r="I370" s="49" t="n">
        <f aca="false">0.5*c_rho*'P3 Energie'!F8*'P3 Energie'!F7*(H370-c_Vv)^2+'P3 Energie'!F13+'P3 Energie'!F15+'P3 Energie'!F6*$H$7</f>
        <v>19247.8596211854</v>
      </c>
      <c r="J370" s="50" t="n">
        <f aca="false">I370*H370</f>
        <v>96506.6294895547</v>
      </c>
    </row>
    <row r="371" customFormat="false" ht="15" hidden="false" customHeight="false" outlineLevel="0" collapsed="false">
      <c r="A371" s="46" t="n">
        <v>363</v>
      </c>
      <c r="B371" s="47" t="n">
        <f aca="false">(A371-1)*$C$6</f>
        <v>0.653997538154495</v>
      </c>
      <c r="C371" s="48" t="n">
        <f aca="false">$C$7*B371</f>
        <v>5.02777777777778</v>
      </c>
      <c r="D371" s="49" t="n">
        <f aca="false">0.5*c_rho*'P3 Energie'!E8*'P3 Energie'!E7*(C371-c_Vv)^2+'P3 Energie'!E13+'P3 Energie'!E15+'P3 Energie'!E6*$C$7</f>
        <v>18421.3634071752</v>
      </c>
      <c r="E371" s="50" t="n">
        <f aca="false">D371*C371</f>
        <v>92618.5215749642</v>
      </c>
      <c r="F371" s="46" t="n">
        <v>363</v>
      </c>
      <c r="G371" s="47" t="n">
        <f aca="false">(F371-1)*$H$6</f>
        <v>0.653530482948822</v>
      </c>
      <c r="H371" s="48" t="n">
        <f aca="false">$H$7*G371</f>
        <v>5.02777777777778</v>
      </c>
      <c r="I371" s="49" t="n">
        <f aca="false">0.5*c_rho*'P3 Energie'!F8*'P3 Energie'!F7*(H371-c_Vv)^2+'P3 Energie'!F13+'P3 Energie'!F15+'P3 Energie'!F6*$H$7</f>
        <v>19247.9080221861</v>
      </c>
      <c r="J371" s="50" t="n">
        <f aca="false">I371*H371</f>
        <v>96774.204222658</v>
      </c>
    </row>
    <row r="372" customFormat="false" ht="15" hidden="false" customHeight="false" outlineLevel="0" collapsed="false">
      <c r="A372" s="46" t="n">
        <v>364</v>
      </c>
      <c r="B372" s="47" t="n">
        <f aca="false">(A372-1)*$C$6</f>
        <v>0.655804161188071</v>
      </c>
      <c r="C372" s="48" t="n">
        <f aca="false">$C$7*B372</f>
        <v>5.04166666666667</v>
      </c>
      <c r="D372" s="49" t="n">
        <f aca="false">0.5*c_rho*'P3 Energie'!E8*'P3 Energie'!E7*(C372-c_Vv)^2+'P3 Energie'!E13+'P3 Energie'!E15+'P3 Energie'!E6*$C$7</f>
        <v>18421.419270038</v>
      </c>
      <c r="E372" s="50" t="n">
        <f aca="false">D372*C372</f>
        <v>92874.6554864415</v>
      </c>
      <c r="F372" s="46" t="n">
        <v>364</v>
      </c>
      <c r="G372" s="47" t="n">
        <f aca="false">(F372-1)*$H$6</f>
        <v>0.655335815774648</v>
      </c>
      <c r="H372" s="48" t="n">
        <f aca="false">$H$7*G372</f>
        <v>5.04166666666667</v>
      </c>
      <c r="I372" s="49" t="n">
        <f aca="false">0.5*c_rho*'P3 Energie'!F8*'P3 Energie'!F7*(H372-c_Vv)^2+'P3 Energie'!F13+'P3 Energie'!F15+'P3 Energie'!F6*$H$7</f>
        <v>19247.9565570762</v>
      </c>
      <c r="J372" s="50" t="n">
        <f aca="false">I372*H372</f>
        <v>97041.780975259</v>
      </c>
    </row>
    <row r="373" customFormat="false" ht="15" hidden="false" customHeight="false" outlineLevel="0" collapsed="false">
      <c r="A373" s="46" t="n">
        <v>365</v>
      </c>
      <c r="B373" s="47" t="n">
        <f aca="false">(A373-1)*$C$6</f>
        <v>0.657610784221647</v>
      </c>
      <c r="C373" s="48" t="n">
        <f aca="false">$C$7*B373</f>
        <v>5.05555555555556</v>
      </c>
      <c r="D373" s="49" t="n">
        <f aca="false">0.5*c_rho*'P3 Energie'!E8*'P3 Energie'!E7*(C373-c_Vv)^2+'P3 Energie'!E13+'P3 Energie'!E15+'P3 Energie'!E6*$C$7</f>
        <v>18421.4752870052</v>
      </c>
      <c r="E373" s="50" t="n">
        <f aca="false">D373*C373</f>
        <v>93130.7917287487</v>
      </c>
      <c r="F373" s="46" t="n">
        <v>365</v>
      </c>
      <c r="G373" s="47" t="n">
        <f aca="false">(F373-1)*$H$6</f>
        <v>0.657141148600473</v>
      </c>
      <c r="H373" s="48" t="n">
        <f aca="false">$H$7*G373</f>
        <v>5.05555555555556</v>
      </c>
      <c r="I373" s="49" t="n">
        <f aca="false">0.5*c_rho*'P3 Energie'!F8*'P3 Energie'!F7*(H373-c_Vv)^2+'P3 Energie'!F13+'P3 Energie'!F15+'P3 Energie'!F6*$H$7</f>
        <v>19248.0052258556</v>
      </c>
      <c r="J373" s="50" t="n">
        <f aca="false">I373*H373</f>
        <v>97309.3597529365</v>
      </c>
    </row>
    <row r="374" customFormat="false" ht="15" hidden="false" customHeight="false" outlineLevel="0" collapsed="false">
      <c r="A374" s="46" t="n">
        <v>366</v>
      </c>
      <c r="B374" s="47" t="n">
        <f aca="false">(A374-1)*$C$6</f>
        <v>0.659417407255223</v>
      </c>
      <c r="C374" s="48" t="n">
        <f aca="false">$C$7*B374</f>
        <v>5.06944444444444</v>
      </c>
      <c r="D374" s="49" t="n">
        <f aca="false">0.5*c_rho*'P3 Energie'!E8*'P3 Energie'!E7*(C374-c_Vv)^2+'P3 Energie'!E13+'P3 Energie'!E15+'P3 Energie'!E6*$C$7</f>
        <v>18421.5314580769</v>
      </c>
      <c r="E374" s="50" t="n">
        <f aca="false">D374*C374</f>
        <v>93386.9303083066</v>
      </c>
      <c r="F374" s="46" t="n">
        <v>366</v>
      </c>
      <c r="G374" s="47" t="n">
        <f aca="false">(F374-1)*$H$6</f>
        <v>0.658946481426299</v>
      </c>
      <c r="H374" s="48" t="n">
        <f aca="false">$H$7*G374</f>
        <v>5.06944444444445</v>
      </c>
      <c r="I374" s="49" t="n">
        <f aca="false">0.5*c_rho*'P3 Energie'!F8*'P3 Energie'!F7*(H374-c_Vv)^2+'P3 Energie'!F13+'P3 Energie'!F15+'P3 Energie'!F6*$H$7</f>
        <v>19248.0540285243</v>
      </c>
      <c r="J374" s="50" t="n">
        <f aca="false">I374*H374</f>
        <v>97576.9405612691</v>
      </c>
    </row>
    <row r="375" customFormat="false" ht="15" hidden="false" customHeight="false" outlineLevel="0" collapsed="false">
      <c r="A375" s="46" t="n">
        <v>367</v>
      </c>
      <c r="B375" s="47" t="n">
        <f aca="false">(A375-1)*$C$6</f>
        <v>0.661224030288799</v>
      </c>
      <c r="C375" s="48" t="n">
        <f aca="false">$C$7*B375</f>
        <v>5.08333333333333</v>
      </c>
      <c r="D375" s="49" t="n">
        <f aca="false">0.5*c_rho*'P3 Energie'!E8*'P3 Energie'!E7*(C375-c_Vv)^2+'P3 Energie'!E13+'P3 Energie'!E15+'P3 Energie'!E6*$C$7</f>
        <v>18421.5877832531</v>
      </c>
      <c r="E375" s="50" t="n">
        <f aca="false">D375*C375</f>
        <v>93643.0712315363</v>
      </c>
      <c r="F375" s="46" t="n">
        <v>367</v>
      </c>
      <c r="G375" s="47" t="n">
        <f aca="false">(F375-1)*$H$6</f>
        <v>0.660751814252124</v>
      </c>
      <c r="H375" s="48" t="n">
        <f aca="false">$H$7*G375</f>
        <v>5.08333333333333</v>
      </c>
      <c r="I375" s="49" t="n">
        <f aca="false">0.5*c_rho*'P3 Energie'!F8*'P3 Energie'!F7*(H375-c_Vv)^2+'P3 Energie'!F13+'P3 Energie'!F15+'P3 Energie'!F6*$H$7</f>
        <v>19248.1029650824</v>
      </c>
      <c r="J375" s="50" t="n">
        <f aca="false">I375*H375</f>
        <v>97844.5234058356</v>
      </c>
    </row>
    <row r="376" customFormat="false" ht="15" hidden="false" customHeight="false" outlineLevel="0" collapsed="false">
      <c r="A376" s="46" t="n">
        <v>368</v>
      </c>
      <c r="B376" s="47" t="n">
        <f aca="false">(A376-1)*$C$6</f>
        <v>0.663030653322375</v>
      </c>
      <c r="C376" s="48" t="n">
        <f aca="false">$C$7*B376</f>
        <v>5.09722222222222</v>
      </c>
      <c r="D376" s="49" t="n">
        <f aca="false">0.5*c_rho*'P3 Energie'!E8*'P3 Energie'!E7*(C376-c_Vv)^2+'P3 Energie'!E13+'P3 Energie'!E15+'P3 Energie'!E6*$C$7</f>
        <v>18421.6442625336</v>
      </c>
      <c r="E376" s="50" t="n">
        <f aca="false">D376*C376</f>
        <v>93899.214504859</v>
      </c>
      <c r="F376" s="46" t="n">
        <v>368</v>
      </c>
      <c r="G376" s="47" t="n">
        <f aca="false">(F376-1)*$H$6</f>
        <v>0.66255714707795</v>
      </c>
      <c r="H376" s="48" t="n">
        <f aca="false">$H$7*G376</f>
        <v>5.09722222222222</v>
      </c>
      <c r="I376" s="49" t="n">
        <f aca="false">0.5*c_rho*'P3 Energie'!F8*'P3 Energie'!F7*(H376-c_Vv)^2+'P3 Energie'!F13+'P3 Energie'!F15+'P3 Energie'!F6*$H$7</f>
        <v>19248.1520355299</v>
      </c>
      <c r="J376" s="50" t="n">
        <f aca="false">I376*H376</f>
        <v>98112.1082922148</v>
      </c>
    </row>
    <row r="377" customFormat="false" ht="15" hidden="false" customHeight="false" outlineLevel="0" collapsed="false">
      <c r="A377" s="46" t="n">
        <v>369</v>
      </c>
      <c r="B377" s="47" t="n">
        <f aca="false">(A377-1)*$C$6</f>
        <v>0.664837276355951</v>
      </c>
      <c r="C377" s="48" t="n">
        <f aca="false">$C$7*B377</f>
        <v>5.11111111111111</v>
      </c>
      <c r="D377" s="49" t="n">
        <f aca="false">0.5*c_rho*'P3 Energie'!E8*'P3 Energie'!E7*(C377-c_Vv)^2+'P3 Energie'!E13+'P3 Energie'!E15+'P3 Energie'!E6*$C$7</f>
        <v>18421.7008959187</v>
      </c>
      <c r="E377" s="50" t="n">
        <f aca="false">D377*C377</f>
        <v>94155.3601346954</v>
      </c>
      <c r="F377" s="46" t="n">
        <v>369</v>
      </c>
      <c r="G377" s="47" t="n">
        <f aca="false">(F377-1)*$H$6</f>
        <v>0.664362479903775</v>
      </c>
      <c r="H377" s="48" t="n">
        <f aca="false">$H$7*G377</f>
        <v>5.11111111111111</v>
      </c>
      <c r="I377" s="49" t="n">
        <f aca="false">0.5*c_rho*'P3 Energie'!F8*'P3 Energie'!F7*(H377-c_Vv)^2+'P3 Energie'!F13+'P3 Energie'!F15+'P3 Energie'!F6*$H$7</f>
        <v>19248.2012398667</v>
      </c>
      <c r="J377" s="50" t="n">
        <f aca="false">I377*H377</f>
        <v>98379.6952259852</v>
      </c>
    </row>
    <row r="378" customFormat="false" ht="15" hidden="false" customHeight="false" outlineLevel="0" collapsed="false">
      <c r="A378" s="46" t="n">
        <v>370</v>
      </c>
      <c r="B378" s="47" t="n">
        <f aca="false">(A378-1)*$C$6</f>
        <v>0.666643899389527</v>
      </c>
      <c r="C378" s="48" t="n">
        <f aca="false">$C$7*B378</f>
        <v>5.125</v>
      </c>
      <c r="D378" s="49" t="n">
        <f aca="false">0.5*c_rho*'P3 Energie'!E8*'P3 Energie'!E7*(C378-c_Vv)^2+'P3 Energie'!E13+'P3 Energie'!E15+'P3 Energie'!E6*$C$7</f>
        <v>18421.7576834082</v>
      </c>
      <c r="E378" s="50" t="n">
        <f aca="false">D378*C378</f>
        <v>94411.5081274668</v>
      </c>
      <c r="F378" s="46" t="n">
        <v>370</v>
      </c>
      <c r="G378" s="47" t="n">
        <f aca="false">(F378-1)*$H$6</f>
        <v>0.666167812729601</v>
      </c>
      <c r="H378" s="48" t="n">
        <f aca="false">$H$7*G378</f>
        <v>5.125</v>
      </c>
      <c r="I378" s="49" t="n">
        <f aca="false">0.5*c_rho*'P3 Energie'!F8*'P3 Energie'!F7*(H378-c_Vv)^2+'P3 Energie'!F13+'P3 Energie'!F15+'P3 Energie'!F6*$H$7</f>
        <v>19248.2505780928</v>
      </c>
      <c r="J378" s="50" t="n">
        <f aca="false">I378*H378</f>
        <v>98647.2842127257</v>
      </c>
    </row>
    <row r="379" customFormat="false" ht="15" hidden="false" customHeight="false" outlineLevel="0" collapsed="false">
      <c r="A379" s="46" t="n">
        <v>371</v>
      </c>
      <c r="B379" s="47" t="n">
        <f aca="false">(A379-1)*$C$6</f>
        <v>0.668450522423103</v>
      </c>
      <c r="C379" s="48" t="n">
        <f aca="false">$C$7*B379</f>
        <v>5.13888888888889</v>
      </c>
      <c r="D379" s="49" t="n">
        <f aca="false">0.5*c_rho*'P3 Energie'!E8*'P3 Energie'!E7*(C379-c_Vv)^2+'P3 Energie'!E13+'P3 Energie'!E15+'P3 Energie'!E6*$C$7</f>
        <v>18421.8146250021</v>
      </c>
      <c r="E379" s="50" t="n">
        <f aca="false">D379*C379</f>
        <v>94667.6584895941</v>
      </c>
      <c r="F379" s="46" t="n">
        <v>371</v>
      </c>
      <c r="G379" s="47" t="n">
        <f aca="false">(F379-1)*$H$6</f>
        <v>0.667973145555426</v>
      </c>
      <c r="H379" s="48" t="n">
        <f aca="false">$H$7*G379</f>
        <v>5.13888888888889</v>
      </c>
      <c r="I379" s="49" t="n">
        <f aca="false">0.5*c_rho*'P3 Energie'!F8*'P3 Energie'!F7*(H379-c_Vv)^2+'P3 Energie'!F13+'P3 Energie'!F15+'P3 Energie'!F6*$H$7</f>
        <v>19248.3000502083</v>
      </c>
      <c r="J379" s="50" t="n">
        <f aca="false">I379*H379</f>
        <v>98914.8752580151</v>
      </c>
    </row>
    <row r="380" customFormat="false" ht="15" hidden="false" customHeight="false" outlineLevel="0" collapsed="false">
      <c r="A380" s="46" t="n">
        <v>372</v>
      </c>
      <c r="B380" s="47" t="n">
        <f aca="false">(A380-1)*$C$6</f>
        <v>0.670257145456679</v>
      </c>
      <c r="C380" s="48" t="n">
        <f aca="false">$C$7*B380</f>
        <v>5.15277777777778</v>
      </c>
      <c r="D380" s="49" t="n">
        <f aca="false">0.5*c_rho*'P3 Energie'!E8*'P3 Energie'!E7*(C380-c_Vv)^2+'P3 Energie'!E13+'P3 Energie'!E15+'P3 Energie'!E6*$C$7</f>
        <v>18421.8717207005</v>
      </c>
      <c r="E380" s="50" t="n">
        <f aca="false">D380*C380</f>
        <v>94923.8112274983</v>
      </c>
      <c r="F380" s="46" t="n">
        <v>372</v>
      </c>
      <c r="G380" s="47" t="n">
        <f aca="false">(F380-1)*$H$6</f>
        <v>0.669778478381251</v>
      </c>
      <c r="H380" s="48" t="n">
        <f aca="false">$H$7*G380</f>
        <v>5.15277777777778</v>
      </c>
      <c r="I380" s="49" t="n">
        <f aca="false">0.5*c_rho*'P3 Energie'!F8*'P3 Energie'!F7*(H380-c_Vv)^2+'P3 Energie'!F13+'P3 Energie'!F15+'P3 Energie'!F6*$H$7</f>
        <v>19248.3496562132</v>
      </c>
      <c r="J380" s="50" t="n">
        <f aca="false">I380*H380</f>
        <v>99182.4683674319</v>
      </c>
    </row>
    <row r="381" customFormat="false" ht="15" hidden="false" customHeight="false" outlineLevel="0" collapsed="false">
      <c r="A381" s="46" t="n">
        <v>373</v>
      </c>
      <c r="B381" s="47" t="n">
        <f aca="false">(A381-1)*$C$6</f>
        <v>0.672063768490255</v>
      </c>
      <c r="C381" s="48" t="n">
        <f aca="false">$C$7*B381</f>
        <v>5.16666666666667</v>
      </c>
      <c r="D381" s="49" t="n">
        <f aca="false">0.5*c_rho*'P3 Energie'!E8*'P3 Energie'!E7*(C381-c_Vv)^2+'P3 Energie'!E13+'P3 Energie'!E15+'P3 Energie'!E6*$C$7</f>
        <v>18421.9289705033</v>
      </c>
      <c r="E381" s="50" t="n">
        <f aca="false">D381*C381</f>
        <v>95179.9663476004</v>
      </c>
      <c r="F381" s="46" t="n">
        <v>373</v>
      </c>
      <c r="G381" s="47" t="n">
        <f aca="false">(F381-1)*$H$6</f>
        <v>0.671583811207077</v>
      </c>
      <c r="H381" s="48" t="n">
        <f aca="false">$H$7*G381</f>
        <v>5.16666666666667</v>
      </c>
      <c r="I381" s="49" t="n">
        <f aca="false">0.5*c_rho*'P3 Energie'!F8*'P3 Energie'!F7*(H381-c_Vv)^2+'P3 Energie'!F13+'P3 Energie'!F15+'P3 Energie'!F6*$H$7</f>
        <v>19248.3993961074</v>
      </c>
      <c r="J381" s="50" t="n">
        <f aca="false">I381*H381</f>
        <v>99450.0635465549</v>
      </c>
    </row>
    <row r="382" customFormat="false" ht="15" hidden="false" customHeight="false" outlineLevel="0" collapsed="false">
      <c r="A382" s="46" t="n">
        <v>374</v>
      </c>
      <c r="B382" s="47" t="n">
        <f aca="false">(A382-1)*$C$6</f>
        <v>0.673870391523831</v>
      </c>
      <c r="C382" s="48" t="n">
        <f aca="false">$C$7*B382</f>
        <v>5.18055555555556</v>
      </c>
      <c r="D382" s="49" t="n">
        <f aca="false">0.5*c_rho*'P3 Energie'!E8*'P3 Energie'!E7*(C382-c_Vv)^2+'P3 Energie'!E13+'P3 Energie'!E15+'P3 Energie'!E6*$C$7</f>
        <v>18421.9863744106</v>
      </c>
      <c r="E382" s="50" t="n">
        <f aca="false">D382*C382</f>
        <v>95436.1238563215</v>
      </c>
      <c r="F382" s="46" t="n">
        <v>374</v>
      </c>
      <c r="G382" s="47" t="n">
        <f aca="false">(F382-1)*$H$6</f>
        <v>0.673389144032902</v>
      </c>
      <c r="H382" s="48" t="n">
        <f aca="false">$H$7*G382</f>
        <v>5.18055555555556</v>
      </c>
      <c r="I382" s="49" t="n">
        <f aca="false">0.5*c_rho*'P3 Energie'!F8*'P3 Energie'!F7*(H382-c_Vv)^2+'P3 Energie'!F13+'P3 Energie'!F15+'P3 Energie'!F6*$H$7</f>
        <v>19248.449269891</v>
      </c>
      <c r="J382" s="50" t="n">
        <f aca="false">I382*H382</f>
        <v>99717.660800963</v>
      </c>
    </row>
    <row r="383" customFormat="false" ht="15" hidden="false" customHeight="false" outlineLevel="0" collapsed="false">
      <c r="A383" s="46" t="n">
        <v>375</v>
      </c>
      <c r="B383" s="47" t="n">
        <f aca="false">(A383-1)*$C$6</f>
        <v>0.675677014557407</v>
      </c>
      <c r="C383" s="48" t="n">
        <f aca="false">$C$7*B383</f>
        <v>5.19444444444444</v>
      </c>
      <c r="D383" s="49" t="n">
        <f aca="false">0.5*c_rho*'P3 Energie'!E8*'P3 Energie'!E7*(C383-c_Vv)^2+'P3 Energie'!E13+'P3 Energie'!E15+'P3 Energie'!E6*$C$7</f>
        <v>18422.0439324223</v>
      </c>
      <c r="E383" s="50" t="n">
        <f aca="false">D383*C383</f>
        <v>95692.2837600825</v>
      </c>
      <c r="F383" s="46" t="n">
        <v>375</v>
      </c>
      <c r="G383" s="47" t="n">
        <f aca="false">(F383-1)*$H$6</f>
        <v>0.675194476858728</v>
      </c>
      <c r="H383" s="48" t="n">
        <f aca="false">$H$7*G383</f>
        <v>5.19444444444445</v>
      </c>
      <c r="I383" s="49" t="n">
        <f aca="false">0.5*c_rho*'P3 Energie'!F8*'P3 Energie'!F7*(H383-c_Vv)^2+'P3 Energie'!F13+'P3 Energie'!F15+'P3 Energie'!F6*$H$7</f>
        <v>19248.4992775639</v>
      </c>
      <c r="J383" s="50" t="n">
        <f aca="false">I383*H383</f>
        <v>99985.2601362347</v>
      </c>
    </row>
    <row r="384" customFormat="false" ht="15" hidden="false" customHeight="false" outlineLevel="0" collapsed="false">
      <c r="A384" s="46" t="n">
        <v>376</v>
      </c>
      <c r="B384" s="47" t="n">
        <f aca="false">(A384-1)*$C$6</f>
        <v>0.677483637590983</v>
      </c>
      <c r="C384" s="48" t="n">
        <f aca="false">$C$7*B384</f>
        <v>5.20833333333333</v>
      </c>
      <c r="D384" s="49" t="n">
        <f aca="false">0.5*c_rho*'P3 Energie'!E8*'P3 Energie'!E7*(C384-c_Vv)^2+'P3 Energie'!E13+'P3 Energie'!E15+'P3 Energie'!E6*$C$7</f>
        <v>18422.1016445385</v>
      </c>
      <c r="E384" s="50" t="n">
        <f aca="false">D384*C384</f>
        <v>95948.4460653046</v>
      </c>
      <c r="F384" s="46" t="n">
        <v>376</v>
      </c>
      <c r="G384" s="47" t="n">
        <f aca="false">(F384-1)*$H$6</f>
        <v>0.676999809684553</v>
      </c>
      <c r="H384" s="48" t="n">
        <f aca="false">$H$7*G384</f>
        <v>5.20833333333333</v>
      </c>
      <c r="I384" s="49" t="n">
        <f aca="false">0.5*c_rho*'P3 Energie'!F8*'P3 Energie'!F7*(H384-c_Vv)^2+'P3 Energie'!F13+'P3 Energie'!F15+'P3 Energie'!F6*$H$7</f>
        <v>19248.5494191262</v>
      </c>
      <c r="J384" s="50" t="n">
        <f aca="false">I384*H384</f>
        <v>100252.861557949</v>
      </c>
    </row>
    <row r="385" customFormat="false" ht="15" hidden="false" customHeight="false" outlineLevel="0" collapsed="false">
      <c r="A385" s="46" t="n">
        <v>377</v>
      </c>
      <c r="B385" s="47" t="n">
        <f aca="false">(A385-1)*$C$6</f>
        <v>0.679290260624558</v>
      </c>
      <c r="C385" s="48" t="n">
        <f aca="false">$C$7*B385</f>
        <v>5.22222222222222</v>
      </c>
      <c r="D385" s="49" t="n">
        <f aca="false">0.5*c_rho*'P3 Energie'!E8*'P3 Energie'!E7*(C385-c_Vv)^2+'P3 Energie'!E13+'P3 Energie'!E15+'P3 Energie'!E6*$C$7</f>
        <v>18422.1595107591</v>
      </c>
      <c r="E385" s="50" t="n">
        <f aca="false">D385*C385</f>
        <v>96204.6107784087</v>
      </c>
      <c r="F385" s="46" t="n">
        <v>377</v>
      </c>
      <c r="G385" s="47" t="n">
        <f aca="false">(F385-1)*$H$6</f>
        <v>0.678805142510379</v>
      </c>
      <c r="H385" s="48" t="n">
        <f aca="false">$H$7*G385</f>
        <v>5.22222222222222</v>
      </c>
      <c r="I385" s="49" t="n">
        <f aca="false">0.5*c_rho*'P3 Energie'!F8*'P3 Energie'!F7*(H385-c_Vv)^2+'P3 Energie'!F13+'P3 Energie'!F15+'P3 Energie'!F6*$H$7</f>
        <v>19248.5996945778</v>
      </c>
      <c r="J385" s="50" t="n">
        <f aca="false">I385*H385</f>
        <v>100520.465071684</v>
      </c>
    </row>
    <row r="386" customFormat="false" ht="15" hidden="false" customHeight="false" outlineLevel="0" collapsed="false">
      <c r="A386" s="46" t="n">
        <v>378</v>
      </c>
      <c r="B386" s="47" t="n">
        <f aca="false">(A386-1)*$C$6</f>
        <v>0.681096883658134</v>
      </c>
      <c r="C386" s="48" t="n">
        <f aca="false">$C$7*B386</f>
        <v>5.23611111111111</v>
      </c>
      <c r="D386" s="49" t="n">
        <f aca="false">0.5*c_rho*'P3 Energie'!E8*'P3 Energie'!E7*(C386-c_Vv)^2+'P3 Energie'!E13+'P3 Energie'!E15+'P3 Energie'!E6*$C$7</f>
        <v>18422.2175310842</v>
      </c>
      <c r="E386" s="50" t="n">
        <f aca="false">D386*C386</f>
        <v>96460.7779058158</v>
      </c>
      <c r="F386" s="46" t="n">
        <v>378</v>
      </c>
      <c r="G386" s="47" t="n">
        <f aca="false">(F386-1)*$H$6</f>
        <v>0.680610475336204</v>
      </c>
      <c r="H386" s="48" t="n">
        <f aca="false">$H$7*G386</f>
        <v>5.23611111111111</v>
      </c>
      <c r="I386" s="49" t="n">
        <f aca="false">0.5*c_rho*'P3 Energie'!F8*'P3 Energie'!F7*(H386-c_Vv)^2+'P3 Energie'!F13+'P3 Energie'!F15+'P3 Energie'!F6*$H$7</f>
        <v>19248.6501039188</v>
      </c>
      <c r="J386" s="50" t="n">
        <f aca="false">I386*H386</f>
        <v>100788.070683019</v>
      </c>
    </row>
    <row r="387" customFormat="false" ht="15" hidden="false" customHeight="false" outlineLevel="0" collapsed="false">
      <c r="A387" s="46" t="n">
        <v>379</v>
      </c>
      <c r="B387" s="47" t="n">
        <f aca="false">(A387-1)*$C$6</f>
        <v>0.68290350669171</v>
      </c>
      <c r="C387" s="48" t="n">
        <f aca="false">$C$7*B387</f>
        <v>5.25</v>
      </c>
      <c r="D387" s="49" t="n">
        <f aca="false">0.5*c_rho*'P3 Energie'!E8*'P3 Energie'!E7*(C387-c_Vv)^2+'P3 Energie'!E13+'P3 Energie'!E15+'P3 Energie'!E6*$C$7</f>
        <v>18422.2757055137</v>
      </c>
      <c r="E387" s="50" t="n">
        <f aca="false">D387*C387</f>
        <v>96716.947453947</v>
      </c>
      <c r="F387" s="46" t="n">
        <v>379</v>
      </c>
      <c r="G387" s="47" t="n">
        <f aca="false">(F387-1)*$H$6</f>
        <v>0.68241580816203</v>
      </c>
      <c r="H387" s="48" t="n">
        <f aca="false">$H$7*G387</f>
        <v>5.25</v>
      </c>
      <c r="I387" s="49" t="n">
        <f aca="false">0.5*c_rho*'P3 Energie'!F8*'P3 Energie'!F7*(H387-c_Vv)^2+'P3 Energie'!F13+'P3 Energie'!F15+'P3 Energie'!F6*$H$7</f>
        <v>19248.7006471491</v>
      </c>
      <c r="J387" s="50" t="n">
        <f aca="false">I387*H387</f>
        <v>101055.678397533</v>
      </c>
    </row>
    <row r="388" customFormat="false" ht="15" hidden="false" customHeight="false" outlineLevel="0" collapsed="false">
      <c r="A388" s="46" t="n">
        <v>380</v>
      </c>
      <c r="B388" s="47" t="n">
        <f aca="false">(A388-1)*$C$6</f>
        <v>0.684710129725286</v>
      </c>
      <c r="C388" s="48" t="n">
        <f aca="false">$C$7*B388</f>
        <v>5.26388888888889</v>
      </c>
      <c r="D388" s="49" t="n">
        <f aca="false">0.5*c_rho*'P3 Energie'!E8*'P3 Energie'!E7*(C388-c_Vv)^2+'P3 Energie'!E13+'P3 Energie'!E15+'P3 Energie'!E6*$C$7</f>
        <v>18422.3340340477</v>
      </c>
      <c r="E388" s="50" t="n">
        <f aca="false">D388*C388</f>
        <v>96973.1194292233</v>
      </c>
      <c r="F388" s="46" t="n">
        <v>380</v>
      </c>
      <c r="G388" s="47" t="n">
        <f aca="false">(F388-1)*$H$6</f>
        <v>0.684221140987855</v>
      </c>
      <c r="H388" s="48" t="n">
        <f aca="false">$H$7*G388</f>
        <v>5.26388888888889</v>
      </c>
      <c r="I388" s="49" t="n">
        <f aca="false">0.5*c_rho*'P3 Energie'!F8*'P3 Energie'!F7*(H388-c_Vv)^2+'P3 Energie'!F13+'P3 Energie'!F15+'P3 Energie'!F6*$H$7</f>
        <v>19248.7513242688</v>
      </c>
      <c r="J388" s="50" t="n">
        <f aca="false">I388*H388</f>
        <v>101323.288220804</v>
      </c>
    </row>
    <row r="389" customFormat="false" ht="15" hidden="false" customHeight="false" outlineLevel="0" collapsed="false">
      <c r="A389" s="46" t="n">
        <v>381</v>
      </c>
      <c r="B389" s="47" t="n">
        <f aca="false">(A389-1)*$C$6</f>
        <v>0.686516752758862</v>
      </c>
      <c r="C389" s="48" t="n">
        <f aca="false">$C$7*B389</f>
        <v>5.27777777777778</v>
      </c>
      <c r="D389" s="49" t="n">
        <f aca="false">0.5*c_rho*'P3 Energie'!E8*'P3 Energie'!E7*(C389-c_Vv)^2+'P3 Energie'!E13+'P3 Energie'!E15+'P3 Energie'!E6*$C$7</f>
        <v>18422.3925166861</v>
      </c>
      <c r="E389" s="50" t="n">
        <f aca="false">D389*C389</f>
        <v>97229.2938380656</v>
      </c>
      <c r="F389" s="46" t="n">
        <v>381</v>
      </c>
      <c r="G389" s="47" t="n">
        <f aca="false">(F389-1)*$H$6</f>
        <v>0.686026473813681</v>
      </c>
      <c r="H389" s="48" t="n">
        <f aca="false">$H$7*G389</f>
        <v>5.27777777777778</v>
      </c>
      <c r="I389" s="49" t="n">
        <f aca="false">0.5*c_rho*'P3 Energie'!F8*'P3 Energie'!F7*(H389-c_Vv)^2+'P3 Energie'!F13+'P3 Energie'!F15+'P3 Energie'!F6*$H$7</f>
        <v>19248.8021352778</v>
      </c>
      <c r="J389" s="50" t="n">
        <f aca="false">I389*H389</f>
        <v>101590.900158411</v>
      </c>
    </row>
    <row r="390" customFormat="false" ht="15" hidden="false" customHeight="false" outlineLevel="0" collapsed="false">
      <c r="A390" s="46" t="n">
        <v>382</v>
      </c>
      <c r="B390" s="47" t="n">
        <f aca="false">(A390-1)*$C$6</f>
        <v>0.688323375792438</v>
      </c>
      <c r="C390" s="48" t="n">
        <f aca="false">$C$7*B390</f>
        <v>5.29166666666667</v>
      </c>
      <c r="D390" s="49" t="n">
        <f aca="false">0.5*c_rho*'P3 Energie'!E8*'P3 Energie'!E7*(C390-c_Vv)^2+'P3 Energie'!E13+'P3 Energie'!E15+'P3 Energie'!E6*$C$7</f>
        <v>18422.451153429</v>
      </c>
      <c r="E390" s="50" t="n">
        <f aca="false">D390*C390</f>
        <v>97485.4706868951</v>
      </c>
      <c r="F390" s="46" t="n">
        <v>382</v>
      </c>
      <c r="G390" s="47" t="n">
        <f aca="false">(F390-1)*$H$6</f>
        <v>0.687831806639506</v>
      </c>
      <c r="H390" s="48" t="n">
        <f aca="false">$H$7*G390</f>
        <v>5.29166666666667</v>
      </c>
      <c r="I390" s="49" t="n">
        <f aca="false">0.5*c_rho*'P3 Energie'!F8*'P3 Energie'!F7*(H390-c_Vv)^2+'P3 Energie'!F13+'P3 Energie'!F15+'P3 Energie'!F6*$H$7</f>
        <v>19248.8530801762</v>
      </c>
      <c r="J390" s="50" t="n">
        <f aca="false">I390*H390</f>
        <v>101858.514215932</v>
      </c>
    </row>
    <row r="391" customFormat="false" ht="15" hidden="false" customHeight="false" outlineLevel="0" collapsed="false">
      <c r="A391" s="46" t="n">
        <v>383</v>
      </c>
      <c r="B391" s="47" t="n">
        <f aca="false">(A391-1)*$C$6</f>
        <v>0.690129998826014</v>
      </c>
      <c r="C391" s="48" t="n">
        <f aca="false">$C$7*B391</f>
        <v>5.30555555555556</v>
      </c>
      <c r="D391" s="49" t="n">
        <f aca="false">0.5*c_rho*'P3 Energie'!E8*'P3 Energie'!E7*(C391-c_Vv)^2+'P3 Energie'!E13+'P3 Energie'!E15+'P3 Energie'!E6*$C$7</f>
        <v>18422.5099442763</v>
      </c>
      <c r="E391" s="50" t="n">
        <f aca="false">D391*C391</f>
        <v>97741.6499821326</v>
      </c>
      <c r="F391" s="46" t="n">
        <v>383</v>
      </c>
      <c r="G391" s="47" t="n">
        <f aca="false">(F391-1)*$H$6</f>
        <v>0.689637139465332</v>
      </c>
      <c r="H391" s="48" t="n">
        <f aca="false">$H$7*G391</f>
        <v>5.30555555555556</v>
      </c>
      <c r="I391" s="49" t="n">
        <f aca="false">0.5*c_rho*'P3 Energie'!F8*'P3 Energie'!F7*(H391-c_Vv)^2+'P3 Energie'!F13+'P3 Energie'!F15+'P3 Energie'!F6*$H$7</f>
        <v>19248.9041589639</v>
      </c>
      <c r="J391" s="50" t="n">
        <f aca="false">I391*H391</f>
        <v>102126.130398947</v>
      </c>
    </row>
    <row r="392" customFormat="false" ht="15" hidden="false" customHeight="false" outlineLevel="0" collapsed="false">
      <c r="A392" s="46" t="n">
        <v>384</v>
      </c>
      <c r="B392" s="47" t="n">
        <f aca="false">(A392-1)*$C$6</f>
        <v>0.69193662185959</v>
      </c>
      <c r="C392" s="48" t="n">
        <f aca="false">$C$7*B392</f>
        <v>5.31944444444445</v>
      </c>
      <c r="D392" s="49" t="n">
        <f aca="false">0.5*c_rho*'P3 Energie'!E8*'P3 Energie'!E7*(C392-c_Vv)^2+'P3 Energie'!E13+'P3 Energie'!E15+'P3 Energie'!E6*$C$7</f>
        <v>18422.5688892281</v>
      </c>
      <c r="E392" s="50" t="n">
        <f aca="false">D392*C392</f>
        <v>97997.8317301994</v>
      </c>
      <c r="F392" s="46" t="n">
        <v>384</v>
      </c>
      <c r="G392" s="47" t="n">
        <f aca="false">(F392-1)*$H$6</f>
        <v>0.691442472291157</v>
      </c>
      <c r="H392" s="48" t="n">
        <f aca="false">$H$7*G392</f>
        <v>5.31944444444445</v>
      </c>
      <c r="I392" s="49" t="n">
        <f aca="false">0.5*c_rho*'P3 Energie'!F8*'P3 Energie'!F7*(H392-c_Vv)^2+'P3 Energie'!F13+'P3 Energie'!F15+'P3 Energie'!F6*$H$7</f>
        <v>19248.955371641</v>
      </c>
      <c r="J392" s="50" t="n">
        <f aca="false">I392*H392</f>
        <v>102393.748713035</v>
      </c>
    </row>
    <row r="393" customFormat="false" ht="15" hidden="false" customHeight="false" outlineLevel="0" collapsed="false">
      <c r="A393" s="46" t="n">
        <v>385</v>
      </c>
      <c r="B393" s="47" t="n">
        <f aca="false">(A393-1)*$C$6</f>
        <v>0.693743244893166</v>
      </c>
      <c r="C393" s="48" t="n">
        <f aca="false">$C$7*B393</f>
        <v>5.33333333333333</v>
      </c>
      <c r="D393" s="49" t="n">
        <f aca="false">0.5*c_rho*'P3 Energie'!E8*'P3 Energie'!E7*(C393-c_Vv)^2+'P3 Energie'!E13+'P3 Energie'!E15+'P3 Energie'!E6*$C$7</f>
        <v>18422.6279882843</v>
      </c>
      <c r="E393" s="50" t="n">
        <f aca="false">D393*C393</f>
        <v>98254.0159375163</v>
      </c>
      <c r="F393" s="46" t="n">
        <v>385</v>
      </c>
      <c r="G393" s="47" t="n">
        <f aca="false">(F393-1)*$H$6</f>
        <v>0.693247805116983</v>
      </c>
      <c r="H393" s="48" t="n">
        <f aca="false">$H$7*G393</f>
        <v>5.33333333333333</v>
      </c>
      <c r="I393" s="49" t="n">
        <f aca="false">0.5*c_rho*'P3 Energie'!F8*'P3 Energie'!F7*(H393-c_Vv)^2+'P3 Energie'!F13+'P3 Energie'!F15+'P3 Energie'!F6*$H$7</f>
        <v>19249.0067182074</v>
      </c>
      <c r="J393" s="50" t="n">
        <f aca="false">I393*H393</f>
        <v>102661.369163773</v>
      </c>
    </row>
    <row r="394" customFormat="false" ht="15" hidden="false" customHeight="false" outlineLevel="0" collapsed="false">
      <c r="A394" s="46" t="n">
        <v>386</v>
      </c>
      <c r="B394" s="47" t="n">
        <f aca="false">(A394-1)*$C$6</f>
        <v>0.695549867926742</v>
      </c>
      <c r="C394" s="48" t="n">
        <f aca="false">$C$7*B394</f>
        <v>5.34722222222222</v>
      </c>
      <c r="D394" s="49" t="n">
        <f aca="false">0.5*c_rho*'P3 Energie'!E8*'P3 Energie'!E7*(C394-c_Vv)^2+'P3 Energie'!E13+'P3 Energie'!E15+'P3 Energie'!E6*$C$7</f>
        <v>18422.687241445</v>
      </c>
      <c r="E394" s="50" t="n">
        <f aca="false">D394*C394</f>
        <v>98510.2026105044</v>
      </c>
      <c r="F394" s="46" t="n">
        <v>386</v>
      </c>
      <c r="G394" s="47" t="n">
        <f aca="false">(F394-1)*$H$6</f>
        <v>0.695053137942808</v>
      </c>
      <c r="H394" s="48" t="n">
        <f aca="false">$H$7*G394</f>
        <v>5.34722222222222</v>
      </c>
      <c r="I394" s="49" t="n">
        <f aca="false">0.5*c_rho*'P3 Energie'!F8*'P3 Energie'!F7*(H394-c_Vv)^2+'P3 Energie'!F13+'P3 Energie'!F15+'P3 Energie'!F6*$H$7</f>
        <v>19249.0581986632</v>
      </c>
      <c r="J394" s="50" t="n">
        <f aca="false">I394*H394</f>
        <v>102928.991756741</v>
      </c>
    </row>
    <row r="395" customFormat="false" ht="15" hidden="false" customHeight="false" outlineLevel="0" collapsed="false">
      <c r="A395" s="46" t="n">
        <v>387</v>
      </c>
      <c r="B395" s="47" t="n">
        <f aca="false">(A395-1)*$C$6</f>
        <v>0.697356490960318</v>
      </c>
      <c r="C395" s="48" t="n">
        <f aca="false">$C$7*B395</f>
        <v>5.36111111111111</v>
      </c>
      <c r="D395" s="49" t="n">
        <f aca="false">0.5*c_rho*'P3 Energie'!E8*'P3 Energie'!E7*(C395-c_Vv)^2+'P3 Energie'!E13+'P3 Energie'!E15+'P3 Energie'!E6*$C$7</f>
        <v>18422.7466487101</v>
      </c>
      <c r="E395" s="50" t="n">
        <f aca="false">D395*C395</f>
        <v>98766.3917555846</v>
      </c>
      <c r="F395" s="46" t="n">
        <v>387</v>
      </c>
      <c r="G395" s="47" t="n">
        <f aca="false">(F395-1)*$H$6</f>
        <v>0.696858470768634</v>
      </c>
      <c r="H395" s="48" t="n">
        <f aca="false">$H$7*G395</f>
        <v>5.36111111111111</v>
      </c>
      <c r="I395" s="49" t="n">
        <f aca="false">0.5*c_rho*'P3 Energie'!F8*'P3 Energie'!F7*(H395-c_Vv)^2+'P3 Energie'!F13+'P3 Energie'!F15+'P3 Energie'!F6*$H$7</f>
        <v>19249.1098130083</v>
      </c>
      <c r="J395" s="50" t="n">
        <f aca="false">I395*H395</f>
        <v>103196.616497517</v>
      </c>
    </row>
    <row r="396" customFormat="false" ht="15" hidden="false" customHeight="false" outlineLevel="0" collapsed="false">
      <c r="A396" s="46" t="n">
        <v>388</v>
      </c>
      <c r="B396" s="47" t="n">
        <f aca="false">(A396-1)*$C$6</f>
        <v>0.699163113993894</v>
      </c>
      <c r="C396" s="48" t="n">
        <f aca="false">$C$7*B396</f>
        <v>5.375</v>
      </c>
      <c r="D396" s="49" t="n">
        <f aca="false">0.5*c_rho*'P3 Energie'!E8*'P3 Energie'!E7*(C396-c_Vv)^2+'P3 Energie'!E13+'P3 Energie'!E15+'P3 Energie'!E6*$C$7</f>
        <v>18422.8062100797</v>
      </c>
      <c r="E396" s="50" t="n">
        <f aca="false">D396*C396</f>
        <v>99022.5833791782</v>
      </c>
      <c r="F396" s="46" t="n">
        <v>388</v>
      </c>
      <c r="G396" s="47" t="n">
        <f aca="false">(F396-1)*$H$6</f>
        <v>0.698663803594459</v>
      </c>
      <c r="H396" s="48" t="n">
        <f aca="false">$H$7*G396</f>
        <v>5.375</v>
      </c>
      <c r="I396" s="49" t="n">
        <f aca="false">0.5*c_rho*'P3 Energie'!F8*'P3 Energie'!F7*(H396-c_Vv)^2+'P3 Energie'!F13+'P3 Energie'!F15+'P3 Energie'!F6*$H$7</f>
        <v>19249.1615612428</v>
      </c>
      <c r="J396" s="50" t="n">
        <f aca="false">I396*H396</f>
        <v>103464.24339168</v>
      </c>
    </row>
    <row r="397" customFormat="false" ht="15" hidden="false" customHeight="false" outlineLevel="0" collapsed="false">
      <c r="A397" s="46" t="n">
        <v>389</v>
      </c>
      <c r="B397" s="47" t="n">
        <f aca="false">(A397-1)*$C$6</f>
        <v>0.70096973702747</v>
      </c>
      <c r="C397" s="48" t="n">
        <f aca="false">$C$7*B397</f>
        <v>5.38888888888889</v>
      </c>
      <c r="D397" s="49" t="n">
        <f aca="false">0.5*c_rho*'P3 Energie'!E8*'P3 Energie'!E7*(C397-c_Vv)^2+'P3 Energie'!E13+'P3 Energie'!E15+'P3 Energie'!E6*$C$7</f>
        <v>18422.8659255537</v>
      </c>
      <c r="E397" s="50" t="n">
        <f aca="false">D397*C397</f>
        <v>99278.7774877059</v>
      </c>
      <c r="F397" s="46" t="n">
        <v>389</v>
      </c>
      <c r="G397" s="47" t="n">
        <f aca="false">(F397-1)*$H$6</f>
        <v>0.700469136420285</v>
      </c>
      <c r="H397" s="48" t="n">
        <f aca="false">$H$7*G397</f>
        <v>5.38888888888889</v>
      </c>
      <c r="I397" s="49" t="n">
        <f aca="false">0.5*c_rho*'P3 Energie'!F8*'P3 Energie'!F7*(H397-c_Vv)^2+'P3 Energie'!F13+'P3 Energie'!F15+'P3 Energie'!F6*$H$7</f>
        <v>19249.2134433667</v>
      </c>
      <c r="J397" s="50" t="n">
        <f aca="false">I397*H397</f>
        <v>103731.872444809</v>
      </c>
    </row>
    <row r="398" customFormat="false" ht="15" hidden="false" customHeight="false" outlineLevel="0" collapsed="false">
      <c r="A398" s="46" t="n">
        <v>390</v>
      </c>
      <c r="B398" s="47" t="n">
        <f aca="false">(A398-1)*$C$6</f>
        <v>0.702776360061046</v>
      </c>
      <c r="C398" s="48" t="n">
        <f aca="false">$C$7*B398</f>
        <v>5.40277777777778</v>
      </c>
      <c r="D398" s="49" t="n">
        <f aca="false">0.5*c_rho*'P3 Energie'!E8*'P3 Energie'!E7*(C398-c_Vv)^2+'P3 Energie'!E13+'P3 Energie'!E15+'P3 Energie'!E6*$C$7</f>
        <v>18422.9257951321</v>
      </c>
      <c r="E398" s="50" t="n">
        <f aca="false">D398*C398</f>
        <v>99534.9740875889</v>
      </c>
      <c r="F398" s="46" t="n">
        <v>390</v>
      </c>
      <c r="G398" s="47" t="n">
        <f aca="false">(F398-1)*$H$6</f>
        <v>0.70227446924611</v>
      </c>
      <c r="H398" s="48" t="n">
        <f aca="false">$H$7*G398</f>
        <v>5.40277777777778</v>
      </c>
      <c r="I398" s="49" t="n">
        <f aca="false">0.5*c_rho*'P3 Energie'!F8*'P3 Energie'!F7*(H398-c_Vv)^2+'P3 Energie'!F13+'P3 Energie'!F15+'P3 Energie'!F6*$H$7</f>
        <v>19249.2654593799</v>
      </c>
      <c r="J398" s="50" t="n">
        <f aca="false">I398*H398</f>
        <v>103999.503662483</v>
      </c>
    </row>
    <row r="399" customFormat="false" ht="15" hidden="false" customHeight="false" outlineLevel="0" collapsed="false">
      <c r="A399" s="46" t="n">
        <v>391</v>
      </c>
      <c r="B399" s="47" t="n">
        <f aca="false">(A399-1)*$C$6</f>
        <v>0.704582983094622</v>
      </c>
      <c r="C399" s="48" t="n">
        <f aca="false">$C$7*B399</f>
        <v>5.41666666666667</v>
      </c>
      <c r="D399" s="49" t="n">
        <f aca="false">0.5*c_rho*'P3 Energie'!E8*'P3 Energie'!E7*(C399-c_Vv)^2+'P3 Energie'!E13+'P3 Energie'!E15+'P3 Energie'!E6*$C$7</f>
        <v>18422.9858188151</v>
      </c>
      <c r="E399" s="50" t="n">
        <f aca="false">D399*C399</f>
        <v>99791.1731852482</v>
      </c>
      <c r="F399" s="46" t="n">
        <v>391</v>
      </c>
      <c r="G399" s="47" t="n">
        <f aca="false">(F399-1)*$H$6</f>
        <v>0.704079802071935</v>
      </c>
      <c r="H399" s="48" t="n">
        <f aca="false">$H$7*G399</f>
        <v>5.41666666666667</v>
      </c>
      <c r="I399" s="49" t="n">
        <f aca="false">0.5*c_rho*'P3 Energie'!F8*'P3 Energie'!F7*(H399-c_Vv)^2+'P3 Energie'!F13+'P3 Energie'!F15+'P3 Energie'!F6*$H$7</f>
        <v>19249.3176092824</v>
      </c>
      <c r="J399" s="50" t="n">
        <f aca="false">I399*H399</f>
        <v>104267.13705028</v>
      </c>
    </row>
    <row r="400" customFormat="false" ht="15" hidden="false" customHeight="false" outlineLevel="0" collapsed="false">
      <c r="A400" s="46" t="n">
        <v>392</v>
      </c>
      <c r="B400" s="47" t="n">
        <f aca="false">(A400-1)*$C$6</f>
        <v>0.706389606128198</v>
      </c>
      <c r="C400" s="48" t="n">
        <f aca="false">$C$7*B400</f>
        <v>5.43055555555556</v>
      </c>
      <c r="D400" s="49" t="n">
        <f aca="false">0.5*c_rho*'P3 Energie'!E8*'P3 Energie'!E7*(C400-c_Vv)^2+'P3 Energie'!E13+'P3 Energie'!E15+'P3 Energie'!E6*$C$7</f>
        <v>18423.0459966024</v>
      </c>
      <c r="E400" s="50" t="n">
        <f aca="false">D400*C400</f>
        <v>100047.374787105</v>
      </c>
      <c r="F400" s="46" t="n">
        <v>392</v>
      </c>
      <c r="G400" s="47" t="n">
        <f aca="false">(F400-1)*$H$6</f>
        <v>0.705885134897761</v>
      </c>
      <c r="H400" s="48" t="n">
        <f aca="false">$H$7*G400</f>
        <v>5.43055555555556</v>
      </c>
      <c r="I400" s="49" t="n">
        <f aca="false">0.5*c_rho*'P3 Energie'!F8*'P3 Energie'!F7*(H400-c_Vv)^2+'P3 Energie'!F13+'P3 Energie'!F15+'P3 Energie'!F6*$H$7</f>
        <v>19249.3698930743</v>
      </c>
      <c r="J400" s="50" t="n">
        <f aca="false">I400*H400</f>
        <v>104534.772613779</v>
      </c>
    </row>
    <row r="401" customFormat="false" ht="15" hidden="false" customHeight="false" outlineLevel="0" collapsed="false">
      <c r="A401" s="46" t="n">
        <v>393</v>
      </c>
      <c r="B401" s="47" t="n">
        <f aca="false">(A401-1)*$C$6</f>
        <v>0.708196229161774</v>
      </c>
      <c r="C401" s="48" t="n">
        <f aca="false">$C$7*B401</f>
        <v>5.44444444444445</v>
      </c>
      <c r="D401" s="49" t="n">
        <f aca="false">0.5*c_rho*'P3 Energie'!E8*'P3 Energie'!E7*(C401-c_Vv)^2+'P3 Energie'!E13+'P3 Energie'!E15+'P3 Energie'!E6*$C$7</f>
        <v>18423.1063284942</v>
      </c>
      <c r="E401" s="50" t="n">
        <f aca="false">D401*C401</f>
        <v>100303.57889958</v>
      </c>
      <c r="F401" s="46" t="n">
        <v>393</v>
      </c>
      <c r="G401" s="47" t="n">
        <f aca="false">(F401-1)*$H$6</f>
        <v>0.707690467723586</v>
      </c>
      <c r="H401" s="48" t="n">
        <f aca="false">$H$7*G401</f>
        <v>5.44444444444445</v>
      </c>
      <c r="I401" s="49" t="n">
        <f aca="false">0.5*c_rho*'P3 Energie'!F8*'P3 Energie'!F7*(H401-c_Vv)^2+'P3 Energie'!F13+'P3 Energie'!F15+'P3 Energie'!F6*$H$7</f>
        <v>19249.4223107556</v>
      </c>
      <c r="J401" s="50" t="n">
        <f aca="false">I401*H401</f>
        <v>104802.410358558</v>
      </c>
    </row>
    <row r="402" customFormat="false" ht="15" hidden="false" customHeight="false" outlineLevel="0" collapsed="false">
      <c r="A402" s="46" t="n">
        <v>394</v>
      </c>
      <c r="B402" s="47" t="n">
        <f aca="false">(A402-1)*$C$6</f>
        <v>0.71000285219535</v>
      </c>
      <c r="C402" s="48" t="n">
        <f aca="false">$C$7*B402</f>
        <v>5.45833333333333</v>
      </c>
      <c r="D402" s="49" t="n">
        <f aca="false">0.5*c_rho*'P3 Energie'!E8*'P3 Energie'!E7*(C402-c_Vv)^2+'P3 Energie'!E13+'P3 Energie'!E15+'P3 Energie'!E6*$C$7</f>
        <v>18423.1668144905</v>
      </c>
      <c r="E402" s="50" t="n">
        <f aca="false">D402*C402</f>
        <v>100559.785529094</v>
      </c>
      <c r="F402" s="46" t="n">
        <v>394</v>
      </c>
      <c r="G402" s="47" t="n">
        <f aca="false">(F402-1)*$H$6</f>
        <v>0.709495800549412</v>
      </c>
      <c r="H402" s="48" t="n">
        <f aca="false">$H$7*G402</f>
        <v>5.45833333333333</v>
      </c>
      <c r="I402" s="49" t="n">
        <f aca="false">0.5*c_rho*'P3 Energie'!F8*'P3 Energie'!F7*(H402-c_Vv)^2+'P3 Energie'!F13+'P3 Energie'!F15+'P3 Energie'!F6*$H$7</f>
        <v>19249.4748623262</v>
      </c>
      <c r="J402" s="50" t="n">
        <f aca="false">I402*H402</f>
        <v>105070.050290197</v>
      </c>
    </row>
    <row r="403" customFormat="false" ht="15" hidden="false" customHeight="false" outlineLevel="0" collapsed="false">
      <c r="A403" s="46" t="n">
        <v>395</v>
      </c>
      <c r="B403" s="47" t="n">
        <f aca="false">(A403-1)*$C$6</f>
        <v>0.711809475228926</v>
      </c>
      <c r="C403" s="48" t="n">
        <f aca="false">$C$7*B403</f>
        <v>5.47222222222222</v>
      </c>
      <c r="D403" s="49" t="n">
        <f aca="false">0.5*c_rho*'P3 Energie'!E8*'P3 Energie'!E7*(C403-c_Vv)^2+'P3 Energie'!E13+'P3 Energie'!E15+'P3 Energie'!E6*$C$7</f>
        <v>18423.2274545912</v>
      </c>
      <c r="E403" s="50" t="n">
        <f aca="false">D403*C403</f>
        <v>100815.994682069</v>
      </c>
      <c r="F403" s="46" t="n">
        <v>395</v>
      </c>
      <c r="G403" s="47" t="n">
        <f aca="false">(F403-1)*$H$6</f>
        <v>0.711301133375237</v>
      </c>
      <c r="H403" s="48" t="n">
        <f aca="false">$H$7*G403</f>
        <v>5.47222222222222</v>
      </c>
      <c r="I403" s="49" t="n">
        <f aca="false">0.5*c_rho*'P3 Energie'!F8*'P3 Energie'!F7*(H403-c_Vv)^2+'P3 Energie'!F13+'P3 Energie'!F15+'P3 Energie'!F6*$H$7</f>
        <v>19249.5275477861</v>
      </c>
      <c r="J403" s="50" t="n">
        <f aca="false">I403*H403</f>
        <v>105337.692414274</v>
      </c>
    </row>
    <row r="404" customFormat="false" ht="15" hidden="false" customHeight="false" outlineLevel="0" collapsed="false">
      <c r="A404" s="46" t="n">
        <v>396</v>
      </c>
      <c r="B404" s="47" t="n">
        <f aca="false">(A404-1)*$C$6</f>
        <v>0.713616098262502</v>
      </c>
      <c r="C404" s="48" t="n">
        <f aca="false">$C$7*B404</f>
        <v>5.48611111111111</v>
      </c>
      <c r="D404" s="49" t="n">
        <f aca="false">0.5*c_rho*'P3 Energie'!E8*'P3 Energie'!E7*(C404-c_Vv)^2+'P3 Energie'!E13+'P3 Energie'!E15+'P3 Energie'!E6*$C$7</f>
        <v>18423.2882487964</v>
      </c>
      <c r="E404" s="50" t="n">
        <f aca="false">D404*C404</f>
        <v>101072.206364924</v>
      </c>
      <c r="F404" s="46" t="n">
        <v>396</v>
      </c>
      <c r="G404" s="47" t="n">
        <f aca="false">(F404-1)*$H$6</f>
        <v>0.713106466201063</v>
      </c>
      <c r="H404" s="48" t="n">
        <f aca="false">$H$7*G404</f>
        <v>5.48611111111111</v>
      </c>
      <c r="I404" s="49" t="n">
        <f aca="false">0.5*c_rho*'P3 Energie'!F8*'P3 Energie'!F7*(H404-c_Vv)^2+'P3 Energie'!F13+'P3 Energie'!F15+'P3 Energie'!F6*$H$7</f>
        <v>19249.5803671354</v>
      </c>
      <c r="J404" s="50" t="n">
        <f aca="false">I404*H404</f>
        <v>105605.336736368</v>
      </c>
    </row>
    <row r="405" customFormat="false" ht="15" hidden="false" customHeight="false" outlineLevel="0" collapsed="false">
      <c r="A405" s="46" t="n">
        <v>397</v>
      </c>
      <c r="B405" s="47" t="n">
        <f aca="false">(A405-1)*$C$6</f>
        <v>0.715422721296078</v>
      </c>
      <c r="C405" s="48" t="n">
        <f aca="false">$C$7*B405</f>
        <v>5.5</v>
      </c>
      <c r="D405" s="49" t="n">
        <f aca="false">0.5*c_rho*'P3 Energie'!E8*'P3 Energie'!E7*(C405-c_Vv)^2+'P3 Energie'!E13+'P3 Energie'!E15+'P3 Energie'!E6*$C$7</f>
        <v>18423.349197106</v>
      </c>
      <c r="E405" s="50" t="n">
        <f aca="false">D405*C405</f>
        <v>101328.420584083</v>
      </c>
      <c r="F405" s="46" t="n">
        <v>397</v>
      </c>
      <c r="G405" s="47" t="n">
        <f aca="false">(F405-1)*$H$6</f>
        <v>0.714911799026888</v>
      </c>
      <c r="H405" s="48" t="n">
        <f aca="false">$H$7*G405</f>
        <v>5.5</v>
      </c>
      <c r="I405" s="49" t="n">
        <f aca="false">0.5*c_rho*'P3 Energie'!F8*'P3 Energie'!F7*(H405-c_Vv)^2+'P3 Energie'!F13+'P3 Energie'!F15+'P3 Energie'!F6*$H$7</f>
        <v>19249.6333203741</v>
      </c>
      <c r="J405" s="50" t="n">
        <f aca="false">I405*H405</f>
        <v>105872.983262057</v>
      </c>
    </row>
    <row r="406" customFormat="false" ht="15" hidden="false" customHeight="false" outlineLevel="0" collapsed="false">
      <c r="A406" s="46" t="n">
        <v>398</v>
      </c>
      <c r="B406" s="47" t="n">
        <f aca="false">(A406-1)*$C$6</f>
        <v>0.717229344329654</v>
      </c>
      <c r="C406" s="48" t="n">
        <f aca="false">$C$7*B406</f>
        <v>5.51388888888889</v>
      </c>
      <c r="D406" s="49" t="n">
        <f aca="false">0.5*c_rho*'P3 Energie'!E8*'P3 Energie'!E7*(C406-c_Vv)^2+'P3 Energie'!E13+'P3 Energie'!E15+'P3 Energie'!E6*$C$7</f>
        <v>18423.41029952</v>
      </c>
      <c r="E406" s="50" t="n">
        <f aca="false">D406*C406</f>
        <v>101584.637345965</v>
      </c>
      <c r="F406" s="46" t="n">
        <v>398</v>
      </c>
      <c r="G406" s="47" t="n">
        <f aca="false">(F406-1)*$H$6</f>
        <v>0.716717131852714</v>
      </c>
      <c r="H406" s="48" t="n">
        <f aca="false">$H$7*G406</f>
        <v>5.51388888888889</v>
      </c>
      <c r="I406" s="49" t="n">
        <f aca="false">0.5*c_rho*'P3 Energie'!F8*'P3 Energie'!F7*(H406-c_Vv)^2+'P3 Energie'!F13+'P3 Energie'!F15+'P3 Energie'!F6*$H$7</f>
        <v>19249.6864075021</v>
      </c>
      <c r="J406" s="50" t="n">
        <f aca="false">I406*H406</f>
        <v>106140.631996921</v>
      </c>
    </row>
    <row r="407" customFormat="false" ht="15" hidden="false" customHeight="false" outlineLevel="0" collapsed="false">
      <c r="A407" s="46" t="n">
        <v>399</v>
      </c>
      <c r="B407" s="47" t="n">
        <f aca="false">(A407-1)*$C$6</f>
        <v>0.719035967363229</v>
      </c>
      <c r="C407" s="48" t="n">
        <f aca="false">$C$7*B407</f>
        <v>5.52777777777778</v>
      </c>
      <c r="D407" s="49" t="n">
        <f aca="false">0.5*c_rho*'P3 Energie'!E8*'P3 Energie'!E7*(C407-c_Vv)^2+'P3 Energie'!E13+'P3 Energie'!E15+'P3 Energie'!E6*$C$7</f>
        <v>18423.4715560385</v>
      </c>
      <c r="E407" s="50" t="n">
        <f aca="false">D407*C407</f>
        <v>101840.856656991</v>
      </c>
      <c r="F407" s="46" t="n">
        <v>399</v>
      </c>
      <c r="G407" s="47" t="n">
        <f aca="false">(F407-1)*$H$6</f>
        <v>0.718522464678539</v>
      </c>
      <c r="H407" s="48" t="n">
        <f aca="false">$H$7*G407</f>
        <v>5.52777777777778</v>
      </c>
      <c r="I407" s="49" t="n">
        <f aca="false">0.5*c_rho*'P3 Energie'!F8*'P3 Energie'!F7*(H407-c_Vv)^2+'P3 Energie'!F13+'P3 Energie'!F15+'P3 Energie'!F6*$H$7</f>
        <v>19249.7396285194</v>
      </c>
      <c r="J407" s="50" t="n">
        <f aca="false">I407*H407</f>
        <v>106408.282946538</v>
      </c>
    </row>
    <row r="408" customFormat="false" ht="15" hidden="false" customHeight="false" outlineLevel="0" collapsed="false">
      <c r="A408" s="46" t="n">
        <v>400</v>
      </c>
      <c r="B408" s="47" t="n">
        <f aca="false">(A408-1)*$C$6</f>
        <v>0.720842590396805</v>
      </c>
      <c r="C408" s="48" t="n">
        <f aca="false">$C$7*B408</f>
        <v>5.54166666666667</v>
      </c>
      <c r="D408" s="49" t="n">
        <f aca="false">0.5*c_rho*'P3 Energie'!E8*'P3 Energie'!E7*(C408-c_Vv)^2+'P3 Energie'!E13+'P3 Energie'!E15+'P3 Energie'!E6*$C$7</f>
        <v>18423.5329666615</v>
      </c>
      <c r="E408" s="50" t="n">
        <f aca="false">D408*C408</f>
        <v>102097.078523582</v>
      </c>
      <c r="F408" s="46" t="n">
        <v>400</v>
      </c>
      <c r="G408" s="47" t="n">
        <f aca="false">(F408-1)*$H$6</f>
        <v>0.720327797504365</v>
      </c>
      <c r="H408" s="48" t="n">
        <f aca="false">$H$7*G408</f>
        <v>5.54166666666667</v>
      </c>
      <c r="I408" s="49" t="n">
        <f aca="false">0.5*c_rho*'P3 Energie'!F8*'P3 Energie'!F7*(H408-c_Vv)^2+'P3 Energie'!F13+'P3 Energie'!F15+'P3 Energie'!F6*$H$7</f>
        <v>19249.7929834262</v>
      </c>
      <c r="J408" s="50" t="n">
        <f aca="false">I408*H408</f>
        <v>106675.936116487</v>
      </c>
    </row>
    <row r="409" customFormat="false" ht="15" hidden="false" customHeight="false" outlineLevel="0" collapsed="false">
      <c r="A409" s="46" t="n">
        <v>401</v>
      </c>
      <c r="B409" s="47" t="n">
        <f aca="false">(A409-1)*$C$6</f>
        <v>0.722649213430381</v>
      </c>
      <c r="C409" s="48" t="n">
        <f aca="false">$C$7*B409</f>
        <v>5.55555555555556</v>
      </c>
      <c r="D409" s="49" t="n">
        <f aca="false">0.5*c_rho*'P3 Energie'!E8*'P3 Energie'!E7*(C409-c_Vv)^2+'P3 Energie'!E13+'P3 Energie'!E15+'P3 Energie'!E6*$C$7</f>
        <v>18423.5945313889</v>
      </c>
      <c r="E409" s="50" t="n">
        <f aca="false">D409*C409</f>
        <v>102353.302952161</v>
      </c>
      <c r="F409" s="46" t="n">
        <v>401</v>
      </c>
      <c r="G409" s="47" t="n">
        <f aca="false">(F409-1)*$H$6</f>
        <v>0.72213313033019</v>
      </c>
      <c r="H409" s="48" t="n">
        <f aca="false">$H$7*G409</f>
        <v>5.55555555555556</v>
      </c>
      <c r="I409" s="49" t="n">
        <f aca="false">0.5*c_rho*'P3 Energie'!F8*'P3 Energie'!F7*(H409-c_Vv)^2+'P3 Energie'!F13+'P3 Energie'!F15+'P3 Energie'!F6*$H$7</f>
        <v>19249.8464722222</v>
      </c>
      <c r="J409" s="50" t="n">
        <f aca="false">I409*H409</f>
        <v>106943.591512346</v>
      </c>
    </row>
    <row r="410" customFormat="false" ht="15" hidden="false" customHeight="false" outlineLevel="0" collapsed="false">
      <c r="A410" s="46" t="n">
        <v>402</v>
      </c>
      <c r="B410" s="47" t="n">
        <f aca="false">(A410-1)*$C$6</f>
        <v>0.724455836463957</v>
      </c>
      <c r="C410" s="48" t="n">
        <f aca="false">$C$7*B410</f>
        <v>5.56944444444445</v>
      </c>
      <c r="D410" s="49" t="n">
        <f aca="false">0.5*c_rho*'P3 Energie'!E8*'P3 Energie'!E7*(C410-c_Vv)^2+'P3 Energie'!E13+'P3 Energie'!E15+'P3 Energie'!E6*$C$7</f>
        <v>18423.6562502208</v>
      </c>
      <c r="E410" s="50" t="n">
        <f aca="false">D410*C410</f>
        <v>102609.529949146</v>
      </c>
      <c r="F410" s="46" t="n">
        <v>402</v>
      </c>
      <c r="G410" s="47" t="n">
        <f aca="false">(F410-1)*$H$6</f>
        <v>0.723938463156016</v>
      </c>
      <c r="H410" s="48" t="n">
        <f aca="false">$H$7*G410</f>
        <v>5.56944444444445</v>
      </c>
      <c r="I410" s="49" t="n">
        <f aca="false">0.5*c_rho*'P3 Energie'!F8*'P3 Energie'!F7*(H410-c_Vv)^2+'P3 Energie'!F13+'P3 Energie'!F15+'P3 Energie'!F6*$H$7</f>
        <v>19249.9000949076</v>
      </c>
      <c r="J410" s="50" t="n">
        <f aca="false">I410*H410</f>
        <v>107211.249139694</v>
      </c>
    </row>
    <row r="411" customFormat="false" ht="15" hidden="false" customHeight="false" outlineLevel="0" collapsed="false">
      <c r="A411" s="46" t="n">
        <v>403</v>
      </c>
      <c r="B411" s="47" t="n">
        <f aca="false">(A411-1)*$C$6</f>
        <v>0.726262459497533</v>
      </c>
      <c r="C411" s="48" t="n">
        <f aca="false">$C$7*B411</f>
        <v>5.58333333333333</v>
      </c>
      <c r="D411" s="49" t="n">
        <f aca="false">0.5*c_rho*'P3 Energie'!E8*'P3 Energie'!E7*(C411-c_Vv)^2+'P3 Energie'!E13+'P3 Energie'!E15+'P3 Energie'!E6*$C$7</f>
        <v>18423.7181231571</v>
      </c>
      <c r="E411" s="50" t="n">
        <f aca="false">D411*C411</f>
        <v>102865.75952096</v>
      </c>
      <c r="F411" s="46" t="n">
        <v>403</v>
      </c>
      <c r="G411" s="47" t="n">
        <f aca="false">(F411-1)*$H$6</f>
        <v>0.725743795981841</v>
      </c>
      <c r="H411" s="48" t="n">
        <f aca="false">$H$7*G411</f>
        <v>5.58333333333333</v>
      </c>
      <c r="I411" s="49" t="n">
        <f aca="false">0.5*c_rho*'P3 Energie'!F8*'P3 Energie'!F7*(H411-c_Vv)^2+'P3 Energie'!F13+'P3 Energie'!F15+'P3 Energie'!F6*$H$7</f>
        <v>19249.9538514824</v>
      </c>
      <c r="J411" s="50" t="n">
        <f aca="false">I411*H411</f>
        <v>107478.90900411</v>
      </c>
    </row>
    <row r="412" customFormat="false" ht="15" hidden="false" customHeight="false" outlineLevel="0" collapsed="false">
      <c r="A412" s="46" t="n">
        <v>404</v>
      </c>
      <c r="B412" s="47" t="n">
        <f aca="false">(A412-1)*$C$6</f>
        <v>0.728069082531109</v>
      </c>
      <c r="C412" s="48" t="n">
        <f aca="false">$C$7*B412</f>
        <v>5.59722222222222</v>
      </c>
      <c r="D412" s="49" t="n">
        <f aca="false">0.5*c_rho*'P3 Energie'!E8*'P3 Energie'!E7*(C412-c_Vv)^2+'P3 Energie'!E13+'P3 Energie'!E15+'P3 Energie'!E6*$C$7</f>
        <v>18423.7801501978</v>
      </c>
      <c r="E412" s="50" t="n">
        <f aca="false">D412*C412</f>
        <v>103121.991674024</v>
      </c>
      <c r="F412" s="46" t="n">
        <v>404</v>
      </c>
      <c r="G412" s="47" t="n">
        <f aca="false">(F412-1)*$H$6</f>
        <v>0.727549128807667</v>
      </c>
      <c r="H412" s="48" t="n">
        <f aca="false">$H$7*G412</f>
        <v>5.59722222222222</v>
      </c>
      <c r="I412" s="49" t="n">
        <f aca="false">0.5*c_rho*'P3 Energie'!F8*'P3 Energie'!F7*(H412-c_Vv)^2+'P3 Energie'!F13+'P3 Energie'!F15+'P3 Energie'!F6*$H$7</f>
        <v>19250.0077419465</v>
      </c>
      <c r="J412" s="50" t="n">
        <f aca="false">I412*H412</f>
        <v>107746.571111173</v>
      </c>
    </row>
    <row r="413" customFormat="false" ht="15" hidden="false" customHeight="false" outlineLevel="0" collapsed="false">
      <c r="A413" s="46" t="n">
        <v>405</v>
      </c>
      <c r="B413" s="47" t="n">
        <f aca="false">(A413-1)*$C$6</f>
        <v>0.729875705564685</v>
      </c>
      <c r="C413" s="48" t="n">
        <f aca="false">$C$7*B413</f>
        <v>5.61111111111111</v>
      </c>
      <c r="D413" s="49" t="n">
        <f aca="false">0.5*c_rho*'P3 Energie'!E8*'P3 Energie'!E7*(C413-c_Vv)^2+'P3 Energie'!E13+'P3 Energie'!E15+'P3 Energie'!E6*$C$7</f>
        <v>18423.842331343</v>
      </c>
      <c r="E413" s="50" t="n">
        <f aca="false">D413*C413</f>
        <v>103378.226414758</v>
      </c>
      <c r="F413" s="46" t="n">
        <v>405</v>
      </c>
      <c r="G413" s="47" t="n">
        <f aca="false">(F413-1)*$H$6</f>
        <v>0.729354461633492</v>
      </c>
      <c r="H413" s="48" t="n">
        <f aca="false">$H$7*G413</f>
        <v>5.61111111111111</v>
      </c>
      <c r="I413" s="49" t="n">
        <f aca="false">0.5*c_rho*'P3 Energie'!F8*'P3 Energie'!F7*(H413-c_Vv)^2+'P3 Energie'!F13+'P3 Energie'!F15+'P3 Energie'!F6*$H$7</f>
        <v>19250.0617663</v>
      </c>
      <c r="J413" s="50" t="n">
        <f aca="false">I413*H413</f>
        <v>108014.235466461</v>
      </c>
    </row>
    <row r="414" customFormat="false" ht="15" hidden="false" customHeight="false" outlineLevel="0" collapsed="false">
      <c r="A414" s="46" t="n">
        <v>406</v>
      </c>
      <c r="B414" s="47" t="n">
        <f aca="false">(A414-1)*$C$6</f>
        <v>0.731682328598261</v>
      </c>
      <c r="C414" s="48" t="n">
        <f aca="false">$C$7*B414</f>
        <v>5.625</v>
      </c>
      <c r="D414" s="49" t="n">
        <f aca="false">0.5*c_rho*'P3 Energie'!E8*'P3 Energie'!E7*(C414-c_Vv)^2+'P3 Energie'!E13+'P3 Energie'!E15+'P3 Energie'!E6*$C$7</f>
        <v>18423.9046665927</v>
      </c>
      <c r="E414" s="50" t="n">
        <f aca="false">D414*C414</f>
        <v>103634.463749584</v>
      </c>
      <c r="F414" s="46" t="n">
        <v>406</v>
      </c>
      <c r="G414" s="47" t="n">
        <f aca="false">(F414-1)*$H$6</f>
        <v>0.731159794459318</v>
      </c>
      <c r="H414" s="48" t="n">
        <f aca="false">$H$7*G414</f>
        <v>5.625</v>
      </c>
      <c r="I414" s="49" t="n">
        <f aca="false">0.5*c_rho*'P3 Energie'!F8*'P3 Energie'!F7*(H414-c_Vv)^2+'P3 Energie'!F13+'P3 Energie'!F15+'P3 Energie'!F6*$H$7</f>
        <v>19250.1159245428</v>
      </c>
      <c r="J414" s="50" t="n">
        <f aca="false">I414*H414</f>
        <v>108281.902075553</v>
      </c>
    </row>
    <row r="415" customFormat="false" ht="15" hidden="false" customHeight="false" outlineLevel="0" collapsed="false">
      <c r="A415" s="46" t="n">
        <v>407</v>
      </c>
      <c r="B415" s="47" t="n">
        <f aca="false">(A415-1)*$C$6</f>
        <v>0.733488951631837</v>
      </c>
      <c r="C415" s="48" t="n">
        <f aca="false">$C$7*B415</f>
        <v>5.63888888888889</v>
      </c>
      <c r="D415" s="49" t="n">
        <f aca="false">0.5*c_rho*'P3 Energie'!E8*'P3 Energie'!E7*(C415-c_Vv)^2+'P3 Energie'!E13+'P3 Energie'!E15+'P3 Energie'!E6*$C$7</f>
        <v>18423.9671559468</v>
      </c>
      <c r="E415" s="50" t="n">
        <f aca="false">D415*C415</f>
        <v>103890.703684922</v>
      </c>
      <c r="F415" s="46" t="n">
        <v>407</v>
      </c>
      <c r="G415" s="47" t="n">
        <f aca="false">(F415-1)*$H$6</f>
        <v>0.732965127285143</v>
      </c>
      <c r="H415" s="48" t="n">
        <f aca="false">$H$7*G415</f>
        <v>5.63888888888889</v>
      </c>
      <c r="I415" s="49" t="n">
        <f aca="false">0.5*c_rho*'P3 Energie'!F8*'P3 Energie'!F7*(H415-c_Vv)^2+'P3 Energie'!F13+'P3 Energie'!F15+'P3 Energie'!F6*$H$7</f>
        <v>19250.170216675</v>
      </c>
      <c r="J415" s="50" t="n">
        <f aca="false">I415*H415</f>
        <v>108549.570944028</v>
      </c>
    </row>
    <row r="416" customFormat="false" ht="15" hidden="false" customHeight="false" outlineLevel="0" collapsed="false">
      <c r="A416" s="46" t="n">
        <v>408</v>
      </c>
      <c r="B416" s="47" t="n">
        <f aca="false">(A416-1)*$C$6</f>
        <v>0.735295574665413</v>
      </c>
      <c r="C416" s="48" t="n">
        <f aca="false">$C$7*B416</f>
        <v>5.65277777777778</v>
      </c>
      <c r="D416" s="49" t="n">
        <f aca="false">0.5*c_rho*'P3 Energie'!E8*'P3 Energie'!E7*(C416-c_Vv)^2+'P3 Energie'!E13+'P3 Energie'!E15+'P3 Energie'!E6*$C$7</f>
        <v>18424.0297994053</v>
      </c>
      <c r="E416" s="50" t="n">
        <f aca="false">D416*C416</f>
        <v>104146.946227194</v>
      </c>
      <c r="F416" s="46" t="n">
        <v>408</v>
      </c>
      <c r="G416" s="47" t="n">
        <f aca="false">(F416-1)*$H$6</f>
        <v>0.734770460110969</v>
      </c>
      <c r="H416" s="48" t="n">
        <f aca="false">$H$7*G416</f>
        <v>5.65277777777778</v>
      </c>
      <c r="I416" s="49" t="n">
        <f aca="false">0.5*c_rho*'P3 Energie'!F8*'P3 Energie'!F7*(H416-c_Vv)^2+'P3 Energie'!F13+'P3 Energie'!F15+'P3 Energie'!F6*$H$7</f>
        <v>19250.2246426965</v>
      </c>
      <c r="J416" s="50" t="n">
        <f aca="false">I416*H416</f>
        <v>108817.242077465</v>
      </c>
    </row>
    <row r="417" customFormat="false" ht="15" hidden="false" customHeight="false" outlineLevel="0" collapsed="false">
      <c r="A417" s="46" t="n">
        <v>409</v>
      </c>
      <c r="B417" s="47" t="n">
        <f aca="false">(A417-1)*$C$6</f>
        <v>0.737102197698989</v>
      </c>
      <c r="C417" s="48" t="n">
        <f aca="false">$C$7*B417</f>
        <v>5.66666666666667</v>
      </c>
      <c r="D417" s="49" t="n">
        <f aca="false">0.5*c_rho*'P3 Energie'!E8*'P3 Energie'!E7*(C417-c_Vv)^2+'P3 Energie'!E13+'P3 Energie'!E15+'P3 Energie'!E6*$C$7</f>
        <v>18424.0925969683</v>
      </c>
      <c r="E417" s="50" t="n">
        <f aca="false">D417*C417</f>
        <v>104403.19138282</v>
      </c>
      <c r="F417" s="46" t="n">
        <v>409</v>
      </c>
      <c r="G417" s="47" t="n">
        <f aca="false">(F417-1)*$H$6</f>
        <v>0.736575792936794</v>
      </c>
      <c r="H417" s="48" t="n">
        <f aca="false">$H$7*G417</f>
        <v>5.66666666666667</v>
      </c>
      <c r="I417" s="49" t="n">
        <f aca="false">0.5*c_rho*'P3 Energie'!F8*'P3 Energie'!F7*(H417-c_Vv)^2+'P3 Energie'!F13+'P3 Energie'!F15+'P3 Energie'!F6*$H$7</f>
        <v>19250.2792026074</v>
      </c>
      <c r="J417" s="50" t="n">
        <f aca="false">I417*H417</f>
        <v>109084.915481442</v>
      </c>
    </row>
    <row r="418" customFormat="false" ht="15" hidden="false" customHeight="false" outlineLevel="0" collapsed="false">
      <c r="A418" s="46" t="n">
        <v>410</v>
      </c>
      <c r="B418" s="47" t="n">
        <f aca="false">(A418-1)*$C$6</f>
        <v>0.738908820732565</v>
      </c>
      <c r="C418" s="48" t="n">
        <f aca="false">$C$7*B418</f>
        <v>5.68055555555556</v>
      </c>
      <c r="D418" s="49" t="n">
        <f aca="false">0.5*c_rho*'P3 Energie'!E8*'P3 Energie'!E7*(C418-c_Vv)^2+'P3 Energie'!E13+'P3 Energie'!E15+'P3 Energie'!E6*$C$7</f>
        <v>18424.1555486357</v>
      </c>
      <c r="E418" s="50" t="n">
        <f aca="false">D418*C418</f>
        <v>104659.439158223</v>
      </c>
      <c r="F418" s="46" t="n">
        <v>410</v>
      </c>
      <c r="G418" s="47" t="n">
        <f aca="false">(F418-1)*$H$6</f>
        <v>0.73838112576262</v>
      </c>
      <c r="H418" s="48" t="n">
        <f aca="false">$H$7*G418</f>
        <v>5.68055555555556</v>
      </c>
      <c r="I418" s="49" t="n">
        <f aca="false">0.5*c_rho*'P3 Energie'!F8*'P3 Energie'!F7*(H418-c_Vv)^2+'P3 Energie'!F13+'P3 Energie'!F15+'P3 Energie'!F6*$H$7</f>
        <v>19250.3338964076</v>
      </c>
      <c r="J418" s="50" t="n">
        <f aca="false">I418*H418</f>
        <v>109352.591161538</v>
      </c>
    </row>
    <row r="419" customFormat="false" ht="15" hidden="false" customHeight="false" outlineLevel="0" collapsed="false">
      <c r="A419" s="46" t="n">
        <v>411</v>
      </c>
      <c r="B419" s="47" t="n">
        <f aca="false">(A419-1)*$C$6</f>
        <v>0.740715443766141</v>
      </c>
      <c r="C419" s="48" t="n">
        <f aca="false">$C$7*B419</f>
        <v>5.69444444444445</v>
      </c>
      <c r="D419" s="49" t="n">
        <f aca="false">0.5*c_rho*'P3 Energie'!E8*'P3 Energie'!E7*(C419-c_Vv)^2+'P3 Energie'!E13+'P3 Energie'!E15+'P3 Energie'!E6*$C$7</f>
        <v>18424.2186544076</v>
      </c>
      <c r="E419" s="50" t="n">
        <f aca="false">D419*C419</f>
        <v>104915.689559821</v>
      </c>
      <c r="F419" s="46" t="n">
        <v>411</v>
      </c>
      <c r="G419" s="47" t="n">
        <f aca="false">(F419-1)*$H$6</f>
        <v>0.740186458588445</v>
      </c>
      <c r="H419" s="48" t="n">
        <f aca="false">$H$7*G419</f>
        <v>5.69444444444445</v>
      </c>
      <c r="I419" s="49" t="n">
        <f aca="false">0.5*c_rho*'P3 Energie'!F8*'P3 Energie'!F7*(H419-c_Vv)^2+'P3 Energie'!F13+'P3 Energie'!F15+'P3 Energie'!F6*$H$7</f>
        <v>19250.3887240972</v>
      </c>
      <c r="J419" s="50" t="n">
        <f aca="false">I419*H419</f>
        <v>109620.269123331</v>
      </c>
    </row>
    <row r="420" customFormat="false" ht="15" hidden="false" customHeight="false" outlineLevel="0" collapsed="false">
      <c r="A420" s="46" t="n">
        <v>412</v>
      </c>
      <c r="B420" s="47" t="n">
        <f aca="false">(A420-1)*$C$6</f>
        <v>0.742522066799717</v>
      </c>
      <c r="C420" s="48" t="n">
        <f aca="false">$C$7*B420</f>
        <v>5.70833333333333</v>
      </c>
      <c r="D420" s="49" t="n">
        <f aca="false">0.5*c_rho*'P3 Energie'!E8*'P3 Energie'!E7*(C420-c_Vv)^2+'P3 Energie'!E13+'P3 Energie'!E15+'P3 Energie'!E6*$C$7</f>
        <v>18424.281914284</v>
      </c>
      <c r="E420" s="50" t="n">
        <f aca="false">D420*C420</f>
        <v>105171.942594038</v>
      </c>
      <c r="F420" s="46" t="n">
        <v>412</v>
      </c>
      <c r="G420" s="47" t="n">
        <f aca="false">(F420-1)*$H$6</f>
        <v>0.74199179141427</v>
      </c>
      <c r="H420" s="48" t="n">
        <f aca="false">$H$7*G420</f>
        <v>5.70833333333333</v>
      </c>
      <c r="I420" s="49" t="n">
        <f aca="false">0.5*c_rho*'P3 Energie'!F8*'P3 Energie'!F7*(H420-c_Vv)^2+'P3 Energie'!F13+'P3 Energie'!F15+'P3 Energie'!F6*$H$7</f>
        <v>19250.4436856762</v>
      </c>
      <c r="J420" s="50" t="n">
        <f aca="false">I420*H420</f>
        <v>109887.949372401</v>
      </c>
    </row>
    <row r="421" customFormat="false" ht="15" hidden="false" customHeight="false" outlineLevel="0" collapsed="false">
      <c r="A421" s="46" t="n">
        <v>413</v>
      </c>
      <c r="B421" s="47" t="n">
        <f aca="false">(A421-1)*$C$6</f>
        <v>0.744328689833293</v>
      </c>
      <c r="C421" s="48" t="n">
        <f aca="false">$C$7*B421</f>
        <v>5.72222222222222</v>
      </c>
      <c r="D421" s="49" t="n">
        <f aca="false">0.5*c_rho*'P3 Energie'!E8*'P3 Energie'!E7*(C421-c_Vv)^2+'P3 Energie'!E13+'P3 Energie'!E15+'P3 Energie'!E6*$C$7</f>
        <v>18424.3453282648</v>
      </c>
      <c r="E421" s="50" t="n">
        <f aca="false">D421*C421</f>
        <v>105428.198267293</v>
      </c>
      <c r="F421" s="46" t="n">
        <v>413</v>
      </c>
      <c r="G421" s="47" t="n">
        <f aca="false">(F421-1)*$H$6</f>
        <v>0.743797124240096</v>
      </c>
      <c r="H421" s="48" t="n">
        <f aca="false">$H$7*G421</f>
        <v>5.72222222222222</v>
      </c>
      <c r="I421" s="49" t="n">
        <f aca="false">0.5*c_rho*'P3 Energie'!F8*'P3 Energie'!F7*(H421-c_Vv)^2+'P3 Energie'!F13+'P3 Energie'!F15+'P3 Energie'!F6*$H$7</f>
        <v>19250.4987811444</v>
      </c>
      <c r="J421" s="50" t="n">
        <f aca="false">I421*H421</f>
        <v>110155.631914327</v>
      </c>
    </row>
    <row r="422" customFormat="false" ht="15" hidden="false" customHeight="false" outlineLevel="0" collapsed="false">
      <c r="A422" s="46" t="n">
        <v>414</v>
      </c>
      <c r="B422" s="47" t="n">
        <f aca="false">(A422-1)*$C$6</f>
        <v>0.746135312866869</v>
      </c>
      <c r="C422" s="48" t="n">
        <f aca="false">$C$7*B422</f>
        <v>5.73611111111111</v>
      </c>
      <c r="D422" s="49" t="n">
        <f aca="false">0.5*c_rho*'P3 Energie'!E8*'P3 Energie'!E7*(C422-c_Vv)^2+'P3 Energie'!E13+'P3 Energie'!E15+'P3 Energie'!E6*$C$7</f>
        <v>18424.40889635</v>
      </c>
      <c r="E422" s="50" t="n">
        <f aca="false">D422*C422</f>
        <v>105684.456586008</v>
      </c>
      <c r="F422" s="46" t="n">
        <v>414</v>
      </c>
      <c r="G422" s="47" t="n">
        <f aca="false">(F422-1)*$H$6</f>
        <v>0.745602457065921</v>
      </c>
      <c r="H422" s="48" t="n">
        <f aca="false">$H$7*G422</f>
        <v>5.73611111111111</v>
      </c>
      <c r="I422" s="49" t="n">
        <f aca="false">0.5*c_rho*'P3 Energie'!F8*'P3 Energie'!F7*(H422-c_Vv)^2+'P3 Energie'!F13+'P3 Energie'!F15+'P3 Energie'!F6*$H$7</f>
        <v>19250.5540105021</v>
      </c>
      <c r="J422" s="50" t="n">
        <f aca="false">I422*H422</f>
        <v>110423.316754686</v>
      </c>
    </row>
    <row r="423" customFormat="false" ht="15" hidden="false" customHeight="false" outlineLevel="0" collapsed="false">
      <c r="A423" s="46" t="n">
        <v>415</v>
      </c>
      <c r="B423" s="47" t="n">
        <f aca="false">(A423-1)*$C$6</f>
        <v>0.747941935900445</v>
      </c>
      <c r="C423" s="48" t="n">
        <f aca="false">$C$7*B423</f>
        <v>5.75</v>
      </c>
      <c r="D423" s="49" t="n">
        <f aca="false">0.5*c_rho*'P3 Energie'!E8*'P3 Energie'!E7*(C423-c_Vv)^2+'P3 Energie'!E13+'P3 Energie'!E15+'P3 Energie'!E6*$C$7</f>
        <v>18424.4726185397</v>
      </c>
      <c r="E423" s="50" t="n">
        <f aca="false">D423*C423</f>
        <v>105940.717556603</v>
      </c>
      <c r="F423" s="46" t="n">
        <v>415</v>
      </c>
      <c r="G423" s="47" t="n">
        <f aca="false">(F423-1)*$H$6</f>
        <v>0.747407789891747</v>
      </c>
      <c r="H423" s="48" t="n">
        <f aca="false">$H$7*G423</f>
        <v>5.75</v>
      </c>
      <c r="I423" s="49" t="n">
        <f aca="false">0.5*c_rho*'P3 Energie'!F8*'P3 Energie'!F7*(H423-c_Vv)^2+'P3 Energie'!F13+'P3 Energie'!F15+'P3 Energie'!F6*$H$7</f>
        <v>19250.6093737491</v>
      </c>
      <c r="J423" s="50" t="n">
        <f aca="false">I423*H423</f>
        <v>110691.003899057</v>
      </c>
    </row>
    <row r="424" customFormat="false" ht="15" hidden="false" customHeight="false" outlineLevel="0" collapsed="false">
      <c r="A424" s="46" t="n">
        <v>416</v>
      </c>
      <c r="B424" s="47" t="n">
        <f aca="false">(A424-1)*$C$6</f>
        <v>0.749748558934021</v>
      </c>
      <c r="C424" s="48" t="n">
        <f aca="false">$C$7*B424</f>
        <v>5.76388888888889</v>
      </c>
      <c r="D424" s="49" t="n">
        <f aca="false">0.5*c_rho*'P3 Energie'!E8*'P3 Energie'!E7*(C424-c_Vv)^2+'P3 Energie'!E13+'P3 Energie'!E15+'P3 Energie'!E6*$C$7</f>
        <v>18424.5364948339</v>
      </c>
      <c r="E424" s="50" t="n">
        <f aca="false">D424*C424</f>
        <v>106196.981185501</v>
      </c>
      <c r="F424" s="46" t="n">
        <v>416</v>
      </c>
      <c r="G424" s="47" t="n">
        <f aca="false">(F424-1)*$H$6</f>
        <v>0.749213122717572</v>
      </c>
      <c r="H424" s="48" t="n">
        <f aca="false">$H$7*G424</f>
        <v>5.76388888888889</v>
      </c>
      <c r="I424" s="49" t="n">
        <f aca="false">0.5*c_rho*'P3 Energie'!F8*'P3 Energie'!F7*(H424-c_Vv)^2+'P3 Energie'!F13+'P3 Energie'!F15+'P3 Energie'!F6*$H$7</f>
        <v>19250.6648708854</v>
      </c>
      <c r="J424" s="50" t="n">
        <f aca="false">I424*H424</f>
        <v>110958.69335302</v>
      </c>
    </row>
    <row r="425" customFormat="false" ht="15" hidden="false" customHeight="false" outlineLevel="0" collapsed="false">
      <c r="A425" s="46" t="n">
        <v>417</v>
      </c>
      <c r="B425" s="47" t="n">
        <f aca="false">(A425-1)*$C$6</f>
        <v>0.751555181967597</v>
      </c>
      <c r="C425" s="48" t="n">
        <f aca="false">$C$7*B425</f>
        <v>5.77777777777778</v>
      </c>
      <c r="D425" s="49" t="n">
        <f aca="false">0.5*c_rho*'P3 Energie'!E8*'P3 Energie'!E7*(C425-c_Vv)^2+'P3 Energie'!E13+'P3 Energie'!E15+'P3 Energie'!E6*$C$7</f>
        <v>18424.6005252325</v>
      </c>
      <c r="E425" s="50" t="n">
        <f aca="false">D425*C425</f>
        <v>106453.247479121</v>
      </c>
      <c r="F425" s="46" t="n">
        <v>417</v>
      </c>
      <c r="G425" s="47" t="n">
        <f aca="false">(F425-1)*$H$6</f>
        <v>0.751018455543398</v>
      </c>
      <c r="H425" s="48" t="n">
        <f aca="false">$H$7*G425</f>
        <v>5.77777777777778</v>
      </c>
      <c r="I425" s="49" t="n">
        <f aca="false">0.5*c_rho*'P3 Energie'!F8*'P3 Energie'!F7*(H425-c_Vv)^2+'P3 Energie'!F13+'P3 Energie'!F15+'P3 Energie'!F6*$H$7</f>
        <v>19250.7205019111</v>
      </c>
      <c r="J425" s="50" t="n">
        <f aca="false">I425*H425</f>
        <v>111226.385122153</v>
      </c>
    </row>
    <row r="426" customFormat="false" ht="15" hidden="false" customHeight="false" outlineLevel="0" collapsed="false">
      <c r="A426" s="46" t="n">
        <v>418</v>
      </c>
      <c r="B426" s="47" t="n">
        <f aca="false">(A426-1)*$C$6</f>
        <v>0.753361805001173</v>
      </c>
      <c r="C426" s="48" t="n">
        <f aca="false">$C$7*B426</f>
        <v>5.79166666666667</v>
      </c>
      <c r="D426" s="49" t="n">
        <f aca="false">0.5*c_rho*'P3 Energie'!E8*'P3 Energie'!E7*(C426-c_Vv)^2+'P3 Energie'!E13+'P3 Energie'!E15+'P3 Energie'!E6*$C$7</f>
        <v>18424.6647097355</v>
      </c>
      <c r="E426" s="50" t="n">
        <f aca="false">D426*C426</f>
        <v>106709.516443885</v>
      </c>
      <c r="F426" s="46" t="n">
        <v>418</v>
      </c>
      <c r="G426" s="47" t="n">
        <f aca="false">(F426-1)*$H$6</f>
        <v>0.752823788369223</v>
      </c>
      <c r="H426" s="48" t="n">
        <f aca="false">$H$7*G426</f>
        <v>5.79166666666667</v>
      </c>
      <c r="I426" s="49" t="n">
        <f aca="false">0.5*c_rho*'P3 Energie'!F8*'P3 Energie'!F7*(H426-c_Vv)^2+'P3 Energie'!F13+'P3 Energie'!F15+'P3 Energie'!F6*$H$7</f>
        <v>19250.7762668262</v>
      </c>
      <c r="J426" s="50" t="n">
        <f aca="false">I426*H426</f>
        <v>111494.079212035</v>
      </c>
    </row>
    <row r="427" customFormat="false" ht="15" hidden="false" customHeight="false" outlineLevel="0" collapsed="false">
      <c r="A427" s="46" t="n">
        <v>419</v>
      </c>
      <c r="B427" s="47" t="n">
        <f aca="false">(A427-1)*$C$6</f>
        <v>0.755168428034749</v>
      </c>
      <c r="C427" s="48" t="n">
        <f aca="false">$C$7*B427</f>
        <v>5.80555555555556</v>
      </c>
      <c r="D427" s="49" t="n">
        <f aca="false">0.5*c_rho*'P3 Energie'!E8*'P3 Energie'!E7*(C427-c_Vv)^2+'P3 Energie'!E13+'P3 Energie'!E15+'P3 Energie'!E6*$C$7</f>
        <v>18424.729048343</v>
      </c>
      <c r="E427" s="50" t="n">
        <f aca="false">D427*C427</f>
        <v>106965.788086213</v>
      </c>
      <c r="F427" s="46" t="n">
        <v>419</v>
      </c>
      <c r="G427" s="47" t="n">
        <f aca="false">(F427-1)*$H$6</f>
        <v>0.754629121195049</v>
      </c>
      <c r="H427" s="48" t="n">
        <f aca="false">$H$7*G427</f>
        <v>5.80555555555556</v>
      </c>
      <c r="I427" s="49" t="n">
        <f aca="false">0.5*c_rho*'P3 Energie'!F8*'P3 Energie'!F7*(H427-c_Vv)^2+'P3 Energie'!F13+'P3 Energie'!F15+'P3 Energie'!F6*$H$7</f>
        <v>19250.8321656306</v>
      </c>
      <c r="J427" s="50" t="n">
        <f aca="false">I427*H427</f>
        <v>111761.775628244</v>
      </c>
    </row>
    <row r="428" customFormat="false" ht="15" hidden="false" customHeight="false" outlineLevel="0" collapsed="false">
      <c r="A428" s="46" t="n">
        <v>420</v>
      </c>
      <c r="B428" s="47" t="n">
        <f aca="false">(A428-1)*$C$6</f>
        <v>0.756975051068324</v>
      </c>
      <c r="C428" s="48" t="n">
        <f aca="false">$C$7*B428</f>
        <v>5.81944444444445</v>
      </c>
      <c r="D428" s="49" t="n">
        <f aca="false">0.5*c_rho*'P3 Energie'!E8*'P3 Energie'!E7*(C428-c_Vv)^2+'P3 Energie'!E13+'P3 Energie'!E15+'P3 Energie'!E6*$C$7</f>
        <v>18424.7935410549</v>
      </c>
      <c r="E428" s="50" t="n">
        <f aca="false">D428*C428</f>
        <v>107222.062412528</v>
      </c>
      <c r="F428" s="46" t="n">
        <v>420</v>
      </c>
      <c r="G428" s="47" t="n">
        <f aca="false">(F428-1)*$H$6</f>
        <v>0.756434454020874</v>
      </c>
      <c r="H428" s="48" t="n">
        <f aca="false">$H$7*G428</f>
        <v>5.81944444444445</v>
      </c>
      <c r="I428" s="49" t="n">
        <f aca="false">0.5*c_rho*'P3 Energie'!F8*'P3 Energie'!F7*(H428-c_Vv)^2+'P3 Energie'!F13+'P3 Energie'!F15+'P3 Energie'!F6*$H$7</f>
        <v>19250.8881983243</v>
      </c>
      <c r="J428" s="50" t="n">
        <f aca="false">I428*H428</f>
        <v>112029.47437636</v>
      </c>
    </row>
    <row r="429" customFormat="false" ht="15" hidden="false" customHeight="false" outlineLevel="0" collapsed="false">
      <c r="A429" s="46" t="n">
        <v>421</v>
      </c>
      <c r="B429" s="47" t="n">
        <f aca="false">(A429-1)*$C$6</f>
        <v>0.7587816741019</v>
      </c>
      <c r="C429" s="48" t="n">
        <f aca="false">$C$7*B429</f>
        <v>5.83333333333333</v>
      </c>
      <c r="D429" s="49" t="n">
        <f aca="false">0.5*c_rho*'P3 Energie'!E8*'P3 Energie'!E7*(C429-c_Vv)^2+'P3 Energie'!E13+'P3 Energie'!E15+'P3 Energie'!E6*$C$7</f>
        <v>18424.8581878713</v>
      </c>
      <c r="E429" s="50" t="n">
        <f aca="false">D429*C429</f>
        <v>107478.339429249</v>
      </c>
      <c r="F429" s="46" t="n">
        <v>421</v>
      </c>
      <c r="G429" s="47" t="n">
        <f aca="false">(F429-1)*$H$6</f>
        <v>0.7582397868467</v>
      </c>
      <c r="H429" s="48" t="n">
        <f aca="false">$H$7*G429</f>
        <v>5.83333333333333</v>
      </c>
      <c r="I429" s="49" t="n">
        <f aca="false">0.5*c_rho*'P3 Energie'!F8*'P3 Energie'!F7*(H429-c_Vv)^2+'P3 Energie'!F13+'P3 Energie'!F15+'P3 Energie'!F6*$H$7</f>
        <v>19250.9443649074</v>
      </c>
      <c r="J429" s="50" t="n">
        <f aca="false">I429*H429</f>
        <v>112297.17546196</v>
      </c>
    </row>
    <row r="430" customFormat="false" ht="15" hidden="false" customHeight="false" outlineLevel="0" collapsed="false">
      <c r="A430" s="46" t="n">
        <v>422</v>
      </c>
      <c r="B430" s="47" t="n">
        <f aca="false">(A430-1)*$C$6</f>
        <v>0.760588297135476</v>
      </c>
      <c r="C430" s="48" t="n">
        <f aca="false">$C$7*B430</f>
        <v>5.84722222222222</v>
      </c>
      <c r="D430" s="49" t="n">
        <f aca="false">0.5*c_rho*'P3 Energie'!E8*'P3 Energie'!E7*(C430-c_Vv)^2+'P3 Energie'!E13+'P3 Energie'!E15+'P3 Energie'!E6*$C$7</f>
        <v>18424.9229887921</v>
      </c>
      <c r="E430" s="50" t="n">
        <f aca="false">D430*C430</f>
        <v>107734.619142798</v>
      </c>
      <c r="F430" s="46" t="n">
        <v>422</v>
      </c>
      <c r="G430" s="47" t="n">
        <f aca="false">(F430-1)*$H$6</f>
        <v>0.760045119672525</v>
      </c>
      <c r="H430" s="48" t="n">
        <f aca="false">$H$7*G430</f>
        <v>5.84722222222222</v>
      </c>
      <c r="I430" s="49" t="n">
        <f aca="false">0.5*c_rho*'P3 Energie'!F8*'P3 Energie'!F7*(H430-c_Vv)^2+'P3 Energie'!F13+'P3 Energie'!F15+'P3 Energie'!F6*$H$7</f>
        <v>19251.0006653799</v>
      </c>
      <c r="J430" s="50" t="n">
        <f aca="false">I430*H430</f>
        <v>112564.878890624</v>
      </c>
    </row>
    <row r="431" customFormat="false" ht="15" hidden="false" customHeight="false" outlineLevel="0" collapsed="false">
      <c r="A431" s="46" t="n">
        <v>423</v>
      </c>
      <c r="B431" s="47" t="n">
        <f aca="false">(A431-1)*$C$6</f>
        <v>0.762394920169052</v>
      </c>
      <c r="C431" s="48" t="n">
        <f aca="false">$C$7*B431</f>
        <v>5.86111111111111</v>
      </c>
      <c r="D431" s="49" t="n">
        <f aca="false">0.5*c_rho*'P3 Energie'!E8*'P3 Energie'!E7*(C431-c_Vv)^2+'P3 Energie'!E13+'P3 Energie'!E15+'P3 Energie'!E6*$C$7</f>
        <v>18424.9879438174</v>
      </c>
      <c r="E431" s="50" t="n">
        <f aca="false">D431*C431</f>
        <v>107990.901559597</v>
      </c>
      <c r="F431" s="46" t="n">
        <v>423</v>
      </c>
      <c r="G431" s="47" t="n">
        <f aca="false">(F431-1)*$H$6</f>
        <v>0.761850452498351</v>
      </c>
      <c r="H431" s="48" t="n">
        <f aca="false">$H$7*G431</f>
        <v>5.86111111111111</v>
      </c>
      <c r="I431" s="49" t="n">
        <f aca="false">0.5*c_rho*'P3 Energie'!F8*'P3 Energie'!F7*(H431-c_Vv)^2+'P3 Energie'!F13+'P3 Energie'!F15+'P3 Energie'!F6*$H$7</f>
        <v>19251.0570997417</v>
      </c>
      <c r="J431" s="50" t="n">
        <f aca="false">I431*H431</f>
        <v>112832.58466793</v>
      </c>
    </row>
    <row r="432" customFormat="false" ht="15" hidden="false" customHeight="false" outlineLevel="0" collapsed="false">
      <c r="A432" s="46" t="n">
        <v>424</v>
      </c>
      <c r="B432" s="47" t="n">
        <f aca="false">(A432-1)*$C$6</f>
        <v>0.764201543202628</v>
      </c>
      <c r="C432" s="48" t="n">
        <f aca="false">$C$7*B432</f>
        <v>5.875</v>
      </c>
      <c r="D432" s="49" t="n">
        <f aca="false">0.5*c_rho*'P3 Energie'!E8*'P3 Energie'!E7*(C432-c_Vv)^2+'P3 Energie'!E13+'P3 Energie'!E15+'P3 Energie'!E6*$C$7</f>
        <v>18425.0530529472</v>
      </c>
      <c r="E432" s="50" t="n">
        <f aca="false">D432*C432</f>
        <v>108247.186686065</v>
      </c>
      <c r="F432" s="46" t="n">
        <v>424</v>
      </c>
      <c r="G432" s="47" t="n">
        <f aca="false">(F432-1)*$H$6</f>
        <v>0.763655785324176</v>
      </c>
      <c r="H432" s="48" t="n">
        <f aca="false">$H$7*G432</f>
        <v>5.875</v>
      </c>
      <c r="I432" s="49" t="n">
        <f aca="false">0.5*c_rho*'P3 Energie'!F8*'P3 Energie'!F7*(H432-c_Vv)^2+'P3 Energie'!F13+'P3 Energie'!F15+'P3 Energie'!F6*$H$7</f>
        <v>19251.1136679928</v>
      </c>
      <c r="J432" s="50" t="n">
        <f aca="false">I432*H432</f>
        <v>113100.292799458</v>
      </c>
    </row>
    <row r="433" customFormat="false" ht="15" hidden="false" customHeight="false" outlineLevel="0" collapsed="false">
      <c r="A433" s="46" t="n">
        <v>425</v>
      </c>
      <c r="B433" s="47" t="n">
        <f aca="false">(A433-1)*$C$6</f>
        <v>0.766008166236204</v>
      </c>
      <c r="C433" s="48" t="n">
        <f aca="false">$C$7*B433</f>
        <v>5.88888888888889</v>
      </c>
      <c r="D433" s="49" t="n">
        <f aca="false">0.5*c_rho*'P3 Energie'!E8*'P3 Energie'!E7*(C433-c_Vv)^2+'P3 Energie'!E13+'P3 Energie'!E15+'P3 Energie'!E6*$C$7</f>
        <v>18425.1183161813</v>
      </c>
      <c r="E433" s="50" t="n">
        <f aca="false">D433*C433</f>
        <v>108503.474528623</v>
      </c>
      <c r="F433" s="46" t="n">
        <v>425</v>
      </c>
      <c r="G433" s="47" t="n">
        <f aca="false">(F433-1)*$H$6</f>
        <v>0.765461118150002</v>
      </c>
      <c r="H433" s="48" t="n">
        <f aca="false">$H$7*G433</f>
        <v>5.88888888888889</v>
      </c>
      <c r="I433" s="49" t="n">
        <f aca="false">0.5*c_rho*'P3 Energie'!F8*'P3 Energie'!F7*(H433-c_Vv)^2+'P3 Energie'!F13+'P3 Energie'!F15+'P3 Energie'!F6*$H$7</f>
        <v>19251.1703701333</v>
      </c>
      <c r="J433" s="50" t="n">
        <f aca="false">I433*H433</f>
        <v>113368.003290785</v>
      </c>
    </row>
    <row r="434" customFormat="false" ht="15" hidden="false" customHeight="false" outlineLevel="0" collapsed="false">
      <c r="A434" s="46" t="n">
        <v>426</v>
      </c>
      <c r="B434" s="47" t="n">
        <f aca="false">(A434-1)*$C$6</f>
        <v>0.76781478926978</v>
      </c>
      <c r="C434" s="48" t="n">
        <f aca="false">$C$7*B434</f>
        <v>5.90277777777778</v>
      </c>
      <c r="D434" s="49" t="n">
        <f aca="false">0.5*c_rho*'P3 Energie'!E8*'P3 Energie'!E7*(C434-c_Vv)^2+'P3 Energie'!E13+'P3 Energie'!E15+'P3 Energie'!E6*$C$7</f>
        <v>18425.18373352</v>
      </c>
      <c r="E434" s="50" t="n">
        <f aca="false">D434*C434</f>
        <v>108759.765093694</v>
      </c>
      <c r="F434" s="46" t="n">
        <v>426</v>
      </c>
      <c r="G434" s="47" t="n">
        <f aca="false">(F434-1)*$H$6</f>
        <v>0.767266450975827</v>
      </c>
      <c r="H434" s="48" t="n">
        <f aca="false">$H$7*G434</f>
        <v>5.90277777777778</v>
      </c>
      <c r="I434" s="49" t="n">
        <f aca="false">0.5*c_rho*'P3 Energie'!F8*'P3 Energie'!F7*(H434-c_Vv)^2+'P3 Energie'!F13+'P3 Energie'!F15+'P3 Energie'!F6*$H$7</f>
        <v>19251.2272061632</v>
      </c>
      <c r="J434" s="50" t="n">
        <f aca="false">I434*H434</f>
        <v>113635.716147491</v>
      </c>
    </row>
    <row r="435" customFormat="false" ht="15" hidden="false" customHeight="false" outlineLevel="0" collapsed="false">
      <c r="A435" s="46" t="n">
        <v>427</v>
      </c>
      <c r="B435" s="47" t="n">
        <f aca="false">(A435-1)*$C$6</f>
        <v>0.769621412303356</v>
      </c>
      <c r="C435" s="48" t="n">
        <f aca="false">$C$7*B435</f>
        <v>5.91666666666667</v>
      </c>
      <c r="D435" s="49" t="n">
        <f aca="false">0.5*c_rho*'P3 Energie'!E8*'P3 Energie'!E7*(C435-c_Vv)^2+'P3 Energie'!E13+'P3 Energie'!E15+'P3 Energie'!E6*$C$7</f>
        <v>18425.2493049631</v>
      </c>
      <c r="E435" s="50" t="n">
        <f aca="false">D435*C435</f>
        <v>109016.058387698</v>
      </c>
      <c r="F435" s="46" t="n">
        <v>427</v>
      </c>
      <c r="G435" s="47" t="n">
        <f aca="false">(F435-1)*$H$6</f>
        <v>0.769071783801653</v>
      </c>
      <c r="H435" s="48" t="n">
        <f aca="false">$H$7*G435</f>
        <v>5.91666666666667</v>
      </c>
      <c r="I435" s="49" t="n">
        <f aca="false">0.5*c_rho*'P3 Energie'!F8*'P3 Energie'!F7*(H435-c_Vv)^2+'P3 Energie'!F13+'P3 Energie'!F15+'P3 Energie'!F6*$H$7</f>
        <v>19251.2841760824</v>
      </c>
      <c r="J435" s="50" t="n">
        <f aca="false">I435*H435</f>
        <v>113903.431375154</v>
      </c>
    </row>
    <row r="436" customFormat="false" ht="15" hidden="false" customHeight="false" outlineLevel="0" collapsed="false">
      <c r="A436" s="46" t="n">
        <v>428</v>
      </c>
      <c r="B436" s="47" t="n">
        <f aca="false">(A436-1)*$C$6</f>
        <v>0.771428035336932</v>
      </c>
      <c r="C436" s="48" t="n">
        <f aca="false">$C$7*B436</f>
        <v>5.93055555555556</v>
      </c>
      <c r="D436" s="49" t="n">
        <f aca="false">0.5*c_rho*'P3 Energie'!E8*'P3 Energie'!E7*(C436-c_Vv)^2+'P3 Energie'!E13+'P3 Energie'!E15+'P3 Energie'!E6*$C$7</f>
        <v>18425.3150305106</v>
      </c>
      <c r="E436" s="50" t="n">
        <f aca="false">D436*C436</f>
        <v>109272.354417056</v>
      </c>
      <c r="F436" s="46" t="n">
        <v>428</v>
      </c>
      <c r="G436" s="47" t="n">
        <f aca="false">(F436-1)*$H$6</f>
        <v>0.770877116627478</v>
      </c>
      <c r="H436" s="48" t="n">
        <f aca="false">$H$7*G436</f>
        <v>5.93055555555556</v>
      </c>
      <c r="I436" s="49" t="n">
        <f aca="false">0.5*c_rho*'P3 Energie'!F8*'P3 Energie'!F7*(H436-c_Vv)^2+'P3 Energie'!F13+'P3 Energie'!F15+'P3 Energie'!F6*$H$7</f>
        <v>19251.341279891</v>
      </c>
      <c r="J436" s="50" t="n">
        <f aca="false">I436*H436</f>
        <v>114171.148979353</v>
      </c>
    </row>
    <row r="437" customFormat="false" ht="15" hidden="false" customHeight="false" outlineLevel="0" collapsed="false">
      <c r="A437" s="46" t="n">
        <v>429</v>
      </c>
      <c r="B437" s="47" t="n">
        <f aca="false">(A437-1)*$C$6</f>
        <v>0.773234658370508</v>
      </c>
      <c r="C437" s="48" t="n">
        <f aca="false">$C$7*B437</f>
        <v>5.94444444444445</v>
      </c>
      <c r="D437" s="49" t="n">
        <f aca="false">0.5*c_rho*'P3 Energie'!E8*'P3 Energie'!E7*(C437-c_Vv)^2+'P3 Energie'!E13+'P3 Energie'!E15+'P3 Energie'!E6*$C$7</f>
        <v>18425.3809101626</v>
      </c>
      <c r="E437" s="50" t="n">
        <f aca="false">D437*C437</f>
        <v>109528.653188189</v>
      </c>
      <c r="F437" s="46" t="n">
        <v>429</v>
      </c>
      <c r="G437" s="47" t="n">
        <f aca="false">(F437-1)*$H$6</f>
        <v>0.772682449453304</v>
      </c>
      <c r="H437" s="48" t="n">
        <f aca="false">$H$7*G437</f>
        <v>5.94444444444445</v>
      </c>
      <c r="I437" s="49" t="n">
        <f aca="false">0.5*c_rho*'P3 Energie'!F8*'P3 Energie'!F7*(H437-c_Vv)^2+'P3 Energie'!F13+'P3 Energie'!F15+'P3 Energie'!F6*$H$7</f>
        <v>19251.3985175889</v>
      </c>
      <c r="J437" s="50" t="n">
        <f aca="false">I437*H437</f>
        <v>114438.868965667</v>
      </c>
    </row>
    <row r="438" customFormat="false" ht="15" hidden="false" customHeight="false" outlineLevel="0" collapsed="false">
      <c r="A438" s="46" t="n">
        <v>430</v>
      </c>
      <c r="B438" s="47" t="n">
        <f aca="false">(A438-1)*$C$6</f>
        <v>0.775041281404084</v>
      </c>
      <c r="C438" s="48" t="n">
        <f aca="false">$C$7*B438</f>
        <v>5.95833333333333</v>
      </c>
      <c r="D438" s="49" t="n">
        <f aca="false">0.5*c_rho*'P3 Energie'!E8*'P3 Energie'!E7*(C438-c_Vv)^2+'P3 Energie'!E13+'P3 Energie'!E15+'P3 Energie'!E6*$C$7</f>
        <v>18425.446943919</v>
      </c>
      <c r="E438" s="50" t="n">
        <f aca="false">D438*C438</f>
        <v>109784.954707517</v>
      </c>
      <c r="F438" s="46" t="n">
        <v>430</v>
      </c>
      <c r="G438" s="47" t="n">
        <f aca="false">(F438-1)*$H$6</f>
        <v>0.774487782279129</v>
      </c>
      <c r="H438" s="48" t="n">
        <f aca="false">$H$7*G438</f>
        <v>5.95833333333333</v>
      </c>
      <c r="I438" s="49" t="n">
        <f aca="false">0.5*c_rho*'P3 Energie'!F8*'P3 Energie'!F7*(H438-c_Vv)^2+'P3 Energie'!F13+'P3 Energie'!F15+'P3 Energie'!F6*$H$7</f>
        <v>19251.4558891762</v>
      </c>
      <c r="J438" s="50" t="n">
        <f aca="false">I438*H438</f>
        <v>114706.591339675</v>
      </c>
    </row>
    <row r="439" customFormat="false" ht="15" hidden="false" customHeight="false" outlineLevel="0" collapsed="false">
      <c r="A439" s="46" t="n">
        <v>431</v>
      </c>
      <c r="B439" s="47" t="n">
        <f aca="false">(A439-1)*$C$6</f>
        <v>0.77684790443766</v>
      </c>
      <c r="C439" s="48" t="n">
        <f aca="false">$C$7*B439</f>
        <v>5.97222222222222</v>
      </c>
      <c r="D439" s="49" t="n">
        <f aca="false">0.5*c_rho*'P3 Energie'!E8*'P3 Energie'!E7*(C439-c_Vv)^2+'P3 Energie'!E13+'P3 Energie'!E15+'P3 Energie'!E6*$C$7</f>
        <v>18425.5131317799</v>
      </c>
      <c r="E439" s="50" t="n">
        <f aca="false">D439*C439</f>
        <v>110041.258981463</v>
      </c>
      <c r="F439" s="46" t="n">
        <v>431</v>
      </c>
      <c r="G439" s="47" t="n">
        <f aca="false">(F439-1)*$H$6</f>
        <v>0.776293115104955</v>
      </c>
      <c r="H439" s="48" t="n">
        <f aca="false">$H$7*G439</f>
        <v>5.97222222222222</v>
      </c>
      <c r="I439" s="49" t="n">
        <f aca="false">0.5*c_rho*'P3 Energie'!F8*'P3 Energie'!F7*(H439-c_Vv)^2+'P3 Energie'!F13+'P3 Energie'!F15+'P3 Energie'!F6*$H$7</f>
        <v>19251.5133946528</v>
      </c>
      <c r="J439" s="50" t="n">
        <f aca="false">I439*H439</f>
        <v>114974.316106954</v>
      </c>
    </row>
    <row r="440" customFormat="false" ht="15" hidden="false" customHeight="false" outlineLevel="0" collapsed="false">
      <c r="A440" s="46" t="n">
        <v>432</v>
      </c>
      <c r="B440" s="47" t="n">
        <f aca="false">(A440-1)*$C$6</f>
        <v>0.778654527471236</v>
      </c>
      <c r="C440" s="48" t="n">
        <f aca="false">$C$7*B440</f>
        <v>5.98611111111111</v>
      </c>
      <c r="D440" s="49" t="n">
        <f aca="false">0.5*c_rho*'P3 Energie'!E8*'P3 Energie'!E7*(C440-c_Vv)^2+'P3 Energie'!E13+'P3 Energie'!E15+'P3 Energie'!E6*$C$7</f>
        <v>18425.5794737452</v>
      </c>
      <c r="E440" s="50" t="n">
        <f aca="false">D440*C440</f>
        <v>110297.566016447</v>
      </c>
      <c r="F440" s="46" t="n">
        <v>432</v>
      </c>
      <c r="G440" s="47" t="n">
        <f aca="false">(F440-1)*$H$6</f>
        <v>0.77809844793078</v>
      </c>
      <c r="H440" s="48" t="n">
        <f aca="false">$H$7*G440</f>
        <v>5.98611111111111</v>
      </c>
      <c r="I440" s="49" t="n">
        <f aca="false">0.5*c_rho*'P3 Energie'!F8*'P3 Energie'!F7*(H440-c_Vv)^2+'P3 Energie'!F13+'P3 Energie'!F15+'P3 Energie'!F6*$H$7</f>
        <v>19251.5710340188</v>
      </c>
      <c r="J440" s="50" t="n">
        <f aca="false">I440*H440</f>
        <v>115242.043273084</v>
      </c>
    </row>
    <row r="441" customFormat="false" ht="15" hidden="false" customHeight="false" outlineLevel="0" collapsed="false">
      <c r="A441" s="46" t="n">
        <v>433</v>
      </c>
      <c r="B441" s="47" t="n">
        <f aca="false">(A441-1)*$C$6</f>
        <v>0.780461150504812</v>
      </c>
      <c r="C441" s="48" t="n">
        <f aca="false">$C$7*B441</f>
        <v>6</v>
      </c>
      <c r="D441" s="49" t="n">
        <f aca="false">0.5*c_rho*'P3 Energie'!E8*'P3 Energie'!E7*(C441-c_Vv)^2+'P3 Energie'!E13+'P3 Energie'!E15+'P3 Energie'!E6*$C$7</f>
        <v>18425.645969815</v>
      </c>
      <c r="E441" s="50" t="n">
        <f aca="false">D441*C441</f>
        <v>110553.87581889</v>
      </c>
      <c r="F441" s="46" t="n">
        <v>433</v>
      </c>
      <c r="G441" s="47" t="n">
        <f aca="false">(F441-1)*$H$6</f>
        <v>0.779903780756605</v>
      </c>
      <c r="H441" s="48" t="n">
        <f aca="false">$H$7*G441</f>
        <v>6</v>
      </c>
      <c r="I441" s="49" t="n">
        <f aca="false">0.5*c_rho*'P3 Energie'!F8*'P3 Energie'!F7*(H441-c_Vv)^2+'P3 Energie'!F13+'P3 Energie'!F15+'P3 Energie'!F6*$H$7</f>
        <v>19251.6288072741</v>
      </c>
      <c r="J441" s="50" t="n">
        <f aca="false">I441*H441</f>
        <v>115509.772843644</v>
      </c>
    </row>
    <row r="442" customFormat="false" ht="15" hidden="false" customHeight="false" outlineLevel="0" collapsed="false">
      <c r="A442" s="46" t="n">
        <v>434</v>
      </c>
      <c r="B442" s="47" t="n">
        <f aca="false">(A442-1)*$C$6</f>
        <v>0.782267773538388</v>
      </c>
      <c r="C442" s="48" t="n">
        <f aca="false">$C$7*B442</f>
        <v>6.01388888888889</v>
      </c>
      <c r="D442" s="49" t="n">
        <f aca="false">0.5*c_rho*'P3 Energie'!E8*'P3 Energie'!E7*(C442-c_Vv)^2+'P3 Energie'!E13+'P3 Energie'!E15+'P3 Energie'!E6*$C$7</f>
        <v>18425.7126199892</v>
      </c>
      <c r="E442" s="50" t="n">
        <f aca="false">D442*C442</f>
        <v>110810.188395213</v>
      </c>
      <c r="F442" s="46" t="n">
        <v>434</v>
      </c>
      <c r="G442" s="47" t="n">
        <f aca="false">(F442-1)*$H$6</f>
        <v>0.781709113582431</v>
      </c>
      <c r="H442" s="48" t="n">
        <f aca="false">$H$7*G442</f>
        <v>6.01388888888889</v>
      </c>
      <c r="I442" s="49" t="n">
        <f aca="false">0.5*c_rho*'P3 Energie'!F8*'P3 Energie'!F7*(H442-c_Vv)^2+'P3 Energie'!F13+'P3 Energie'!F15+'P3 Energie'!F6*$H$7</f>
        <v>19251.6867144188</v>
      </c>
      <c r="J442" s="50" t="n">
        <f aca="false">I442*H442</f>
        <v>115777.504824213</v>
      </c>
    </row>
    <row r="443" customFormat="false" ht="15" hidden="false" customHeight="false" outlineLevel="0" collapsed="false">
      <c r="A443" s="46" t="n">
        <v>435</v>
      </c>
      <c r="B443" s="47" t="n">
        <f aca="false">(A443-1)*$C$6</f>
        <v>0.784074396571964</v>
      </c>
      <c r="C443" s="48" t="n">
        <f aca="false">$C$7*B443</f>
        <v>6.02777777777778</v>
      </c>
      <c r="D443" s="49" t="n">
        <f aca="false">0.5*c_rho*'P3 Energie'!E8*'P3 Energie'!E7*(C443-c_Vv)^2+'P3 Energie'!E13+'P3 Energie'!E15+'P3 Energie'!E6*$C$7</f>
        <v>18425.7794242679</v>
      </c>
      <c r="E443" s="50" t="n">
        <f aca="false">D443*C443</f>
        <v>111066.503751837</v>
      </c>
      <c r="F443" s="46" t="n">
        <v>435</v>
      </c>
      <c r="G443" s="47" t="n">
        <f aca="false">(F443-1)*$H$6</f>
        <v>0.783514446408256</v>
      </c>
      <c r="H443" s="48" t="n">
        <f aca="false">$H$7*G443</f>
        <v>6.02777777777778</v>
      </c>
      <c r="I443" s="49" t="n">
        <f aca="false">0.5*c_rho*'P3 Energie'!F8*'P3 Energie'!F7*(H443-c_Vv)^2+'P3 Energie'!F13+'P3 Energie'!F15+'P3 Energie'!F6*$H$7</f>
        <v>19251.7447554528</v>
      </c>
      <c r="J443" s="50" t="n">
        <f aca="false">I443*H443</f>
        <v>116045.239220368</v>
      </c>
    </row>
    <row r="444" customFormat="false" ht="15" hidden="false" customHeight="false" outlineLevel="0" collapsed="false">
      <c r="A444" s="46" t="n">
        <v>436</v>
      </c>
      <c r="B444" s="47" t="n">
        <f aca="false">(A444-1)*$C$6</f>
        <v>0.78588101960554</v>
      </c>
      <c r="C444" s="48" t="n">
        <f aca="false">$C$7*B444</f>
        <v>6.04166666666667</v>
      </c>
      <c r="D444" s="49" t="n">
        <f aca="false">0.5*c_rho*'P3 Energie'!E8*'P3 Energie'!E7*(C444-c_Vv)^2+'P3 Energie'!E13+'P3 Energie'!E15+'P3 Energie'!E6*$C$7</f>
        <v>18425.846382651</v>
      </c>
      <c r="E444" s="50" t="n">
        <f aca="false">D444*C444</f>
        <v>111322.821895183</v>
      </c>
      <c r="F444" s="46" t="n">
        <v>436</v>
      </c>
      <c r="G444" s="47" t="n">
        <f aca="false">(F444-1)*$H$6</f>
        <v>0.785319779234082</v>
      </c>
      <c r="H444" s="48" t="n">
        <f aca="false">$H$7*G444</f>
        <v>6.04166666666667</v>
      </c>
      <c r="I444" s="49" t="n">
        <f aca="false">0.5*c_rho*'P3 Energie'!F8*'P3 Energie'!F7*(H444-c_Vv)^2+'P3 Energie'!F13+'P3 Energie'!F15+'P3 Energie'!F6*$H$7</f>
        <v>19251.8029303762</v>
      </c>
      <c r="J444" s="50" t="n">
        <f aca="false">I444*H444</f>
        <v>116312.976037689</v>
      </c>
    </row>
    <row r="445" customFormat="false" ht="15" hidden="false" customHeight="false" outlineLevel="0" collapsed="false">
      <c r="A445" s="46" t="n">
        <v>437</v>
      </c>
      <c r="B445" s="47" t="n">
        <f aca="false">(A445-1)*$C$6</f>
        <v>0.787687642639116</v>
      </c>
      <c r="C445" s="48" t="n">
        <f aca="false">$C$7*B445</f>
        <v>6.05555555555556</v>
      </c>
      <c r="D445" s="49" t="n">
        <f aca="false">0.5*c_rho*'P3 Energie'!E8*'P3 Energie'!E7*(C445-c_Vv)^2+'P3 Energie'!E13+'P3 Energie'!E15+'P3 Energie'!E6*$C$7</f>
        <v>18425.9134951386</v>
      </c>
      <c r="E445" s="50" t="n">
        <f aca="false">D445*C445</f>
        <v>111579.142831672</v>
      </c>
      <c r="F445" s="46" t="n">
        <v>437</v>
      </c>
      <c r="G445" s="47" t="n">
        <f aca="false">(F445-1)*$H$6</f>
        <v>0.787125112059907</v>
      </c>
      <c r="H445" s="48" t="n">
        <f aca="false">$H$7*G445</f>
        <v>6.05555555555556</v>
      </c>
      <c r="I445" s="49" t="n">
        <f aca="false">0.5*c_rho*'P3 Energie'!F8*'P3 Energie'!F7*(H445-c_Vv)^2+'P3 Energie'!F13+'P3 Energie'!F15+'P3 Energie'!F6*$H$7</f>
        <v>19251.8612391889</v>
      </c>
      <c r="J445" s="50" t="n">
        <f aca="false">I445*H445</f>
        <v>116580.715281755</v>
      </c>
    </row>
    <row r="446" customFormat="false" ht="15" hidden="false" customHeight="false" outlineLevel="0" collapsed="false">
      <c r="A446" s="46" t="n">
        <v>438</v>
      </c>
      <c r="B446" s="47" t="n">
        <f aca="false">(A446-1)*$C$6</f>
        <v>0.789494265672692</v>
      </c>
      <c r="C446" s="48" t="n">
        <f aca="false">$C$7*B446</f>
        <v>6.06944444444444</v>
      </c>
      <c r="D446" s="49" t="n">
        <f aca="false">0.5*c_rho*'P3 Energie'!E8*'P3 Energie'!E7*(C446-c_Vv)^2+'P3 Energie'!E13+'P3 Energie'!E15+'P3 Energie'!E6*$C$7</f>
        <v>18425.9807617306</v>
      </c>
      <c r="E446" s="50" t="n">
        <f aca="false">D446*C446</f>
        <v>111835.466567726</v>
      </c>
      <c r="F446" s="46" t="n">
        <v>438</v>
      </c>
      <c r="G446" s="47" t="n">
        <f aca="false">(F446-1)*$H$6</f>
        <v>0.788930444885733</v>
      </c>
      <c r="H446" s="48" t="n">
        <f aca="false">$H$7*G446</f>
        <v>6.06944444444445</v>
      </c>
      <c r="I446" s="49" t="n">
        <f aca="false">0.5*c_rho*'P3 Energie'!F8*'P3 Energie'!F7*(H446-c_Vv)^2+'P3 Energie'!F13+'P3 Energie'!F15+'P3 Energie'!F6*$H$7</f>
        <v>19251.919681891</v>
      </c>
      <c r="J446" s="50" t="n">
        <f aca="false">I446*H446</f>
        <v>116848.456958144</v>
      </c>
    </row>
    <row r="447" customFormat="false" ht="15" hidden="false" customHeight="false" outlineLevel="0" collapsed="false">
      <c r="A447" s="46" t="n">
        <v>439</v>
      </c>
      <c r="B447" s="47" t="n">
        <f aca="false">(A447-1)*$C$6</f>
        <v>0.791300888706268</v>
      </c>
      <c r="C447" s="48" t="n">
        <f aca="false">$C$7*B447</f>
        <v>6.08333333333333</v>
      </c>
      <c r="D447" s="49" t="n">
        <f aca="false">0.5*c_rho*'P3 Energie'!E8*'P3 Energie'!E7*(C447-c_Vv)^2+'P3 Energie'!E13+'P3 Energie'!E15+'P3 Energie'!E6*$C$7</f>
        <v>18426.0481824271</v>
      </c>
      <c r="E447" s="50" t="n">
        <f aca="false">D447*C447</f>
        <v>112091.793109765</v>
      </c>
      <c r="F447" s="46" t="n">
        <v>439</v>
      </c>
      <c r="G447" s="47" t="n">
        <f aca="false">(F447-1)*$H$6</f>
        <v>0.790735777711558</v>
      </c>
      <c r="H447" s="48" t="n">
        <f aca="false">$H$7*G447</f>
        <v>6.08333333333333</v>
      </c>
      <c r="I447" s="49" t="n">
        <f aca="false">0.5*c_rho*'P3 Energie'!F8*'P3 Energie'!F7*(H447-c_Vv)^2+'P3 Energie'!F13+'P3 Energie'!F15+'P3 Energie'!F6*$H$7</f>
        <v>19251.9782584824</v>
      </c>
      <c r="J447" s="50" t="n">
        <f aca="false">I447*H447</f>
        <v>117116.201072435</v>
      </c>
    </row>
    <row r="448" customFormat="false" ht="15" hidden="false" customHeight="false" outlineLevel="0" collapsed="false">
      <c r="A448" s="46" t="n">
        <v>440</v>
      </c>
      <c r="B448" s="47" t="n">
        <f aca="false">(A448-1)*$C$6</f>
        <v>0.793107511739844</v>
      </c>
      <c r="C448" s="48" t="n">
        <f aca="false">$C$7*B448</f>
        <v>6.09722222222222</v>
      </c>
      <c r="D448" s="49" t="n">
        <f aca="false">0.5*c_rho*'P3 Energie'!E8*'P3 Energie'!E7*(C448-c_Vv)^2+'P3 Energie'!E13+'P3 Energie'!E15+'P3 Energie'!E6*$C$7</f>
        <v>18426.115757228</v>
      </c>
      <c r="E448" s="50" t="n">
        <f aca="false">D448*C448</f>
        <v>112348.122464209</v>
      </c>
      <c r="F448" s="46" t="n">
        <v>440</v>
      </c>
      <c r="G448" s="47" t="n">
        <f aca="false">(F448-1)*$H$6</f>
        <v>0.792541110537384</v>
      </c>
      <c r="H448" s="48" t="n">
        <f aca="false">$H$7*G448</f>
        <v>6.09722222222222</v>
      </c>
      <c r="I448" s="49" t="n">
        <f aca="false">0.5*c_rho*'P3 Energie'!F8*'P3 Energie'!F7*(H448-c_Vv)^2+'P3 Energie'!F13+'P3 Energie'!F15+'P3 Energie'!F6*$H$7</f>
        <v>19252.0369689632</v>
      </c>
      <c r="J448" s="50" t="n">
        <f aca="false">I448*H448</f>
        <v>117383.947630206</v>
      </c>
    </row>
    <row r="449" customFormat="false" ht="15" hidden="false" customHeight="false" outlineLevel="0" collapsed="false">
      <c r="A449" s="46" t="n">
        <v>441</v>
      </c>
      <c r="B449" s="47" t="n">
        <f aca="false">(A449-1)*$C$6</f>
        <v>0.794914134773419</v>
      </c>
      <c r="C449" s="48" t="n">
        <f aca="false">$C$7*B449</f>
        <v>6.11111111111111</v>
      </c>
      <c r="D449" s="49" t="n">
        <f aca="false">0.5*c_rho*'P3 Energie'!E8*'P3 Energie'!E7*(C449-c_Vv)^2+'P3 Energie'!E13+'P3 Energie'!E15+'P3 Energie'!E6*$C$7</f>
        <v>18426.1834861333</v>
      </c>
      <c r="E449" s="50" t="n">
        <f aca="false">D449*C449</f>
        <v>112604.454637482</v>
      </c>
      <c r="F449" s="46" t="n">
        <v>441</v>
      </c>
      <c r="G449" s="47" t="n">
        <f aca="false">(F449-1)*$H$6</f>
        <v>0.794346443363209</v>
      </c>
      <c r="H449" s="48" t="n">
        <f aca="false">$H$7*G449</f>
        <v>6.11111111111111</v>
      </c>
      <c r="I449" s="49" t="n">
        <f aca="false">0.5*c_rho*'P3 Energie'!F8*'P3 Energie'!F7*(H449-c_Vv)^2+'P3 Energie'!F13+'P3 Energie'!F15+'P3 Energie'!F6*$H$7</f>
        <v>19252.0958133333</v>
      </c>
      <c r="J449" s="50" t="n">
        <f aca="false">I449*H449</f>
        <v>117651.696637037</v>
      </c>
    </row>
    <row r="450" customFormat="false" ht="15" hidden="false" customHeight="false" outlineLevel="0" collapsed="false">
      <c r="A450" s="46" t="n">
        <v>442</v>
      </c>
      <c r="B450" s="47" t="n">
        <f aca="false">(A450-1)*$C$6</f>
        <v>0.796720757806995</v>
      </c>
      <c r="C450" s="48" t="n">
        <f aca="false">$C$7*B450</f>
        <v>6.125</v>
      </c>
      <c r="D450" s="49" t="n">
        <f aca="false">0.5*c_rho*'P3 Energie'!E8*'P3 Energie'!E7*(C450-c_Vv)^2+'P3 Energie'!E13+'P3 Energie'!E15+'P3 Energie'!E6*$C$7</f>
        <v>18426.2513691432</v>
      </c>
      <c r="E450" s="50" t="n">
        <f aca="false">D450*C450</f>
        <v>112860.789636002</v>
      </c>
      <c r="F450" s="46" t="n">
        <v>442</v>
      </c>
      <c r="G450" s="47" t="n">
        <f aca="false">(F450-1)*$H$6</f>
        <v>0.796151776189035</v>
      </c>
      <c r="H450" s="48" t="n">
        <f aca="false">$H$7*G450</f>
        <v>6.125</v>
      </c>
      <c r="I450" s="49" t="n">
        <f aca="false">0.5*c_rho*'P3 Energie'!F8*'P3 Energie'!F7*(H450-c_Vv)^2+'P3 Energie'!F13+'P3 Energie'!F15+'P3 Energie'!F6*$H$7</f>
        <v>19252.1547915928</v>
      </c>
      <c r="J450" s="50" t="n">
        <f aca="false">I450*H450</f>
        <v>117919.448098506</v>
      </c>
    </row>
    <row r="451" customFormat="false" ht="15" hidden="false" customHeight="false" outlineLevel="0" collapsed="false">
      <c r="A451" s="46" t="n">
        <v>443</v>
      </c>
      <c r="B451" s="47" t="n">
        <f aca="false">(A451-1)*$C$6</f>
        <v>0.798527380840571</v>
      </c>
      <c r="C451" s="48" t="n">
        <f aca="false">$C$7*B451</f>
        <v>6.13888888888889</v>
      </c>
      <c r="D451" s="49" t="n">
        <f aca="false">0.5*c_rho*'P3 Energie'!E8*'P3 Energie'!E7*(C451-c_Vv)^2+'P3 Energie'!E13+'P3 Energie'!E15+'P3 Energie'!E6*$C$7</f>
        <v>18426.3194062574</v>
      </c>
      <c r="E451" s="50" t="n">
        <f aca="false">D451*C451</f>
        <v>113117.127466191</v>
      </c>
      <c r="F451" s="46" t="n">
        <v>443</v>
      </c>
      <c r="G451" s="47" t="n">
        <f aca="false">(F451-1)*$H$6</f>
        <v>0.79795710901486</v>
      </c>
      <c r="H451" s="48" t="n">
        <f aca="false">$H$7*G451</f>
        <v>6.13888888888889</v>
      </c>
      <c r="I451" s="49" t="n">
        <f aca="false">0.5*c_rho*'P3 Energie'!F8*'P3 Energie'!F7*(H451-c_Vv)^2+'P3 Energie'!F13+'P3 Energie'!F15+'P3 Energie'!F6*$H$7</f>
        <v>19252.2139037417</v>
      </c>
      <c r="J451" s="50" t="n">
        <f aca="false">I451*H451</f>
        <v>118187.202020192</v>
      </c>
    </row>
    <row r="452" customFormat="false" ht="15" hidden="false" customHeight="false" outlineLevel="0" collapsed="false">
      <c r="A452" s="46" t="n">
        <v>444</v>
      </c>
      <c r="B452" s="47" t="n">
        <f aca="false">(A452-1)*$C$6</f>
        <v>0.800334003874147</v>
      </c>
      <c r="C452" s="48" t="n">
        <f aca="false">$C$7*B452</f>
        <v>6.15277777777778</v>
      </c>
      <c r="D452" s="49" t="n">
        <f aca="false">0.5*c_rho*'P3 Energie'!E8*'P3 Energie'!E7*(C452-c_Vv)^2+'P3 Energie'!E13+'P3 Energie'!E15+'P3 Energie'!E6*$C$7</f>
        <v>18426.3875974761</v>
      </c>
      <c r="E452" s="50" t="n">
        <f aca="false">D452*C452</f>
        <v>113373.468134471</v>
      </c>
      <c r="F452" s="46" t="n">
        <v>444</v>
      </c>
      <c r="G452" s="47" t="n">
        <f aca="false">(F452-1)*$H$6</f>
        <v>0.799762441840686</v>
      </c>
      <c r="H452" s="48" t="n">
        <f aca="false">$H$7*G452</f>
        <v>6.15277777777778</v>
      </c>
      <c r="I452" s="49" t="n">
        <f aca="false">0.5*c_rho*'P3 Energie'!F8*'P3 Energie'!F7*(H452-c_Vv)^2+'P3 Energie'!F13+'P3 Energie'!F15+'P3 Energie'!F6*$H$7</f>
        <v>19252.2731497799</v>
      </c>
      <c r="J452" s="50" t="n">
        <f aca="false">I452*H452</f>
        <v>118454.958407673</v>
      </c>
    </row>
    <row r="453" customFormat="false" ht="15" hidden="false" customHeight="false" outlineLevel="0" collapsed="false">
      <c r="A453" s="46" t="n">
        <v>445</v>
      </c>
      <c r="B453" s="47" t="n">
        <f aca="false">(A453-1)*$C$6</f>
        <v>0.802140626907723</v>
      </c>
      <c r="C453" s="48" t="n">
        <f aca="false">$C$7*B453</f>
        <v>6.16666666666667</v>
      </c>
      <c r="D453" s="49" t="n">
        <f aca="false">0.5*c_rho*'P3 Energie'!E8*'P3 Energie'!E7*(C453-c_Vv)^2+'P3 Energie'!E13+'P3 Energie'!E15+'P3 Energie'!E6*$C$7</f>
        <v>18426.4559427993</v>
      </c>
      <c r="E453" s="50" t="n">
        <f aca="false">D453*C453</f>
        <v>113629.811647262</v>
      </c>
      <c r="F453" s="46" t="n">
        <v>445</v>
      </c>
      <c r="G453" s="47" t="n">
        <f aca="false">(F453-1)*$H$6</f>
        <v>0.801567774666511</v>
      </c>
      <c r="H453" s="48" t="n">
        <f aca="false">$H$7*G453</f>
        <v>6.16666666666667</v>
      </c>
      <c r="I453" s="49" t="n">
        <f aca="false">0.5*c_rho*'P3 Energie'!F8*'P3 Energie'!F7*(H453-c_Vv)^2+'P3 Energie'!F13+'P3 Energie'!F15+'P3 Energie'!F6*$H$7</f>
        <v>19252.3325297074</v>
      </c>
      <c r="J453" s="50" t="n">
        <f aca="false">I453*H453</f>
        <v>118722.717266529</v>
      </c>
    </row>
    <row r="454" customFormat="false" ht="15" hidden="false" customHeight="false" outlineLevel="0" collapsed="false">
      <c r="A454" s="46" t="n">
        <v>446</v>
      </c>
      <c r="B454" s="47" t="n">
        <f aca="false">(A454-1)*$C$6</f>
        <v>0.803947249941299</v>
      </c>
      <c r="C454" s="48" t="n">
        <f aca="false">$C$7*B454</f>
        <v>6.18055555555556</v>
      </c>
      <c r="D454" s="49" t="n">
        <f aca="false">0.5*c_rho*'P3 Energie'!E8*'P3 Energie'!E7*(C454-c_Vv)^2+'P3 Energie'!E13+'P3 Energie'!E15+'P3 Energie'!E6*$C$7</f>
        <v>18426.5244422269</v>
      </c>
      <c r="E454" s="50" t="n">
        <f aca="false">D454*C454</f>
        <v>113886.158010986</v>
      </c>
      <c r="F454" s="46" t="n">
        <v>446</v>
      </c>
      <c r="G454" s="47" t="n">
        <f aca="false">(F454-1)*$H$6</f>
        <v>0.803373107492337</v>
      </c>
      <c r="H454" s="48" t="n">
        <f aca="false">$H$7*G454</f>
        <v>6.18055555555556</v>
      </c>
      <c r="I454" s="49" t="n">
        <f aca="false">0.5*c_rho*'P3 Energie'!F8*'P3 Energie'!F7*(H454-c_Vv)^2+'P3 Energie'!F13+'P3 Energie'!F15+'P3 Energie'!F6*$H$7</f>
        <v>19252.3920435243</v>
      </c>
      <c r="J454" s="50" t="n">
        <f aca="false">I454*H454</f>
        <v>118990.478602338</v>
      </c>
    </row>
    <row r="455" customFormat="false" ht="15" hidden="false" customHeight="false" outlineLevel="0" collapsed="false">
      <c r="A455" s="46" t="n">
        <v>447</v>
      </c>
      <c r="B455" s="47" t="n">
        <f aca="false">(A455-1)*$C$6</f>
        <v>0.805753872974875</v>
      </c>
      <c r="C455" s="48" t="n">
        <f aca="false">$C$7*B455</f>
        <v>6.19444444444444</v>
      </c>
      <c r="D455" s="49" t="n">
        <f aca="false">0.5*c_rho*'P3 Energie'!E8*'P3 Energie'!E7*(C455-c_Vv)^2+'P3 Energie'!E13+'P3 Energie'!E15+'P3 Energie'!E6*$C$7</f>
        <v>18426.593095759</v>
      </c>
      <c r="E455" s="50" t="n">
        <f aca="false">D455*C455</f>
        <v>114142.507232063</v>
      </c>
      <c r="F455" s="46" t="n">
        <v>447</v>
      </c>
      <c r="G455" s="47" t="n">
        <f aca="false">(F455-1)*$H$6</f>
        <v>0.805178440318162</v>
      </c>
      <c r="H455" s="48" t="n">
        <f aca="false">$H$7*G455</f>
        <v>6.19444444444445</v>
      </c>
      <c r="I455" s="49" t="n">
        <f aca="false">0.5*c_rho*'P3 Energie'!F8*'P3 Energie'!F7*(H455-c_Vv)^2+'P3 Energie'!F13+'P3 Energie'!F15+'P3 Energie'!F6*$H$7</f>
        <v>19252.4516912306</v>
      </c>
      <c r="J455" s="50" t="n">
        <f aca="false">I455*H455</f>
        <v>119258.242420678</v>
      </c>
    </row>
    <row r="456" customFormat="false" ht="15" hidden="false" customHeight="false" outlineLevel="0" collapsed="false">
      <c r="A456" s="46" t="n">
        <v>448</v>
      </c>
      <c r="B456" s="47" t="n">
        <f aca="false">(A456-1)*$C$6</f>
        <v>0.807560496008451</v>
      </c>
      <c r="C456" s="48" t="n">
        <f aca="false">$C$7*B456</f>
        <v>6.20833333333333</v>
      </c>
      <c r="D456" s="49" t="n">
        <f aca="false">0.5*c_rho*'P3 Energie'!E8*'P3 Energie'!E7*(C456-c_Vv)^2+'P3 Energie'!E13+'P3 Energie'!E15+'P3 Energie'!E6*$C$7</f>
        <v>18426.6619033955</v>
      </c>
      <c r="E456" s="50" t="n">
        <f aca="false">D456*C456</f>
        <v>114398.859316914</v>
      </c>
      <c r="F456" s="46" t="n">
        <v>448</v>
      </c>
      <c r="G456" s="47" t="n">
        <f aca="false">(F456-1)*$H$6</f>
        <v>0.806983773143988</v>
      </c>
      <c r="H456" s="48" t="n">
        <f aca="false">$H$7*G456</f>
        <v>6.20833333333333</v>
      </c>
      <c r="I456" s="49" t="n">
        <f aca="false">0.5*c_rho*'P3 Energie'!F8*'P3 Energie'!F7*(H456-c_Vv)^2+'P3 Energie'!F13+'P3 Energie'!F15+'P3 Energie'!F6*$H$7</f>
        <v>19252.5114728262</v>
      </c>
      <c r="J456" s="50" t="n">
        <f aca="false">I456*H456</f>
        <v>119526.008727129</v>
      </c>
    </row>
    <row r="457" customFormat="false" ht="15" hidden="false" customHeight="false" outlineLevel="0" collapsed="false">
      <c r="A457" s="46" t="n">
        <v>449</v>
      </c>
      <c r="B457" s="47" t="n">
        <f aca="false">(A457-1)*$C$6</f>
        <v>0.809367119042027</v>
      </c>
      <c r="C457" s="48" t="n">
        <f aca="false">$C$7*B457</f>
        <v>6.22222222222222</v>
      </c>
      <c r="D457" s="49" t="n">
        <f aca="false">0.5*c_rho*'P3 Energie'!E8*'P3 Energie'!E7*(C457-c_Vv)^2+'P3 Energie'!E13+'P3 Energie'!E15+'P3 Energie'!E6*$C$7</f>
        <v>18426.7308651365</v>
      </c>
      <c r="E457" s="50" t="n">
        <f aca="false">D457*C457</f>
        <v>114655.21427196</v>
      </c>
      <c r="F457" s="46" t="n">
        <v>449</v>
      </c>
      <c r="G457" s="47" t="n">
        <f aca="false">(F457-1)*$H$6</f>
        <v>0.808789105969813</v>
      </c>
      <c r="H457" s="48" t="n">
        <f aca="false">$H$7*G457</f>
        <v>6.22222222222222</v>
      </c>
      <c r="I457" s="49" t="n">
        <f aca="false">0.5*c_rho*'P3 Energie'!F8*'P3 Energie'!F7*(H457-c_Vv)^2+'P3 Energie'!F13+'P3 Energie'!F15+'P3 Energie'!F6*$H$7</f>
        <v>19252.5713883111</v>
      </c>
      <c r="J457" s="50" t="n">
        <f aca="false">I457*H457</f>
        <v>119793.777527269</v>
      </c>
    </row>
    <row r="458" customFormat="false" ht="15" hidden="false" customHeight="false" outlineLevel="0" collapsed="false">
      <c r="A458" s="46" t="n">
        <v>450</v>
      </c>
      <c r="B458" s="47" t="n">
        <f aca="false">(A458-1)*$C$6</f>
        <v>0.811173742075603</v>
      </c>
      <c r="C458" s="48" t="n">
        <f aca="false">$C$7*B458</f>
        <v>6.23611111111111</v>
      </c>
      <c r="D458" s="49" t="n">
        <f aca="false">0.5*c_rho*'P3 Energie'!E8*'P3 Energie'!E7*(C458-c_Vv)^2+'P3 Energie'!E13+'P3 Energie'!E15+'P3 Energie'!E6*$C$7</f>
        <v>18426.7999809819</v>
      </c>
      <c r="E458" s="50" t="n">
        <f aca="false">D458*C458</f>
        <v>114911.572103623</v>
      </c>
      <c r="F458" s="46" t="n">
        <v>450</v>
      </c>
      <c r="G458" s="47" t="n">
        <f aca="false">(F458-1)*$H$6</f>
        <v>0.810594438795639</v>
      </c>
      <c r="H458" s="48" t="n">
        <f aca="false">$H$7*G458</f>
        <v>6.23611111111111</v>
      </c>
      <c r="I458" s="49" t="n">
        <f aca="false">0.5*c_rho*'P3 Energie'!F8*'P3 Energie'!F7*(H458-c_Vv)^2+'P3 Energie'!F13+'P3 Energie'!F15+'P3 Energie'!F6*$H$7</f>
        <v>19252.6314376854</v>
      </c>
      <c r="J458" s="50" t="n">
        <f aca="false">I458*H458</f>
        <v>120061.548826677</v>
      </c>
    </row>
    <row r="459" customFormat="false" ht="15" hidden="false" customHeight="false" outlineLevel="0" collapsed="false">
      <c r="A459" s="46" t="n">
        <v>451</v>
      </c>
      <c r="B459" s="47" t="n">
        <f aca="false">(A459-1)*$C$6</f>
        <v>0.812980365109179</v>
      </c>
      <c r="C459" s="48" t="n">
        <f aca="false">$C$7*B459</f>
        <v>6.25</v>
      </c>
      <c r="D459" s="49" t="n">
        <f aca="false">0.5*c_rho*'P3 Energie'!E8*'P3 Energie'!E7*(C459-c_Vv)^2+'P3 Energie'!E13+'P3 Energie'!E15+'P3 Energie'!E6*$C$7</f>
        <v>18426.8692509317</v>
      </c>
      <c r="E459" s="50" t="n">
        <f aca="false">D459*C459</f>
        <v>115167.932818323</v>
      </c>
      <c r="F459" s="46" t="n">
        <v>451</v>
      </c>
      <c r="G459" s="47" t="n">
        <f aca="false">(F459-1)*$H$6</f>
        <v>0.812399771621464</v>
      </c>
      <c r="H459" s="48" t="n">
        <f aca="false">$H$7*G459</f>
        <v>6.25</v>
      </c>
      <c r="I459" s="49" t="n">
        <f aca="false">0.5*c_rho*'P3 Energie'!F8*'P3 Energie'!F7*(H459-c_Vv)^2+'P3 Energie'!F13+'P3 Energie'!F15+'P3 Energie'!F6*$H$7</f>
        <v>19252.6916209491</v>
      </c>
      <c r="J459" s="50" t="n">
        <f aca="false">I459*H459</f>
        <v>120329.322630932</v>
      </c>
    </row>
    <row r="460" customFormat="false" ht="15" hidden="false" customHeight="false" outlineLevel="0" collapsed="false">
      <c r="A460" s="46" t="n">
        <v>452</v>
      </c>
      <c r="B460" s="47" t="n">
        <f aca="false">(A460-1)*$C$6</f>
        <v>0.814786988142755</v>
      </c>
      <c r="C460" s="48" t="n">
        <f aca="false">$C$7*B460</f>
        <v>6.26388888888889</v>
      </c>
      <c r="D460" s="49" t="n">
        <f aca="false">0.5*c_rho*'P3 Energie'!E8*'P3 Energie'!E7*(C460-c_Vv)^2+'P3 Energie'!E13+'P3 Energie'!E15+'P3 Energie'!E6*$C$7</f>
        <v>18426.938674986</v>
      </c>
      <c r="E460" s="50" t="n">
        <f aca="false">D460*C460</f>
        <v>115424.296422482</v>
      </c>
      <c r="F460" s="46" t="n">
        <v>452</v>
      </c>
      <c r="G460" s="47" t="n">
        <f aca="false">(F460-1)*$H$6</f>
        <v>0.814205104447289</v>
      </c>
      <c r="H460" s="48" t="n">
        <f aca="false">$H$7*G460</f>
        <v>6.26388888888889</v>
      </c>
      <c r="I460" s="49" t="n">
        <f aca="false">0.5*c_rho*'P3 Energie'!F8*'P3 Energie'!F7*(H460-c_Vv)^2+'P3 Energie'!F13+'P3 Energie'!F15+'P3 Energie'!F6*$H$7</f>
        <v>19252.7519381021</v>
      </c>
      <c r="J460" s="50" t="n">
        <f aca="false">I460*H460</f>
        <v>120597.098945612</v>
      </c>
    </row>
    <row r="461" customFormat="false" ht="15" hidden="false" customHeight="false" outlineLevel="0" collapsed="false">
      <c r="A461" s="46" t="n">
        <v>453</v>
      </c>
      <c r="B461" s="47" t="n">
        <f aca="false">(A461-1)*$C$6</f>
        <v>0.816593611176331</v>
      </c>
      <c r="C461" s="48" t="n">
        <f aca="false">$C$7*B461</f>
        <v>6.27777777777778</v>
      </c>
      <c r="D461" s="49" t="n">
        <f aca="false">0.5*c_rho*'P3 Energie'!E8*'P3 Energie'!E7*(C461-c_Vv)^2+'P3 Energie'!E13+'P3 Energie'!E15+'P3 Energie'!E6*$C$7</f>
        <v>18427.0082531448</v>
      </c>
      <c r="E461" s="50" t="n">
        <f aca="false">D461*C461</f>
        <v>115680.66292252</v>
      </c>
      <c r="F461" s="46" t="n">
        <v>453</v>
      </c>
      <c r="G461" s="47" t="n">
        <f aca="false">(F461-1)*$H$6</f>
        <v>0.816010437273115</v>
      </c>
      <c r="H461" s="48" t="n">
        <f aca="false">$H$7*G461</f>
        <v>6.27777777777778</v>
      </c>
      <c r="I461" s="49" t="n">
        <f aca="false">0.5*c_rho*'P3 Energie'!F8*'P3 Energie'!F7*(H461-c_Vv)^2+'P3 Energie'!F13+'P3 Energie'!F15+'P3 Energie'!F6*$H$7</f>
        <v>19252.8123891444</v>
      </c>
      <c r="J461" s="50" t="n">
        <f aca="false">I461*H461</f>
        <v>120864.877776296</v>
      </c>
    </row>
    <row r="462" customFormat="false" ht="15" hidden="false" customHeight="false" outlineLevel="0" collapsed="false">
      <c r="A462" s="46" t="n">
        <v>454</v>
      </c>
      <c r="B462" s="47" t="n">
        <f aca="false">(A462-1)*$C$6</f>
        <v>0.818400234209907</v>
      </c>
      <c r="C462" s="48" t="n">
        <f aca="false">$C$7*B462</f>
        <v>6.29166666666667</v>
      </c>
      <c r="D462" s="49" t="n">
        <f aca="false">0.5*c_rho*'P3 Energie'!E8*'P3 Energie'!E7*(C462-c_Vv)^2+'P3 Energie'!E13+'P3 Energie'!E15+'P3 Energie'!E6*$C$7</f>
        <v>18427.077985408</v>
      </c>
      <c r="E462" s="50" t="n">
        <f aca="false">D462*C462</f>
        <v>115937.032324859</v>
      </c>
      <c r="F462" s="46" t="n">
        <v>454</v>
      </c>
      <c r="G462" s="47" t="n">
        <f aca="false">(F462-1)*$H$6</f>
        <v>0.81781577009894</v>
      </c>
      <c r="H462" s="48" t="n">
        <f aca="false">$H$7*G462</f>
        <v>6.29166666666667</v>
      </c>
      <c r="I462" s="49" t="n">
        <f aca="false">0.5*c_rho*'P3 Energie'!F8*'P3 Energie'!F7*(H462-c_Vv)^2+'P3 Energie'!F13+'P3 Energie'!F15+'P3 Energie'!F6*$H$7</f>
        <v>19252.8729740762</v>
      </c>
      <c r="J462" s="50" t="n">
        <f aca="false">I462*H462</f>
        <v>121132.659128563</v>
      </c>
    </row>
    <row r="463" customFormat="false" ht="15" hidden="false" customHeight="false" outlineLevel="0" collapsed="false">
      <c r="A463" s="46" t="n">
        <v>455</v>
      </c>
      <c r="B463" s="47" t="n">
        <f aca="false">(A463-1)*$C$6</f>
        <v>0.820206857243483</v>
      </c>
      <c r="C463" s="48" t="n">
        <f aca="false">$C$7*B463</f>
        <v>6.30555555555556</v>
      </c>
      <c r="D463" s="49" t="n">
        <f aca="false">0.5*c_rho*'P3 Energie'!E8*'P3 Energie'!E7*(C463-c_Vv)^2+'P3 Energie'!E13+'P3 Energie'!E15+'P3 Energie'!E6*$C$7</f>
        <v>18427.1478717756</v>
      </c>
      <c r="E463" s="50" t="n">
        <f aca="false">D463*C463</f>
        <v>116193.404635919</v>
      </c>
      <c r="F463" s="46" t="n">
        <v>455</v>
      </c>
      <c r="G463" s="47" t="n">
        <f aca="false">(F463-1)*$H$6</f>
        <v>0.819621102924766</v>
      </c>
      <c r="H463" s="48" t="n">
        <f aca="false">$H$7*G463</f>
        <v>6.30555555555556</v>
      </c>
      <c r="I463" s="49" t="n">
        <f aca="false">0.5*c_rho*'P3 Energie'!F8*'P3 Energie'!F7*(H463-c_Vv)^2+'P3 Energie'!F13+'P3 Energie'!F15+'P3 Energie'!F6*$H$7</f>
        <v>19252.9336928972</v>
      </c>
      <c r="J463" s="50" t="n">
        <f aca="false">I463*H463</f>
        <v>121400.443007991</v>
      </c>
    </row>
    <row r="464" customFormat="false" ht="15" hidden="false" customHeight="false" outlineLevel="0" collapsed="false">
      <c r="A464" s="46" t="n">
        <v>456</v>
      </c>
      <c r="B464" s="47" t="n">
        <f aca="false">(A464-1)*$C$6</f>
        <v>0.822013480277059</v>
      </c>
      <c r="C464" s="48" t="n">
        <f aca="false">$C$7*B464</f>
        <v>6.31944444444445</v>
      </c>
      <c r="D464" s="49" t="n">
        <f aca="false">0.5*c_rho*'P3 Energie'!E8*'P3 Energie'!E7*(C464-c_Vv)^2+'P3 Energie'!E13+'P3 Energie'!E15+'P3 Energie'!E6*$C$7</f>
        <v>18427.2179122477</v>
      </c>
      <c r="E464" s="50" t="n">
        <f aca="false">D464*C464</f>
        <v>116449.779862121</v>
      </c>
      <c r="F464" s="46" t="n">
        <v>456</v>
      </c>
      <c r="G464" s="47" t="n">
        <f aca="false">(F464-1)*$H$6</f>
        <v>0.821426435750591</v>
      </c>
      <c r="H464" s="48" t="n">
        <f aca="false">$H$7*G464</f>
        <v>6.31944444444445</v>
      </c>
      <c r="I464" s="49" t="n">
        <f aca="false">0.5*c_rho*'P3 Energie'!F8*'P3 Energie'!F7*(H464-c_Vv)^2+'P3 Energie'!F13+'P3 Energie'!F15+'P3 Energie'!F6*$H$7</f>
        <v>19252.9945456076</v>
      </c>
      <c r="J464" s="50" t="n">
        <f aca="false">I464*H464</f>
        <v>121668.229420159</v>
      </c>
    </row>
    <row r="465" customFormat="false" ht="15" hidden="false" customHeight="false" outlineLevel="0" collapsed="false">
      <c r="A465" s="46" t="n">
        <v>457</v>
      </c>
      <c r="B465" s="47" t="n">
        <f aca="false">(A465-1)*$C$6</f>
        <v>0.823820103310635</v>
      </c>
      <c r="C465" s="48" t="n">
        <f aca="false">$C$7*B465</f>
        <v>6.33333333333333</v>
      </c>
      <c r="D465" s="49" t="n">
        <f aca="false">0.5*c_rho*'P3 Energie'!E8*'P3 Energie'!E7*(C465-c_Vv)^2+'P3 Energie'!E13+'P3 Energie'!E15+'P3 Energie'!E6*$C$7</f>
        <v>18427.2881068243</v>
      </c>
      <c r="E465" s="50" t="n">
        <f aca="false">D465*C465</f>
        <v>116706.158009887</v>
      </c>
      <c r="F465" s="46" t="n">
        <v>457</v>
      </c>
      <c r="G465" s="47" t="n">
        <f aca="false">(F465-1)*$H$6</f>
        <v>0.823231768576417</v>
      </c>
      <c r="H465" s="48" t="n">
        <f aca="false">$H$7*G465</f>
        <v>6.33333333333333</v>
      </c>
      <c r="I465" s="49" t="n">
        <f aca="false">0.5*c_rho*'P3 Energie'!F8*'P3 Energie'!F7*(H465-c_Vv)^2+'P3 Energie'!F13+'P3 Energie'!F15+'P3 Energie'!F6*$H$7</f>
        <v>19253.0555322074</v>
      </c>
      <c r="J465" s="50" t="n">
        <f aca="false">I465*H465</f>
        <v>121936.018370647</v>
      </c>
    </row>
    <row r="466" customFormat="false" ht="15" hidden="false" customHeight="false" outlineLevel="0" collapsed="false">
      <c r="A466" s="46" t="n">
        <v>458</v>
      </c>
      <c r="B466" s="47" t="n">
        <f aca="false">(A466-1)*$C$6</f>
        <v>0.825626726344211</v>
      </c>
      <c r="C466" s="48" t="n">
        <f aca="false">$C$7*B466</f>
        <v>6.34722222222222</v>
      </c>
      <c r="D466" s="49" t="n">
        <f aca="false">0.5*c_rho*'P3 Energie'!E8*'P3 Energie'!E7*(C466-c_Vv)^2+'P3 Energie'!E13+'P3 Energie'!E15+'P3 Energie'!E6*$C$7</f>
        <v>18427.3584555053</v>
      </c>
      <c r="E466" s="50" t="n">
        <f aca="false">D466*C466</f>
        <v>116962.539085638</v>
      </c>
      <c r="F466" s="46" t="n">
        <v>458</v>
      </c>
      <c r="G466" s="47" t="n">
        <f aca="false">(F466-1)*$H$6</f>
        <v>0.825037101402242</v>
      </c>
      <c r="H466" s="48" t="n">
        <f aca="false">$H$7*G466</f>
        <v>6.34722222222222</v>
      </c>
      <c r="I466" s="49" t="n">
        <f aca="false">0.5*c_rho*'P3 Energie'!F8*'P3 Energie'!F7*(H466-c_Vv)^2+'P3 Energie'!F13+'P3 Energie'!F15+'P3 Energie'!F6*$H$7</f>
        <v>19253.1166526965</v>
      </c>
      <c r="J466" s="50" t="n">
        <f aca="false">I466*H466</f>
        <v>122203.809865032</v>
      </c>
    </row>
    <row r="467" customFormat="false" ht="15" hidden="false" customHeight="false" outlineLevel="0" collapsed="false">
      <c r="A467" s="46" t="n">
        <v>459</v>
      </c>
      <c r="B467" s="47" t="n">
        <f aca="false">(A467-1)*$C$6</f>
        <v>0.827433349377787</v>
      </c>
      <c r="C467" s="48" t="n">
        <f aca="false">$C$7*B467</f>
        <v>6.36111111111111</v>
      </c>
      <c r="D467" s="49" t="n">
        <f aca="false">0.5*c_rho*'P3 Energie'!E8*'P3 Energie'!E7*(C467-c_Vv)^2+'P3 Energie'!E13+'P3 Energie'!E15+'P3 Energie'!E6*$C$7</f>
        <v>18427.4289582908</v>
      </c>
      <c r="E467" s="50" t="n">
        <f aca="false">D467*C467</f>
        <v>117218.923095794</v>
      </c>
      <c r="F467" s="46" t="n">
        <v>459</v>
      </c>
      <c r="G467" s="47" t="n">
        <f aca="false">(F467-1)*$H$6</f>
        <v>0.826842434228068</v>
      </c>
      <c r="H467" s="48" t="n">
        <f aca="false">$H$7*G467</f>
        <v>6.36111111111111</v>
      </c>
      <c r="I467" s="49" t="n">
        <f aca="false">0.5*c_rho*'P3 Energie'!F8*'P3 Energie'!F7*(H467-c_Vv)^2+'P3 Energie'!F13+'P3 Energie'!F15+'P3 Energie'!F6*$H$7</f>
        <v>19253.177907075</v>
      </c>
      <c r="J467" s="50" t="n">
        <f aca="false">I467*H467</f>
        <v>122471.603908894</v>
      </c>
    </row>
    <row r="468" customFormat="false" ht="15" hidden="false" customHeight="false" outlineLevel="0" collapsed="false">
      <c r="A468" s="46" t="n">
        <v>460</v>
      </c>
      <c r="B468" s="47" t="n">
        <f aca="false">(A468-1)*$C$6</f>
        <v>0.829239972411363</v>
      </c>
      <c r="C468" s="48" t="n">
        <f aca="false">$C$7*B468</f>
        <v>6.375</v>
      </c>
      <c r="D468" s="49" t="n">
        <f aca="false">0.5*c_rho*'P3 Energie'!E8*'P3 Energie'!E7*(C468-c_Vv)^2+'P3 Energie'!E13+'P3 Energie'!E15+'P3 Energie'!E6*$C$7</f>
        <v>18427.4996151807</v>
      </c>
      <c r="E468" s="50" t="n">
        <f aca="false">D468*C468</f>
        <v>117475.310046777</v>
      </c>
      <c r="F468" s="46" t="n">
        <v>460</v>
      </c>
      <c r="G468" s="47" t="n">
        <f aca="false">(F468-1)*$H$6</f>
        <v>0.828647767053893</v>
      </c>
      <c r="H468" s="48" t="n">
        <f aca="false">$H$7*G468</f>
        <v>6.375</v>
      </c>
      <c r="I468" s="49" t="n">
        <f aca="false">0.5*c_rho*'P3 Energie'!F8*'P3 Energie'!F7*(H468-c_Vv)^2+'P3 Energie'!F13+'P3 Energie'!F15+'P3 Energie'!F6*$H$7</f>
        <v>19253.2392953428</v>
      </c>
      <c r="J468" s="50" t="n">
        <f aca="false">I468*H468</f>
        <v>122739.400507811</v>
      </c>
    </row>
    <row r="469" customFormat="false" ht="15" hidden="false" customHeight="false" outlineLevel="0" collapsed="false">
      <c r="A469" s="46" t="n">
        <v>461</v>
      </c>
      <c r="B469" s="47" t="n">
        <f aca="false">(A469-1)*$C$6</f>
        <v>0.831046595444939</v>
      </c>
      <c r="C469" s="48" t="n">
        <f aca="false">$C$7*B469</f>
        <v>6.38888888888889</v>
      </c>
      <c r="D469" s="49" t="n">
        <f aca="false">0.5*c_rho*'P3 Energie'!E8*'P3 Energie'!E7*(C469-c_Vv)^2+'P3 Energie'!E13+'P3 Energie'!E15+'P3 Energie'!E6*$C$7</f>
        <v>18427.570426175</v>
      </c>
      <c r="E469" s="50" t="n">
        <f aca="false">D469*C469</f>
        <v>117731.699945007</v>
      </c>
      <c r="F469" s="46" t="n">
        <v>461</v>
      </c>
      <c r="G469" s="47" t="n">
        <f aca="false">(F469-1)*$H$6</f>
        <v>0.830453099879719</v>
      </c>
      <c r="H469" s="48" t="n">
        <f aca="false">$H$7*G469</f>
        <v>6.38888888888889</v>
      </c>
      <c r="I469" s="49" t="n">
        <f aca="false">0.5*c_rho*'P3 Energie'!F8*'P3 Energie'!F7*(H469-c_Vv)^2+'P3 Energie'!F13+'P3 Energie'!F15+'P3 Energie'!F6*$H$7</f>
        <v>19253.3008175</v>
      </c>
      <c r="J469" s="50" t="n">
        <f aca="false">I469*H469</f>
        <v>123007.199667361</v>
      </c>
    </row>
    <row r="470" customFormat="false" ht="15" hidden="false" customHeight="false" outlineLevel="0" collapsed="false">
      <c r="A470" s="46" t="n">
        <v>462</v>
      </c>
      <c r="B470" s="47" t="n">
        <f aca="false">(A470-1)*$C$6</f>
        <v>0.832853218478515</v>
      </c>
      <c r="C470" s="48" t="n">
        <f aca="false">$C$7*B470</f>
        <v>6.40277777777778</v>
      </c>
      <c r="D470" s="49" t="n">
        <f aca="false">0.5*c_rho*'P3 Energie'!E8*'P3 Energie'!E7*(C470-c_Vv)^2+'P3 Energie'!E13+'P3 Energie'!E15+'P3 Energie'!E6*$C$7</f>
        <v>18427.6413912738</v>
      </c>
      <c r="E470" s="50" t="n">
        <f aca="false">D470*C470</f>
        <v>117988.092796906</v>
      </c>
      <c r="F470" s="46" t="n">
        <v>462</v>
      </c>
      <c r="G470" s="47" t="n">
        <f aca="false">(F470-1)*$H$6</f>
        <v>0.832258432705544</v>
      </c>
      <c r="H470" s="48" t="n">
        <f aca="false">$H$7*G470</f>
        <v>6.40277777777778</v>
      </c>
      <c r="I470" s="49" t="n">
        <f aca="false">0.5*c_rho*'P3 Energie'!F8*'P3 Energie'!F7*(H470-c_Vv)^2+'P3 Energie'!F13+'P3 Energie'!F15+'P3 Energie'!F6*$H$7</f>
        <v>19253.3624735465</v>
      </c>
      <c r="J470" s="50" t="n">
        <f aca="false">I470*H470</f>
        <v>123275.001393124</v>
      </c>
    </row>
    <row r="471" customFormat="false" ht="15" hidden="false" customHeight="false" outlineLevel="0" collapsed="false">
      <c r="A471" s="46" t="n">
        <v>463</v>
      </c>
      <c r="B471" s="47" t="n">
        <f aca="false">(A471-1)*$C$6</f>
        <v>0.83465984151209</v>
      </c>
      <c r="C471" s="48" t="n">
        <f aca="false">$C$7*B471</f>
        <v>6.41666666666667</v>
      </c>
      <c r="D471" s="49" t="n">
        <f aca="false">0.5*c_rho*'P3 Energie'!E8*'P3 Energie'!E7*(C471-c_Vv)^2+'P3 Energie'!E13+'P3 Energie'!E15+'P3 Energie'!E6*$C$7</f>
        <v>18427.7125104771</v>
      </c>
      <c r="E471" s="50" t="n">
        <f aca="false">D471*C471</f>
        <v>118244.488608894</v>
      </c>
      <c r="F471" s="46" t="n">
        <v>463</v>
      </c>
      <c r="G471" s="47" t="n">
        <f aca="false">(F471-1)*$H$6</f>
        <v>0.83406376553137</v>
      </c>
      <c r="H471" s="48" t="n">
        <f aca="false">$H$7*G471</f>
        <v>6.41666666666667</v>
      </c>
      <c r="I471" s="49" t="n">
        <f aca="false">0.5*c_rho*'P3 Energie'!F8*'P3 Energie'!F7*(H471-c_Vv)^2+'P3 Energie'!F13+'P3 Energie'!F15+'P3 Energie'!F6*$H$7</f>
        <v>19253.4242634824</v>
      </c>
      <c r="J471" s="50" t="n">
        <f aca="false">I471*H471</f>
        <v>123542.805690679</v>
      </c>
    </row>
    <row r="472" customFormat="false" ht="15" hidden="false" customHeight="false" outlineLevel="0" collapsed="false">
      <c r="A472" s="46" t="n">
        <v>464</v>
      </c>
      <c r="B472" s="47" t="n">
        <f aca="false">(A472-1)*$C$6</f>
        <v>0.836466464545666</v>
      </c>
      <c r="C472" s="48" t="n">
        <f aca="false">$C$7*B472</f>
        <v>6.43055555555556</v>
      </c>
      <c r="D472" s="49" t="n">
        <f aca="false">0.5*c_rho*'P3 Energie'!E8*'P3 Energie'!E7*(C472-c_Vv)^2+'P3 Energie'!E13+'P3 Energie'!E15+'P3 Energie'!E6*$C$7</f>
        <v>18427.7837837847</v>
      </c>
      <c r="E472" s="50" t="n">
        <f aca="false">D472*C472</f>
        <v>118500.887387394</v>
      </c>
      <c r="F472" s="46" t="n">
        <v>464</v>
      </c>
      <c r="G472" s="47" t="n">
        <f aca="false">(F472-1)*$H$6</f>
        <v>0.835869098357195</v>
      </c>
      <c r="H472" s="48" t="n">
        <f aca="false">$H$7*G472</f>
        <v>6.43055555555556</v>
      </c>
      <c r="I472" s="49" t="n">
        <f aca="false">0.5*c_rho*'P3 Energie'!F8*'P3 Energie'!F7*(H472-c_Vv)^2+'P3 Energie'!F13+'P3 Energie'!F15+'P3 Energie'!F6*$H$7</f>
        <v>19253.4861873076</v>
      </c>
      <c r="J472" s="50" t="n">
        <f aca="false">I472*H472</f>
        <v>123810.612565603</v>
      </c>
    </row>
    <row r="473" customFormat="false" ht="15" hidden="false" customHeight="false" outlineLevel="0" collapsed="false">
      <c r="A473" s="46" t="n">
        <v>465</v>
      </c>
      <c r="B473" s="47" t="n">
        <f aca="false">(A473-1)*$C$6</f>
        <v>0.838273087579242</v>
      </c>
      <c r="C473" s="48" t="n">
        <f aca="false">$C$7*B473</f>
        <v>6.44444444444445</v>
      </c>
      <c r="D473" s="49" t="n">
        <f aca="false">0.5*c_rho*'P3 Energie'!E8*'P3 Energie'!E7*(C473-c_Vv)^2+'P3 Energie'!E13+'P3 Energie'!E15+'P3 Energie'!E6*$C$7</f>
        <v>18427.8552111969</v>
      </c>
      <c r="E473" s="50" t="n">
        <f aca="false">D473*C473</f>
        <v>118757.289138824</v>
      </c>
      <c r="F473" s="46" t="n">
        <v>465</v>
      </c>
      <c r="G473" s="47" t="n">
        <f aca="false">(F473-1)*$H$6</f>
        <v>0.837674431183021</v>
      </c>
      <c r="H473" s="48" t="n">
        <f aca="false">$H$7*G473</f>
        <v>6.44444444444445</v>
      </c>
      <c r="I473" s="49" t="n">
        <f aca="false">0.5*c_rho*'P3 Energie'!F8*'P3 Energie'!F7*(H473-c_Vv)^2+'P3 Energie'!F13+'P3 Energie'!F15+'P3 Energie'!F6*$H$7</f>
        <v>19253.5482450222</v>
      </c>
      <c r="J473" s="50" t="n">
        <f aca="false">I473*H473</f>
        <v>124078.422023477</v>
      </c>
    </row>
    <row r="474" customFormat="false" ht="15" hidden="false" customHeight="false" outlineLevel="0" collapsed="false">
      <c r="A474" s="46" t="n">
        <v>466</v>
      </c>
      <c r="B474" s="47" t="n">
        <f aca="false">(A474-1)*$C$6</f>
        <v>0.840079710612818</v>
      </c>
      <c r="C474" s="48" t="n">
        <f aca="false">$C$7*B474</f>
        <v>6.45833333333333</v>
      </c>
      <c r="D474" s="49" t="n">
        <f aca="false">0.5*c_rho*'P3 Energie'!E8*'P3 Energie'!E7*(C474-c_Vv)^2+'P3 Energie'!E13+'P3 Energie'!E15+'P3 Energie'!E6*$C$7</f>
        <v>18427.9267927135</v>
      </c>
      <c r="E474" s="50" t="n">
        <f aca="false">D474*C474</f>
        <v>119013.693869608</v>
      </c>
      <c r="F474" s="46" t="n">
        <v>466</v>
      </c>
      <c r="G474" s="47" t="n">
        <f aca="false">(F474-1)*$H$6</f>
        <v>0.839479764008846</v>
      </c>
      <c r="H474" s="48" t="n">
        <f aca="false">$H$7*G474</f>
        <v>6.45833333333333</v>
      </c>
      <c r="I474" s="49" t="n">
        <f aca="false">0.5*c_rho*'P3 Energie'!F8*'P3 Energie'!F7*(H474-c_Vv)^2+'P3 Energie'!F13+'P3 Energie'!F15+'P3 Energie'!F6*$H$7</f>
        <v>19253.6104366262</v>
      </c>
      <c r="J474" s="50" t="n">
        <f aca="false">I474*H474</f>
        <v>124346.234069877</v>
      </c>
    </row>
    <row r="475" customFormat="false" ht="15" hidden="false" customHeight="false" outlineLevel="0" collapsed="false">
      <c r="A475" s="46" t="n">
        <v>467</v>
      </c>
      <c r="B475" s="47" t="n">
        <f aca="false">(A475-1)*$C$6</f>
        <v>0.841886333646394</v>
      </c>
      <c r="C475" s="48" t="n">
        <f aca="false">$C$7*B475</f>
        <v>6.47222222222222</v>
      </c>
      <c r="D475" s="49" t="n">
        <f aca="false">0.5*c_rho*'P3 Energie'!E8*'P3 Energie'!E7*(C475-c_Vv)^2+'P3 Energie'!E13+'P3 Energie'!E15+'P3 Energie'!E6*$C$7</f>
        <v>18427.9985283345</v>
      </c>
      <c r="E475" s="50" t="n">
        <f aca="false">D475*C475</f>
        <v>119270.101586165</v>
      </c>
      <c r="F475" s="46" t="n">
        <v>467</v>
      </c>
      <c r="G475" s="47" t="n">
        <f aca="false">(F475-1)*$H$6</f>
        <v>0.841285096834672</v>
      </c>
      <c r="H475" s="48" t="n">
        <f aca="false">$H$7*G475</f>
        <v>6.47222222222222</v>
      </c>
      <c r="I475" s="49" t="n">
        <f aca="false">0.5*c_rho*'P3 Energie'!F8*'P3 Energie'!F7*(H475-c_Vv)^2+'P3 Energie'!F13+'P3 Energie'!F15+'P3 Energie'!F6*$H$7</f>
        <v>19253.6727621194</v>
      </c>
      <c r="J475" s="50" t="n">
        <f aca="false">I475*H475</f>
        <v>124614.048710384</v>
      </c>
    </row>
    <row r="476" customFormat="false" ht="15" hidden="false" customHeight="false" outlineLevel="0" collapsed="false">
      <c r="A476" s="46" t="n">
        <v>468</v>
      </c>
      <c r="B476" s="47" t="n">
        <f aca="false">(A476-1)*$C$6</f>
        <v>0.84369295667997</v>
      </c>
      <c r="C476" s="48" t="n">
        <f aca="false">$C$7*B476</f>
        <v>6.48611111111111</v>
      </c>
      <c r="D476" s="49" t="n">
        <f aca="false">0.5*c_rho*'P3 Energie'!E8*'P3 Energie'!E7*(C476-c_Vv)^2+'P3 Energie'!E13+'P3 Energie'!E15+'P3 Energie'!E6*$C$7</f>
        <v>18428.07041806</v>
      </c>
      <c r="E476" s="50" t="n">
        <f aca="false">D476*C476</f>
        <v>119526.512294917</v>
      </c>
      <c r="F476" s="46" t="n">
        <v>468</v>
      </c>
      <c r="G476" s="47" t="n">
        <f aca="false">(F476-1)*$H$6</f>
        <v>0.843090429660497</v>
      </c>
      <c r="H476" s="48" t="n">
        <f aca="false">$H$7*G476</f>
        <v>6.48611111111111</v>
      </c>
      <c r="I476" s="49" t="n">
        <f aca="false">0.5*c_rho*'P3 Energie'!F8*'P3 Energie'!F7*(H476-c_Vv)^2+'P3 Energie'!F13+'P3 Energie'!F15+'P3 Energie'!F6*$H$7</f>
        <v>19253.7352215021</v>
      </c>
      <c r="J476" s="50" t="n">
        <f aca="false">I476*H476</f>
        <v>124881.865950576</v>
      </c>
    </row>
    <row r="477" customFormat="false" ht="15" hidden="false" customHeight="false" outlineLevel="0" collapsed="false">
      <c r="A477" s="46" t="n">
        <v>469</v>
      </c>
      <c r="B477" s="47" t="n">
        <f aca="false">(A477-1)*$C$6</f>
        <v>0.845499579713546</v>
      </c>
      <c r="C477" s="48" t="n">
        <f aca="false">$C$7*B477</f>
        <v>6.5</v>
      </c>
      <c r="D477" s="49" t="n">
        <f aca="false">0.5*c_rho*'P3 Energie'!E8*'P3 Energie'!E7*(C477-c_Vv)^2+'P3 Energie'!E13+'P3 Energie'!E15+'P3 Energie'!E6*$C$7</f>
        <v>18428.14246189</v>
      </c>
      <c r="E477" s="50" t="n">
        <f aca="false">D477*C477</f>
        <v>119782.926002285</v>
      </c>
      <c r="F477" s="46" t="n">
        <v>469</v>
      </c>
      <c r="G477" s="47" t="n">
        <f aca="false">(F477-1)*$H$6</f>
        <v>0.844895762486323</v>
      </c>
      <c r="H477" s="48" t="n">
        <f aca="false">$H$7*G477</f>
        <v>6.5</v>
      </c>
      <c r="I477" s="49" t="n">
        <f aca="false">0.5*c_rho*'P3 Energie'!F8*'P3 Energie'!F7*(H477-c_Vv)^2+'P3 Energie'!F13+'P3 Energie'!F15+'P3 Energie'!F6*$H$7</f>
        <v>19253.7978147741</v>
      </c>
      <c r="J477" s="50" t="n">
        <f aca="false">I477*H477</f>
        <v>125149.685796032</v>
      </c>
    </row>
    <row r="478" customFormat="false" ht="15" hidden="false" customHeight="false" outlineLevel="0" collapsed="false">
      <c r="A478" s="46" t="n">
        <v>470</v>
      </c>
      <c r="B478" s="47" t="n">
        <f aca="false">(A478-1)*$C$6</f>
        <v>0.847306202747122</v>
      </c>
      <c r="C478" s="48" t="n">
        <f aca="false">$C$7*B478</f>
        <v>6.51388888888889</v>
      </c>
      <c r="D478" s="49" t="n">
        <f aca="false">0.5*c_rho*'P3 Energie'!E8*'P3 Energie'!E7*(C478-c_Vv)^2+'P3 Energie'!E13+'P3 Energie'!E15+'P3 Energie'!E6*$C$7</f>
        <v>18428.2146598244</v>
      </c>
      <c r="E478" s="50" t="n">
        <f aca="false">D478*C478</f>
        <v>120039.342714689</v>
      </c>
      <c r="F478" s="46" t="n">
        <v>470</v>
      </c>
      <c r="G478" s="47" t="n">
        <f aca="false">(F478-1)*$H$6</f>
        <v>0.846701095312148</v>
      </c>
      <c r="H478" s="48" t="n">
        <f aca="false">$H$7*G478</f>
        <v>6.51388888888889</v>
      </c>
      <c r="I478" s="49" t="n">
        <f aca="false">0.5*c_rho*'P3 Energie'!F8*'P3 Energie'!F7*(H478-c_Vv)^2+'P3 Energie'!F13+'P3 Energie'!F15+'P3 Energie'!F6*$H$7</f>
        <v>19253.8605419354</v>
      </c>
      <c r="J478" s="50" t="n">
        <f aca="false">I478*H478</f>
        <v>125417.508252329</v>
      </c>
    </row>
    <row r="479" customFormat="false" ht="15" hidden="false" customHeight="false" outlineLevel="0" collapsed="false">
      <c r="A479" s="46" t="n">
        <v>471</v>
      </c>
      <c r="B479" s="47" t="n">
        <f aca="false">(A479-1)*$C$6</f>
        <v>0.849112825780698</v>
      </c>
      <c r="C479" s="48" t="n">
        <f aca="false">$C$7*B479</f>
        <v>6.52777777777778</v>
      </c>
      <c r="D479" s="49" t="n">
        <f aca="false">0.5*c_rho*'P3 Energie'!E8*'P3 Energie'!E7*(C479-c_Vv)^2+'P3 Energie'!E13+'P3 Energie'!E15+'P3 Energie'!E6*$C$7</f>
        <v>18428.2870118632</v>
      </c>
      <c r="E479" s="50" t="n">
        <f aca="false">D479*C479</f>
        <v>120295.762438551</v>
      </c>
      <c r="F479" s="46" t="n">
        <v>471</v>
      </c>
      <c r="G479" s="47" t="n">
        <f aca="false">(F479-1)*$H$6</f>
        <v>0.848506428137974</v>
      </c>
      <c r="H479" s="48" t="n">
        <f aca="false">$H$7*G479</f>
        <v>6.52777777777778</v>
      </c>
      <c r="I479" s="49" t="n">
        <f aca="false">0.5*c_rho*'P3 Energie'!F8*'P3 Energie'!F7*(H479-c_Vv)^2+'P3 Energie'!F13+'P3 Energie'!F15+'P3 Energie'!F6*$H$7</f>
        <v>19253.9234029861</v>
      </c>
      <c r="J479" s="50" t="n">
        <f aca="false">I479*H479</f>
        <v>125685.333325048</v>
      </c>
    </row>
    <row r="480" customFormat="false" ht="15" hidden="false" customHeight="false" outlineLevel="0" collapsed="false">
      <c r="A480" s="46" t="n">
        <v>472</v>
      </c>
      <c r="B480" s="47" t="n">
        <f aca="false">(A480-1)*$C$6</f>
        <v>0.850919448814274</v>
      </c>
      <c r="C480" s="48" t="n">
        <f aca="false">$C$7*B480</f>
        <v>6.54166666666667</v>
      </c>
      <c r="D480" s="49" t="n">
        <f aca="false">0.5*c_rho*'P3 Energie'!E8*'P3 Energie'!E7*(C480-c_Vv)^2+'P3 Energie'!E13+'P3 Energie'!E15+'P3 Energie'!E6*$C$7</f>
        <v>18428.3595180065</v>
      </c>
      <c r="E480" s="50" t="n">
        <f aca="false">D480*C480</f>
        <v>120552.185180292</v>
      </c>
      <c r="F480" s="46" t="n">
        <v>472</v>
      </c>
      <c r="G480" s="47" t="n">
        <f aca="false">(F480-1)*$H$6</f>
        <v>0.850311760963799</v>
      </c>
      <c r="H480" s="48" t="n">
        <f aca="false">$H$7*G480</f>
        <v>6.54166666666667</v>
      </c>
      <c r="I480" s="49" t="n">
        <f aca="false">0.5*c_rho*'P3 Energie'!F8*'P3 Energie'!F7*(H480-c_Vv)^2+'P3 Energie'!F13+'P3 Energie'!F15+'P3 Energie'!F6*$H$7</f>
        <v>19253.9863979262</v>
      </c>
      <c r="J480" s="50" t="n">
        <f aca="false">I480*H480</f>
        <v>125953.161019767</v>
      </c>
    </row>
    <row r="481" customFormat="false" ht="15" hidden="false" customHeight="false" outlineLevel="0" collapsed="false">
      <c r="A481" s="46" t="n">
        <v>473</v>
      </c>
      <c r="B481" s="47" t="n">
        <f aca="false">(A481-1)*$C$6</f>
        <v>0.85272607184785</v>
      </c>
      <c r="C481" s="48" t="n">
        <f aca="false">$C$7*B481</f>
        <v>6.55555555555556</v>
      </c>
      <c r="D481" s="49" t="n">
        <f aca="false">0.5*c_rho*'P3 Energie'!E8*'P3 Energie'!E7*(C481-c_Vv)^2+'P3 Energie'!E13+'P3 Energie'!E15+'P3 Energie'!E6*$C$7</f>
        <v>18428.4321782542</v>
      </c>
      <c r="E481" s="50" t="n">
        <f aca="false">D481*C481</f>
        <v>120808.610946333</v>
      </c>
      <c r="F481" s="46" t="n">
        <v>473</v>
      </c>
      <c r="G481" s="47" t="n">
        <f aca="false">(F481-1)*$H$6</f>
        <v>0.852117093789624</v>
      </c>
      <c r="H481" s="48" t="n">
        <f aca="false">$H$7*G481</f>
        <v>6.55555555555556</v>
      </c>
      <c r="I481" s="49" t="n">
        <f aca="false">0.5*c_rho*'P3 Energie'!F8*'P3 Energie'!F7*(H481-c_Vv)^2+'P3 Energie'!F13+'P3 Energie'!F15+'P3 Energie'!F6*$H$7</f>
        <v>19254.0495267556</v>
      </c>
      <c r="J481" s="50" t="n">
        <f aca="false">I481*H481</f>
        <v>126220.991342064</v>
      </c>
    </row>
    <row r="482" customFormat="false" ht="15" hidden="false" customHeight="false" outlineLevel="0" collapsed="false">
      <c r="A482" s="46" t="n">
        <v>474</v>
      </c>
      <c r="B482" s="47" t="n">
        <f aca="false">(A482-1)*$C$6</f>
        <v>0.854532694881426</v>
      </c>
      <c r="C482" s="48" t="n">
        <f aca="false">$C$7*B482</f>
        <v>6.56944444444445</v>
      </c>
      <c r="D482" s="49" t="n">
        <f aca="false">0.5*c_rho*'P3 Energie'!E8*'P3 Energie'!E7*(C482-c_Vv)^2+'P3 Energie'!E13+'P3 Energie'!E15+'P3 Energie'!E6*$C$7</f>
        <v>18428.5049926064</v>
      </c>
      <c r="E482" s="50" t="n">
        <f aca="false">D482*C482</f>
        <v>121065.039743095</v>
      </c>
      <c r="F482" s="46" t="n">
        <v>474</v>
      </c>
      <c r="G482" s="47" t="n">
        <f aca="false">(F482-1)*$H$6</f>
        <v>0.85392242661545</v>
      </c>
      <c r="H482" s="48" t="n">
        <f aca="false">$H$7*G482</f>
        <v>6.56944444444445</v>
      </c>
      <c r="I482" s="49" t="n">
        <f aca="false">0.5*c_rho*'P3 Energie'!F8*'P3 Energie'!F7*(H482-c_Vv)^2+'P3 Energie'!F13+'P3 Energie'!F15+'P3 Energie'!F6*$H$7</f>
        <v>19254.1127894743</v>
      </c>
      <c r="J482" s="50" t="n">
        <f aca="false">I482*H482</f>
        <v>126488.824297519</v>
      </c>
    </row>
    <row r="483" customFormat="false" ht="15" hidden="false" customHeight="false" outlineLevel="0" collapsed="false">
      <c r="A483" s="46" t="n">
        <v>475</v>
      </c>
      <c r="B483" s="47" t="n">
        <f aca="false">(A483-1)*$C$6</f>
        <v>0.856339317915002</v>
      </c>
      <c r="C483" s="48" t="n">
        <f aca="false">$C$7*B483</f>
        <v>6.58333333333333</v>
      </c>
      <c r="D483" s="49" t="n">
        <f aca="false">0.5*c_rho*'P3 Energie'!E8*'P3 Energie'!E7*(C483-c_Vv)^2+'P3 Energie'!E13+'P3 Energie'!E15+'P3 Energie'!E6*$C$7</f>
        <v>18428.5779610631</v>
      </c>
      <c r="E483" s="50" t="n">
        <f aca="false">D483*C483</f>
        <v>121321.471576998</v>
      </c>
      <c r="F483" s="46" t="n">
        <v>475</v>
      </c>
      <c r="G483" s="47" t="n">
        <f aca="false">(F483-1)*$H$6</f>
        <v>0.855727759441275</v>
      </c>
      <c r="H483" s="48" t="n">
        <f aca="false">$H$7*G483</f>
        <v>6.58333333333333</v>
      </c>
      <c r="I483" s="49" t="n">
        <f aca="false">0.5*c_rho*'P3 Energie'!F8*'P3 Energie'!F7*(H483-c_Vv)^2+'P3 Energie'!F13+'P3 Energie'!F15+'P3 Energie'!F6*$H$7</f>
        <v>19254.1761860824</v>
      </c>
      <c r="J483" s="50" t="n">
        <f aca="false">I483*H483</f>
        <v>126756.659891709</v>
      </c>
    </row>
    <row r="484" customFormat="false" ht="15" hidden="false" customHeight="false" outlineLevel="0" collapsed="false">
      <c r="A484" s="46" t="n">
        <v>476</v>
      </c>
      <c r="B484" s="47" t="n">
        <f aca="false">(A484-1)*$C$6</f>
        <v>0.858145940948578</v>
      </c>
      <c r="C484" s="48" t="n">
        <f aca="false">$C$7*B484</f>
        <v>6.59722222222222</v>
      </c>
      <c r="D484" s="49" t="n">
        <f aca="false">0.5*c_rho*'P3 Energie'!E8*'P3 Energie'!E7*(C484-c_Vv)^2+'P3 Energie'!E13+'P3 Energie'!E15+'P3 Energie'!E6*$C$7</f>
        <v>18428.6510836241</v>
      </c>
      <c r="E484" s="50" t="n">
        <f aca="false">D484*C484</f>
        <v>121577.906454465</v>
      </c>
      <c r="F484" s="46" t="n">
        <v>476</v>
      </c>
      <c r="G484" s="47" t="n">
        <f aca="false">(F484-1)*$H$6</f>
        <v>0.857533092267101</v>
      </c>
      <c r="H484" s="48" t="n">
        <f aca="false">$H$7*G484</f>
        <v>6.59722222222222</v>
      </c>
      <c r="I484" s="49" t="n">
        <f aca="false">0.5*c_rho*'P3 Energie'!F8*'P3 Energie'!F7*(H484-c_Vv)^2+'P3 Energie'!F13+'P3 Energie'!F15+'P3 Energie'!F6*$H$7</f>
        <v>19254.2397165799</v>
      </c>
      <c r="J484" s="50" t="n">
        <f aca="false">I484*H484</f>
        <v>127024.498130214</v>
      </c>
    </row>
    <row r="485" customFormat="false" ht="15" hidden="false" customHeight="false" outlineLevel="0" collapsed="false">
      <c r="A485" s="46" t="n">
        <v>477</v>
      </c>
      <c r="B485" s="47" t="n">
        <f aca="false">(A485-1)*$C$6</f>
        <v>0.859952563982154</v>
      </c>
      <c r="C485" s="48" t="n">
        <f aca="false">$C$7*B485</f>
        <v>6.61111111111111</v>
      </c>
      <c r="D485" s="49" t="n">
        <f aca="false">0.5*c_rho*'P3 Energie'!E8*'P3 Energie'!E7*(C485-c_Vv)^2+'P3 Energie'!E13+'P3 Energie'!E15+'P3 Energie'!E6*$C$7</f>
        <v>18428.7243602897</v>
      </c>
      <c r="E485" s="50" t="n">
        <f aca="false">D485*C485</f>
        <v>121834.344381915</v>
      </c>
      <c r="F485" s="46" t="n">
        <v>477</v>
      </c>
      <c r="G485" s="47" t="n">
        <f aca="false">(F485-1)*$H$6</f>
        <v>0.859338425092926</v>
      </c>
      <c r="H485" s="48" t="n">
        <f aca="false">$H$7*G485</f>
        <v>6.61111111111111</v>
      </c>
      <c r="I485" s="49" t="n">
        <f aca="false">0.5*c_rho*'P3 Energie'!F8*'P3 Energie'!F7*(H485-c_Vv)^2+'P3 Energie'!F13+'P3 Energie'!F15+'P3 Energie'!F6*$H$7</f>
        <v>19254.3033809667</v>
      </c>
      <c r="J485" s="50" t="n">
        <f aca="false">I485*H485</f>
        <v>127292.339018613</v>
      </c>
    </row>
    <row r="486" customFormat="false" ht="15" hidden="false" customHeight="false" outlineLevel="0" collapsed="false">
      <c r="A486" s="46" t="n">
        <v>478</v>
      </c>
      <c r="B486" s="47" t="n">
        <f aca="false">(A486-1)*$C$6</f>
        <v>0.86175918701573</v>
      </c>
      <c r="C486" s="48" t="n">
        <f aca="false">$C$7*B486</f>
        <v>6.625</v>
      </c>
      <c r="D486" s="49" t="n">
        <f aca="false">0.5*c_rho*'P3 Energie'!E8*'P3 Energie'!E7*(C486-c_Vv)^2+'P3 Energie'!E13+'P3 Energie'!E15+'P3 Energie'!E6*$C$7</f>
        <v>18428.7977910597</v>
      </c>
      <c r="E486" s="50" t="n">
        <f aca="false">D486*C486</f>
        <v>122090.78536577</v>
      </c>
      <c r="F486" s="46" t="n">
        <v>478</v>
      </c>
      <c r="G486" s="47" t="n">
        <f aca="false">(F486-1)*$H$6</f>
        <v>0.861143757918752</v>
      </c>
      <c r="H486" s="48" t="n">
        <f aca="false">$H$7*G486</f>
        <v>6.625</v>
      </c>
      <c r="I486" s="49" t="n">
        <f aca="false">0.5*c_rho*'P3 Energie'!F8*'P3 Energie'!F7*(H486-c_Vv)^2+'P3 Energie'!F13+'P3 Energie'!F15+'P3 Energie'!F6*$H$7</f>
        <v>19254.3671792428</v>
      </c>
      <c r="J486" s="50" t="n">
        <f aca="false">I486*H486</f>
        <v>127560.182562484</v>
      </c>
    </row>
    <row r="487" customFormat="false" ht="15" hidden="false" customHeight="false" outlineLevel="0" collapsed="false">
      <c r="A487" s="46" t="n">
        <v>479</v>
      </c>
      <c r="B487" s="47" t="n">
        <f aca="false">(A487-1)*$C$6</f>
        <v>0.863565810049306</v>
      </c>
      <c r="C487" s="48" t="n">
        <f aca="false">$C$7*B487</f>
        <v>6.63888888888889</v>
      </c>
      <c r="D487" s="49" t="n">
        <f aca="false">0.5*c_rho*'P3 Energie'!E8*'P3 Energie'!E7*(C487-c_Vv)^2+'P3 Energie'!E13+'P3 Energie'!E15+'P3 Energie'!E6*$C$7</f>
        <v>18428.8713759341</v>
      </c>
      <c r="E487" s="50" t="n">
        <f aca="false">D487*C487</f>
        <v>122347.229412451</v>
      </c>
      <c r="F487" s="46" t="n">
        <v>479</v>
      </c>
      <c r="G487" s="47" t="n">
        <f aca="false">(F487-1)*$H$6</f>
        <v>0.862949090744577</v>
      </c>
      <c r="H487" s="48" t="n">
        <f aca="false">$H$7*G487</f>
        <v>6.63888888888889</v>
      </c>
      <c r="I487" s="49" t="n">
        <f aca="false">0.5*c_rho*'P3 Energie'!F8*'P3 Energie'!F7*(H487-c_Vv)^2+'P3 Energie'!F13+'P3 Energie'!F15+'P3 Energie'!F6*$H$7</f>
        <v>19254.4311114083</v>
      </c>
      <c r="J487" s="50" t="n">
        <f aca="false">I487*H487</f>
        <v>127828.028767405</v>
      </c>
    </row>
    <row r="488" customFormat="false" ht="15" hidden="false" customHeight="false" outlineLevel="0" collapsed="false">
      <c r="A488" s="46" t="n">
        <v>480</v>
      </c>
      <c r="B488" s="47" t="n">
        <f aca="false">(A488-1)*$C$6</f>
        <v>0.865372433082882</v>
      </c>
      <c r="C488" s="48" t="n">
        <f aca="false">$C$7*B488</f>
        <v>6.65277777777778</v>
      </c>
      <c r="D488" s="49" t="n">
        <f aca="false">0.5*c_rho*'P3 Energie'!E8*'P3 Energie'!E7*(C488-c_Vv)^2+'P3 Energie'!E13+'P3 Energie'!E15+'P3 Energie'!E6*$C$7</f>
        <v>18428.945114913</v>
      </c>
      <c r="E488" s="50" t="n">
        <f aca="false">D488*C488</f>
        <v>122603.676528379</v>
      </c>
      <c r="F488" s="46" t="n">
        <v>480</v>
      </c>
      <c r="G488" s="47" t="n">
        <f aca="false">(F488-1)*$H$6</f>
        <v>0.864754423570403</v>
      </c>
      <c r="H488" s="48" t="n">
        <f aca="false">$H$7*G488</f>
        <v>6.65277777777778</v>
      </c>
      <c r="I488" s="49" t="n">
        <f aca="false">0.5*c_rho*'P3 Energie'!F8*'P3 Energie'!F7*(H488-c_Vv)^2+'P3 Energie'!F13+'P3 Energie'!F15+'P3 Energie'!F6*$H$7</f>
        <v>19254.4951774632</v>
      </c>
      <c r="J488" s="50" t="n">
        <f aca="false">I488*H488</f>
        <v>128095.877638957</v>
      </c>
    </row>
    <row r="489" customFormat="false" ht="15" hidden="false" customHeight="false" outlineLevel="0" collapsed="false">
      <c r="A489" s="46" t="n">
        <v>481</v>
      </c>
      <c r="B489" s="47" t="n">
        <f aca="false">(A489-1)*$C$6</f>
        <v>0.867179056116458</v>
      </c>
      <c r="C489" s="48" t="n">
        <f aca="false">$C$7*B489</f>
        <v>6.66666666666667</v>
      </c>
      <c r="D489" s="49" t="n">
        <f aca="false">0.5*c_rho*'P3 Energie'!E8*'P3 Energie'!E7*(C489-c_Vv)^2+'P3 Energie'!E13+'P3 Energie'!E15+'P3 Energie'!E6*$C$7</f>
        <v>18429.0190079963</v>
      </c>
      <c r="E489" s="50" t="n">
        <f aca="false">D489*C489</f>
        <v>122860.126719975</v>
      </c>
      <c r="F489" s="46" t="n">
        <v>481</v>
      </c>
      <c r="G489" s="47" t="n">
        <f aca="false">(F489-1)*$H$6</f>
        <v>0.866559756396228</v>
      </c>
      <c r="H489" s="48" t="n">
        <f aca="false">$H$7*G489</f>
        <v>6.66666666666667</v>
      </c>
      <c r="I489" s="49" t="n">
        <f aca="false">0.5*c_rho*'P3 Energie'!F8*'P3 Energie'!F7*(H489-c_Vv)^2+'P3 Energie'!F13+'P3 Energie'!F15+'P3 Energie'!F6*$H$7</f>
        <v>19254.5593774074</v>
      </c>
      <c r="J489" s="50" t="n">
        <f aca="false">I489*H489</f>
        <v>128363.729182716</v>
      </c>
    </row>
    <row r="490" customFormat="false" ht="15" hidden="false" customHeight="false" outlineLevel="0" collapsed="false">
      <c r="A490" s="46" t="n">
        <v>482</v>
      </c>
      <c r="B490" s="47" t="n">
        <f aca="false">(A490-1)*$C$6</f>
        <v>0.868985679150034</v>
      </c>
      <c r="C490" s="48" t="n">
        <f aca="false">$C$7*B490</f>
        <v>6.68055555555556</v>
      </c>
      <c r="D490" s="49" t="n">
        <f aca="false">0.5*c_rho*'P3 Energie'!E8*'P3 Energie'!E7*(C490-c_Vv)^2+'P3 Energie'!E13+'P3 Energie'!E15+'P3 Energie'!E6*$C$7</f>
        <v>18429.0930551841</v>
      </c>
      <c r="E490" s="50" t="n">
        <f aca="false">D490*C490</f>
        <v>123116.57999366</v>
      </c>
      <c r="F490" s="46" t="n">
        <v>482</v>
      </c>
      <c r="G490" s="47" t="n">
        <f aca="false">(F490-1)*$H$6</f>
        <v>0.868365089222054</v>
      </c>
      <c r="H490" s="48" t="n">
        <f aca="false">$H$7*G490</f>
        <v>6.68055555555556</v>
      </c>
      <c r="I490" s="49" t="n">
        <f aca="false">0.5*c_rho*'P3 Energie'!F8*'P3 Energie'!F7*(H490-c_Vv)^2+'P3 Energie'!F13+'P3 Energie'!F15+'P3 Energie'!F6*$H$7</f>
        <v>19254.623711241</v>
      </c>
      <c r="J490" s="50" t="n">
        <f aca="false">I490*H490</f>
        <v>128631.583404263</v>
      </c>
    </row>
    <row r="491" customFormat="false" ht="15" hidden="false" customHeight="false" outlineLevel="0" collapsed="false">
      <c r="A491" s="46" t="n">
        <v>483</v>
      </c>
      <c r="B491" s="47" t="n">
        <f aca="false">(A491-1)*$C$6</f>
        <v>0.87079230218361</v>
      </c>
      <c r="C491" s="48" t="n">
        <f aca="false">$C$7*B491</f>
        <v>6.69444444444445</v>
      </c>
      <c r="D491" s="49" t="n">
        <f aca="false">0.5*c_rho*'P3 Energie'!E8*'P3 Energie'!E7*(C491-c_Vv)^2+'P3 Energie'!E13+'P3 Energie'!E15+'P3 Energie'!E6*$C$7</f>
        <v>18429.1672564763</v>
      </c>
      <c r="E491" s="50" t="n">
        <f aca="false">D491*C491</f>
        <v>123373.036355855</v>
      </c>
      <c r="F491" s="46" t="n">
        <v>483</v>
      </c>
      <c r="G491" s="47" t="n">
        <f aca="false">(F491-1)*$H$6</f>
        <v>0.870170422047879</v>
      </c>
      <c r="H491" s="48" t="n">
        <f aca="false">$H$7*G491</f>
        <v>6.69444444444445</v>
      </c>
      <c r="I491" s="49" t="n">
        <f aca="false">0.5*c_rho*'P3 Energie'!F8*'P3 Energie'!F7*(H491-c_Vv)^2+'P3 Energie'!F13+'P3 Energie'!F15+'P3 Energie'!F6*$H$7</f>
        <v>19254.6881789639</v>
      </c>
      <c r="J491" s="50" t="n">
        <f aca="false">I491*H491</f>
        <v>128899.440309175</v>
      </c>
    </row>
    <row r="492" customFormat="false" ht="15" hidden="false" customHeight="false" outlineLevel="0" collapsed="false">
      <c r="A492" s="46" t="n">
        <v>484</v>
      </c>
      <c r="B492" s="47" t="n">
        <f aca="false">(A492-1)*$C$6</f>
        <v>0.872598925217185</v>
      </c>
      <c r="C492" s="48" t="n">
        <f aca="false">$C$7*B492</f>
        <v>6.70833333333333</v>
      </c>
      <c r="D492" s="49" t="n">
        <f aca="false">0.5*c_rho*'P3 Energie'!E8*'P3 Energie'!E7*(C492-c_Vv)^2+'P3 Energie'!E13+'P3 Energie'!E15+'P3 Energie'!E6*$C$7</f>
        <v>18429.241611873</v>
      </c>
      <c r="E492" s="50" t="n">
        <f aca="false">D492*C492</f>
        <v>123629.495812981</v>
      </c>
      <c r="F492" s="46" t="n">
        <v>484</v>
      </c>
      <c r="G492" s="47" t="n">
        <f aca="false">(F492-1)*$H$6</f>
        <v>0.871975754873705</v>
      </c>
      <c r="H492" s="48" t="n">
        <f aca="false">$H$7*G492</f>
        <v>6.70833333333333</v>
      </c>
      <c r="I492" s="49" t="n">
        <f aca="false">0.5*c_rho*'P3 Energie'!F8*'P3 Energie'!F7*(H492-c_Vv)^2+'P3 Energie'!F13+'P3 Energie'!F15+'P3 Energie'!F6*$H$7</f>
        <v>19254.7527805762</v>
      </c>
      <c r="J492" s="50" t="n">
        <f aca="false">I492*H492</f>
        <v>129167.299903032</v>
      </c>
    </row>
    <row r="493" customFormat="false" ht="15" hidden="false" customHeight="false" outlineLevel="0" collapsed="false">
      <c r="A493" s="46" t="n">
        <v>485</v>
      </c>
      <c r="B493" s="47" t="n">
        <f aca="false">(A493-1)*$C$6</f>
        <v>0.874405548250761</v>
      </c>
      <c r="C493" s="48" t="n">
        <f aca="false">$C$7*B493</f>
        <v>6.72222222222222</v>
      </c>
      <c r="D493" s="49" t="n">
        <f aca="false">0.5*c_rho*'P3 Energie'!E8*'P3 Energie'!E7*(C493-c_Vv)^2+'P3 Energie'!E13+'P3 Energie'!E15+'P3 Energie'!E6*$C$7</f>
        <v>18429.3161213741</v>
      </c>
      <c r="E493" s="50" t="n">
        <f aca="false">D493*C493</f>
        <v>123885.958371459</v>
      </c>
      <c r="F493" s="46" t="n">
        <v>485</v>
      </c>
      <c r="G493" s="47" t="n">
        <f aca="false">(F493-1)*$H$6</f>
        <v>0.87378108769953</v>
      </c>
      <c r="H493" s="48" t="n">
        <f aca="false">$H$7*G493</f>
        <v>6.72222222222222</v>
      </c>
      <c r="I493" s="49" t="n">
        <f aca="false">0.5*c_rho*'P3 Energie'!F8*'P3 Energie'!F7*(H493-c_Vv)^2+'P3 Energie'!F13+'P3 Energie'!F15+'P3 Energie'!F6*$H$7</f>
        <v>19254.8175160778</v>
      </c>
      <c r="J493" s="50" t="n">
        <f aca="false">I493*H493</f>
        <v>129435.162191412</v>
      </c>
    </row>
    <row r="494" customFormat="false" ht="15" hidden="false" customHeight="false" outlineLevel="0" collapsed="false">
      <c r="A494" s="46" t="n">
        <v>486</v>
      </c>
      <c r="B494" s="47" t="n">
        <f aca="false">(A494-1)*$C$6</f>
        <v>0.876212171284337</v>
      </c>
      <c r="C494" s="48" t="n">
        <f aca="false">$C$7*B494</f>
        <v>6.73611111111111</v>
      </c>
      <c r="D494" s="49" t="n">
        <f aca="false">0.5*c_rho*'P3 Energie'!E8*'P3 Energie'!E7*(C494-c_Vv)^2+'P3 Energie'!E13+'P3 Energie'!E15+'P3 Energie'!E6*$C$7</f>
        <v>18429.3907849797</v>
      </c>
      <c r="E494" s="50" t="n">
        <f aca="false">D494*C494</f>
        <v>124142.42403771</v>
      </c>
      <c r="F494" s="46" t="n">
        <v>486</v>
      </c>
      <c r="G494" s="47" t="n">
        <f aca="false">(F494-1)*$H$6</f>
        <v>0.875586420525356</v>
      </c>
      <c r="H494" s="48" t="n">
        <f aca="false">$H$7*G494</f>
        <v>6.73611111111111</v>
      </c>
      <c r="I494" s="49" t="n">
        <f aca="false">0.5*c_rho*'P3 Energie'!F8*'P3 Energie'!F7*(H494-c_Vv)^2+'P3 Energie'!F13+'P3 Energie'!F15+'P3 Energie'!F6*$H$7</f>
        <v>19254.8823854688</v>
      </c>
      <c r="J494" s="50" t="n">
        <f aca="false">I494*H494</f>
        <v>129703.027179894</v>
      </c>
    </row>
    <row r="495" customFormat="false" ht="15" hidden="false" customHeight="false" outlineLevel="0" collapsed="false">
      <c r="A495" s="46" t="n">
        <v>487</v>
      </c>
      <c r="B495" s="47" t="n">
        <f aca="false">(A495-1)*$C$6</f>
        <v>0.878018794317913</v>
      </c>
      <c r="C495" s="48" t="n">
        <f aca="false">$C$7*B495</f>
        <v>6.75</v>
      </c>
      <c r="D495" s="49" t="n">
        <f aca="false">0.5*c_rho*'P3 Energie'!E8*'P3 Energie'!E7*(C495-c_Vv)^2+'P3 Energie'!E13+'P3 Energie'!E15+'P3 Energie'!E6*$C$7</f>
        <v>18429.4656026897</v>
      </c>
      <c r="E495" s="50" t="n">
        <f aca="false">D495*C495</f>
        <v>124398.892818156</v>
      </c>
      <c r="F495" s="46" t="n">
        <v>487</v>
      </c>
      <c r="G495" s="47" t="n">
        <f aca="false">(F495-1)*$H$6</f>
        <v>0.877391753351181</v>
      </c>
      <c r="H495" s="48" t="n">
        <f aca="false">$H$7*G495</f>
        <v>6.75</v>
      </c>
      <c r="I495" s="49" t="n">
        <f aca="false">0.5*c_rho*'P3 Energie'!F8*'P3 Energie'!F7*(H495-c_Vv)^2+'P3 Energie'!F13+'P3 Energie'!F15+'P3 Energie'!F6*$H$7</f>
        <v>19254.9473887491</v>
      </c>
      <c r="J495" s="50" t="n">
        <f aca="false">I495*H495</f>
        <v>129970.894874056</v>
      </c>
    </row>
    <row r="496" customFormat="false" ht="15" hidden="false" customHeight="false" outlineLevel="0" collapsed="false">
      <c r="A496" s="46" t="n">
        <v>488</v>
      </c>
      <c r="B496" s="47" t="n">
        <f aca="false">(A496-1)*$C$6</f>
        <v>0.879825417351489</v>
      </c>
      <c r="C496" s="48" t="n">
        <f aca="false">$C$7*B496</f>
        <v>6.76388888888889</v>
      </c>
      <c r="D496" s="49" t="n">
        <f aca="false">0.5*c_rho*'P3 Energie'!E8*'P3 Energie'!E7*(C496-c_Vv)^2+'P3 Energie'!E13+'P3 Energie'!E15+'P3 Energie'!E6*$C$7</f>
        <v>18429.5405745042</v>
      </c>
      <c r="E496" s="50" t="n">
        <f aca="false">D496*C496</f>
        <v>124655.364719216</v>
      </c>
      <c r="F496" s="46" t="n">
        <v>488</v>
      </c>
      <c r="G496" s="47" t="n">
        <f aca="false">(F496-1)*$H$6</f>
        <v>0.879197086177007</v>
      </c>
      <c r="H496" s="48" t="n">
        <f aca="false">$H$7*G496</f>
        <v>6.76388888888889</v>
      </c>
      <c r="I496" s="49" t="n">
        <f aca="false">0.5*c_rho*'P3 Energie'!F8*'P3 Energie'!F7*(H496-c_Vv)^2+'P3 Energie'!F13+'P3 Energie'!F15+'P3 Energie'!F6*$H$7</f>
        <v>19255.0125259188</v>
      </c>
      <c r="J496" s="50" t="n">
        <f aca="false">I496*H496</f>
        <v>130238.765279478</v>
      </c>
    </row>
    <row r="497" customFormat="false" ht="15" hidden="false" customHeight="false" outlineLevel="0" collapsed="false">
      <c r="A497" s="46" t="n">
        <v>489</v>
      </c>
      <c r="B497" s="47" t="n">
        <f aca="false">(A497-1)*$C$6</f>
        <v>0.881632040385065</v>
      </c>
      <c r="C497" s="48" t="n">
        <f aca="false">$C$7*B497</f>
        <v>6.77777777777778</v>
      </c>
      <c r="D497" s="49" t="n">
        <f aca="false">0.5*c_rho*'P3 Energie'!E8*'P3 Energie'!E7*(C497-c_Vv)^2+'P3 Energie'!E13+'P3 Energie'!E15+'P3 Energie'!E6*$C$7</f>
        <v>18429.6157004231</v>
      </c>
      <c r="E497" s="50" t="n">
        <f aca="false">D497*C497</f>
        <v>124911.839747312</v>
      </c>
      <c r="F497" s="46" t="n">
        <v>489</v>
      </c>
      <c r="G497" s="47" t="n">
        <f aca="false">(F497-1)*$H$6</f>
        <v>0.881002419002832</v>
      </c>
      <c r="H497" s="48" t="n">
        <f aca="false">$H$7*G497</f>
        <v>6.77777777777778</v>
      </c>
      <c r="I497" s="49" t="n">
        <f aca="false">0.5*c_rho*'P3 Energie'!F8*'P3 Energie'!F7*(H497-c_Vv)^2+'P3 Energie'!F13+'P3 Energie'!F15+'P3 Energie'!F6*$H$7</f>
        <v>19255.0777969778</v>
      </c>
      <c r="J497" s="50" t="n">
        <f aca="false">I497*H497</f>
        <v>130506.638401738</v>
      </c>
    </row>
    <row r="498" customFormat="false" ht="15" hidden="false" customHeight="false" outlineLevel="0" collapsed="false">
      <c r="A498" s="46" t="n">
        <v>490</v>
      </c>
      <c r="B498" s="47" t="n">
        <f aca="false">(A498-1)*$C$6</f>
        <v>0.883438663418641</v>
      </c>
      <c r="C498" s="48" t="n">
        <f aca="false">$C$7*B498</f>
        <v>6.79166666666667</v>
      </c>
      <c r="D498" s="49" t="n">
        <f aca="false">0.5*c_rho*'P3 Energie'!E8*'P3 Energie'!E7*(C498-c_Vv)^2+'P3 Energie'!E13+'P3 Energie'!E15+'P3 Energie'!E6*$C$7</f>
        <v>18429.6909804465</v>
      </c>
      <c r="E498" s="50" t="n">
        <f aca="false">D498*C498</f>
        <v>125168.317908866</v>
      </c>
      <c r="F498" s="46" t="n">
        <v>490</v>
      </c>
      <c r="G498" s="47" t="n">
        <f aca="false">(F498-1)*$H$6</f>
        <v>0.882807751828658</v>
      </c>
      <c r="H498" s="48" t="n">
        <f aca="false">$H$7*G498</f>
        <v>6.79166666666667</v>
      </c>
      <c r="I498" s="49" t="n">
        <f aca="false">0.5*c_rho*'P3 Energie'!F8*'P3 Energie'!F7*(H498-c_Vv)^2+'P3 Energie'!F13+'P3 Energie'!F15+'P3 Energie'!F6*$H$7</f>
        <v>19255.1432019262</v>
      </c>
      <c r="J498" s="50" t="n">
        <f aca="false">I498*H498</f>
        <v>130774.514246415</v>
      </c>
    </row>
    <row r="499" customFormat="false" ht="15" hidden="false" customHeight="false" outlineLevel="0" collapsed="false">
      <c r="A499" s="46" t="n">
        <v>491</v>
      </c>
      <c r="B499" s="47" t="n">
        <f aca="false">(A499-1)*$C$6</f>
        <v>0.885245286452217</v>
      </c>
      <c r="C499" s="48" t="n">
        <f aca="false">$C$7*B499</f>
        <v>6.80555555555556</v>
      </c>
      <c r="D499" s="49" t="n">
        <f aca="false">0.5*c_rho*'P3 Energie'!E8*'P3 Energie'!E7*(C499-c_Vv)^2+'P3 Energie'!E13+'P3 Energie'!E15+'P3 Energie'!E6*$C$7</f>
        <v>18429.7664145743</v>
      </c>
      <c r="E499" s="50" t="n">
        <f aca="false">D499*C499</f>
        <v>125424.799210297</v>
      </c>
      <c r="F499" s="46" t="n">
        <v>491</v>
      </c>
      <c r="G499" s="47" t="n">
        <f aca="false">(F499-1)*$H$6</f>
        <v>0.884613084654483</v>
      </c>
      <c r="H499" s="48" t="n">
        <f aca="false">$H$7*G499</f>
        <v>6.80555555555556</v>
      </c>
      <c r="I499" s="49" t="n">
        <f aca="false">0.5*c_rho*'P3 Energie'!F8*'P3 Energie'!F7*(H499-c_Vv)^2+'P3 Energie'!F13+'P3 Energie'!F15+'P3 Energie'!F6*$H$7</f>
        <v>19255.2087407639</v>
      </c>
      <c r="J499" s="50" t="n">
        <f aca="false">I499*H499</f>
        <v>131042.392819088</v>
      </c>
    </row>
    <row r="500" customFormat="false" ht="15" hidden="false" customHeight="false" outlineLevel="0" collapsed="false">
      <c r="A500" s="46" t="n">
        <v>492</v>
      </c>
      <c r="B500" s="47" t="n">
        <f aca="false">(A500-1)*$C$6</f>
        <v>0.887051909485793</v>
      </c>
      <c r="C500" s="48" t="n">
        <f aca="false">$C$7*B500</f>
        <v>6.81944444444445</v>
      </c>
      <c r="D500" s="49" t="n">
        <f aca="false">0.5*c_rho*'P3 Energie'!E8*'P3 Energie'!E7*(C500-c_Vv)^2+'P3 Energie'!E13+'P3 Energie'!E15+'P3 Energie'!E6*$C$7</f>
        <v>18429.8420028066</v>
      </c>
      <c r="E500" s="50" t="n">
        <f aca="false">D500*C500</f>
        <v>125681.283658028</v>
      </c>
      <c r="F500" s="46" t="n">
        <v>492</v>
      </c>
      <c r="G500" s="47" t="n">
        <f aca="false">(F500-1)*$H$6</f>
        <v>0.886418417480309</v>
      </c>
      <c r="H500" s="48" t="n">
        <f aca="false">$H$7*G500</f>
        <v>6.81944444444445</v>
      </c>
      <c r="I500" s="49" t="n">
        <f aca="false">0.5*c_rho*'P3 Energie'!F8*'P3 Energie'!F7*(H500-c_Vv)^2+'P3 Energie'!F13+'P3 Energie'!F15+'P3 Energie'!F6*$H$7</f>
        <v>19255.274413491</v>
      </c>
      <c r="J500" s="50" t="n">
        <f aca="false">I500*H500</f>
        <v>131310.274125334</v>
      </c>
    </row>
    <row r="501" customFormat="false" ht="15" hidden="false" customHeight="false" outlineLevel="0" collapsed="false">
      <c r="A501" s="46" t="n">
        <v>493</v>
      </c>
      <c r="B501" s="47" t="n">
        <f aca="false">(A501-1)*$C$6</f>
        <v>0.888858532519369</v>
      </c>
      <c r="C501" s="48" t="n">
        <f aca="false">$C$7*B501</f>
        <v>6.83333333333333</v>
      </c>
      <c r="D501" s="49" t="n">
        <f aca="false">0.5*c_rho*'P3 Energie'!E8*'P3 Energie'!E7*(C501-c_Vv)^2+'P3 Energie'!E13+'P3 Energie'!E15+'P3 Energie'!E6*$C$7</f>
        <v>18429.9177451433</v>
      </c>
      <c r="E501" s="50" t="n">
        <f aca="false">D501*C501</f>
        <v>125937.771258479</v>
      </c>
      <c r="F501" s="46" t="n">
        <v>493</v>
      </c>
      <c r="G501" s="47" t="n">
        <f aca="false">(F501-1)*$H$6</f>
        <v>0.888223750306134</v>
      </c>
      <c r="H501" s="48" t="n">
        <f aca="false">$H$7*G501</f>
        <v>6.83333333333333</v>
      </c>
      <c r="I501" s="49" t="n">
        <f aca="false">0.5*c_rho*'P3 Energie'!F8*'P3 Energie'!F7*(H501-c_Vv)^2+'P3 Energie'!F13+'P3 Energie'!F15+'P3 Energie'!F6*$H$7</f>
        <v>19255.3402201074</v>
      </c>
      <c r="J501" s="50" t="n">
        <f aca="false">I501*H501</f>
        <v>131578.158170734</v>
      </c>
    </row>
    <row r="502" customFormat="false" ht="15" hidden="false" customHeight="false" outlineLevel="0" collapsed="false">
      <c r="A502" s="46" t="n">
        <v>494</v>
      </c>
      <c r="B502" s="47" t="n">
        <f aca="false">(A502-1)*$C$6</f>
        <v>0.890665155552945</v>
      </c>
      <c r="C502" s="48" t="n">
        <f aca="false">$C$7*B502</f>
        <v>6.84722222222222</v>
      </c>
      <c r="D502" s="49" t="n">
        <f aca="false">0.5*c_rho*'P3 Energie'!E8*'P3 Energie'!E7*(C502-c_Vv)^2+'P3 Energie'!E13+'P3 Energie'!E15+'P3 Energie'!E6*$C$7</f>
        <v>18429.9936415845</v>
      </c>
      <c r="E502" s="50" t="n">
        <f aca="false">D502*C502</f>
        <v>126194.262018071</v>
      </c>
      <c r="F502" s="46" t="n">
        <v>494</v>
      </c>
      <c r="G502" s="47" t="n">
        <f aca="false">(F502-1)*$H$6</f>
        <v>0.890029083131959</v>
      </c>
      <c r="H502" s="48" t="n">
        <f aca="false">$H$7*G502</f>
        <v>6.84722222222222</v>
      </c>
      <c r="I502" s="49" t="n">
        <f aca="false">0.5*c_rho*'P3 Energie'!F8*'P3 Energie'!F7*(H502-c_Vv)^2+'P3 Energie'!F13+'P3 Energie'!F15+'P3 Energie'!F6*$H$7</f>
        <v>19255.4061606132</v>
      </c>
      <c r="J502" s="50" t="n">
        <f aca="false">I502*H502</f>
        <v>131846.044960865</v>
      </c>
    </row>
    <row r="503" customFormat="false" ht="15" hidden="false" customHeight="false" outlineLevel="0" collapsed="false">
      <c r="A503" s="46" t="n">
        <v>495</v>
      </c>
      <c r="B503" s="47" t="n">
        <f aca="false">(A503-1)*$C$6</f>
        <v>0.892471778586521</v>
      </c>
      <c r="C503" s="48" t="n">
        <f aca="false">$C$7*B503</f>
        <v>6.86111111111111</v>
      </c>
      <c r="D503" s="49" t="n">
        <f aca="false">0.5*c_rho*'P3 Energie'!E8*'P3 Energie'!E7*(C503-c_Vv)^2+'P3 Energie'!E13+'P3 Energie'!E15+'P3 Energie'!E6*$C$7</f>
        <v>18430.0696921301</v>
      </c>
      <c r="E503" s="50" t="n">
        <f aca="false">D503*C503</f>
        <v>126450.755943226</v>
      </c>
      <c r="F503" s="46" t="n">
        <v>495</v>
      </c>
      <c r="G503" s="47" t="n">
        <f aca="false">(F503-1)*$H$6</f>
        <v>0.891834415957785</v>
      </c>
      <c r="H503" s="48" t="n">
        <f aca="false">$H$7*G503</f>
        <v>6.86111111111111</v>
      </c>
      <c r="I503" s="49" t="n">
        <f aca="false">0.5*c_rho*'P3 Energie'!F8*'P3 Energie'!F7*(H503-c_Vv)^2+'P3 Energie'!F13+'P3 Energie'!F15+'P3 Energie'!F6*$H$7</f>
        <v>19255.4722350083</v>
      </c>
      <c r="J503" s="50" t="n">
        <f aca="false">I503*H503</f>
        <v>132113.934501307</v>
      </c>
    </row>
    <row r="504" customFormat="false" ht="15" hidden="false" customHeight="false" outlineLevel="0" collapsed="false">
      <c r="A504" s="46" t="n">
        <v>496</v>
      </c>
      <c r="B504" s="47" t="n">
        <f aca="false">(A504-1)*$C$6</f>
        <v>0.894278401620097</v>
      </c>
      <c r="C504" s="48" t="n">
        <f aca="false">$C$7*B504</f>
        <v>6.875</v>
      </c>
      <c r="D504" s="49" t="n">
        <f aca="false">0.5*c_rho*'P3 Energie'!E8*'P3 Energie'!E7*(C504-c_Vv)^2+'P3 Energie'!E13+'P3 Energie'!E15+'P3 Energie'!E6*$C$7</f>
        <v>18430.1458967802</v>
      </c>
      <c r="E504" s="50" t="n">
        <f aca="false">D504*C504</f>
        <v>126707.253040364</v>
      </c>
      <c r="F504" s="46" t="n">
        <v>496</v>
      </c>
      <c r="G504" s="47" t="n">
        <f aca="false">(F504-1)*$H$6</f>
        <v>0.89363974878361</v>
      </c>
      <c r="H504" s="48" t="n">
        <f aca="false">$H$7*G504</f>
        <v>6.875</v>
      </c>
      <c r="I504" s="49" t="n">
        <f aca="false">0.5*c_rho*'P3 Energie'!F8*'P3 Energie'!F7*(H504-c_Vv)^2+'P3 Energie'!F13+'P3 Energie'!F15+'P3 Energie'!F6*$H$7</f>
        <v>19255.5384432928</v>
      </c>
      <c r="J504" s="50" t="n">
        <f aca="false">I504*H504</f>
        <v>132381.826797638</v>
      </c>
    </row>
    <row r="505" customFormat="false" ht="15" hidden="false" customHeight="false" outlineLevel="0" collapsed="false">
      <c r="A505" s="46" t="n">
        <v>497</v>
      </c>
      <c r="B505" s="47" t="n">
        <f aca="false">(A505-1)*$C$6</f>
        <v>0.896085024653673</v>
      </c>
      <c r="C505" s="48" t="n">
        <f aca="false">$C$7*B505</f>
        <v>6.88888888888889</v>
      </c>
      <c r="D505" s="49" t="n">
        <f aca="false">0.5*c_rho*'P3 Energie'!E8*'P3 Energie'!E7*(C505-c_Vv)^2+'P3 Energie'!E13+'P3 Energie'!E15+'P3 Energie'!E6*$C$7</f>
        <v>18430.2222555347</v>
      </c>
      <c r="E505" s="50" t="n">
        <f aca="false">D505*C505</f>
        <v>126963.753315906</v>
      </c>
      <c r="F505" s="46" t="n">
        <v>497</v>
      </c>
      <c r="G505" s="47" t="n">
        <f aca="false">(F505-1)*$H$6</f>
        <v>0.895445081609436</v>
      </c>
      <c r="H505" s="48" t="n">
        <f aca="false">$H$7*G505</f>
        <v>6.88888888888889</v>
      </c>
      <c r="I505" s="49" t="n">
        <f aca="false">0.5*c_rho*'P3 Energie'!F8*'P3 Energie'!F7*(H505-c_Vv)^2+'P3 Energie'!F13+'P3 Energie'!F15+'P3 Energie'!F6*$H$7</f>
        <v>19255.6047854667</v>
      </c>
      <c r="J505" s="50" t="n">
        <f aca="false">I505*H505</f>
        <v>132649.721855437</v>
      </c>
    </row>
    <row r="506" customFormat="false" ht="15" hidden="false" customHeight="false" outlineLevel="0" collapsed="false">
      <c r="A506" s="46" t="n">
        <v>498</v>
      </c>
      <c r="B506" s="47" t="n">
        <f aca="false">(A506-1)*$C$6</f>
        <v>0.897891647687249</v>
      </c>
      <c r="C506" s="48" t="n">
        <f aca="false">$C$7*B506</f>
        <v>6.90277777777778</v>
      </c>
      <c r="D506" s="49" t="n">
        <f aca="false">0.5*c_rho*'P3 Energie'!E8*'P3 Energie'!E7*(C506-c_Vv)^2+'P3 Energie'!E13+'P3 Energie'!E15+'P3 Energie'!E6*$C$7</f>
        <v>18430.2987683936</v>
      </c>
      <c r="E506" s="50" t="n">
        <f aca="false">D506*C506</f>
        <v>127220.256776273</v>
      </c>
      <c r="F506" s="46" t="n">
        <v>498</v>
      </c>
      <c r="G506" s="47" t="n">
        <f aca="false">(F506-1)*$H$6</f>
        <v>0.897250414435261</v>
      </c>
      <c r="H506" s="48" t="n">
        <f aca="false">$H$7*G506</f>
        <v>6.90277777777778</v>
      </c>
      <c r="I506" s="49" t="n">
        <f aca="false">0.5*c_rho*'P3 Energie'!F8*'P3 Energie'!F7*(H506-c_Vv)^2+'P3 Energie'!F13+'P3 Energie'!F15+'P3 Energie'!F6*$H$7</f>
        <v>19255.6712615299</v>
      </c>
      <c r="J506" s="50" t="n">
        <f aca="false">I506*H506</f>
        <v>132917.619680283</v>
      </c>
    </row>
    <row r="507" customFormat="false" ht="15" hidden="false" customHeight="false" outlineLevel="0" collapsed="false">
      <c r="A507" s="46" t="n">
        <v>499</v>
      </c>
      <c r="B507" s="47" t="n">
        <f aca="false">(A507-1)*$C$6</f>
        <v>0.899698270720825</v>
      </c>
      <c r="C507" s="48" t="n">
        <f aca="false">$C$7*B507</f>
        <v>6.91666666666667</v>
      </c>
      <c r="D507" s="49" t="n">
        <f aca="false">0.5*c_rho*'P3 Energie'!E8*'P3 Energie'!E7*(C507-c_Vv)^2+'P3 Energie'!E13+'P3 Energie'!E15+'P3 Energie'!E6*$C$7</f>
        <v>18430.3754353571</v>
      </c>
      <c r="E507" s="50" t="n">
        <f aca="false">D507*C507</f>
        <v>127476.763427886</v>
      </c>
      <c r="F507" s="46" t="n">
        <v>499</v>
      </c>
      <c r="G507" s="47" t="n">
        <f aca="false">(F507-1)*$H$6</f>
        <v>0.899055747261087</v>
      </c>
      <c r="H507" s="48" t="n">
        <f aca="false">$H$7*G507</f>
        <v>6.91666666666667</v>
      </c>
      <c r="I507" s="49" t="n">
        <f aca="false">0.5*c_rho*'P3 Energie'!F8*'P3 Energie'!F7*(H507-c_Vv)^2+'P3 Energie'!F13+'P3 Energie'!F15+'P3 Energie'!F6*$H$7</f>
        <v>19255.7378714824</v>
      </c>
      <c r="J507" s="50" t="n">
        <f aca="false">I507*H507</f>
        <v>133185.520277753</v>
      </c>
    </row>
    <row r="508" customFormat="false" ht="15" hidden="false" customHeight="false" outlineLevel="0" collapsed="false">
      <c r="A508" s="46" t="n">
        <v>500</v>
      </c>
      <c r="B508" s="47" t="n">
        <f aca="false">(A508-1)*$C$6</f>
        <v>0.901504893754401</v>
      </c>
      <c r="C508" s="48" t="n">
        <f aca="false">$C$7*B508</f>
        <v>6.93055555555556</v>
      </c>
      <c r="D508" s="49" t="n">
        <f aca="false">0.5*c_rho*'P3 Energie'!E8*'P3 Energie'!E7*(C508-c_Vv)^2+'P3 Energie'!E13+'P3 Energie'!E15+'P3 Energie'!E6*$C$7</f>
        <v>18430.4522564249</v>
      </c>
      <c r="E508" s="50" t="n">
        <f aca="false">D508*C508</f>
        <v>127733.273277167</v>
      </c>
      <c r="F508" s="46" t="n">
        <v>500</v>
      </c>
      <c r="G508" s="47" t="n">
        <f aca="false">(F508-1)*$H$6</f>
        <v>0.900861080086912</v>
      </c>
      <c r="H508" s="48" t="n">
        <f aca="false">$H$7*G508</f>
        <v>6.93055555555556</v>
      </c>
      <c r="I508" s="49" t="n">
        <f aca="false">0.5*c_rho*'P3 Energie'!F8*'P3 Energie'!F7*(H508-c_Vv)^2+'P3 Energie'!F13+'P3 Energie'!F15+'P3 Energie'!F6*$H$7</f>
        <v>19255.8046153243</v>
      </c>
      <c r="J508" s="50" t="n">
        <f aca="false">I508*H508</f>
        <v>133453.423653428</v>
      </c>
    </row>
    <row r="509" customFormat="false" ht="15" hidden="false" customHeight="false" outlineLevel="0" collapsed="false">
      <c r="A509" s="46" t="n">
        <v>501</v>
      </c>
      <c r="B509" s="47" t="n">
        <f aca="false">(A509-1)*$C$6</f>
        <v>0.903311516787977</v>
      </c>
      <c r="C509" s="48" t="n">
        <f aca="false">$C$7*B509</f>
        <v>6.94444444444445</v>
      </c>
      <c r="D509" s="49" t="n">
        <f aca="false">0.5*c_rho*'P3 Energie'!E8*'P3 Energie'!E7*(C509-c_Vv)^2+'P3 Energie'!E13+'P3 Energie'!E15+'P3 Energie'!E6*$C$7</f>
        <v>18430.5292315972</v>
      </c>
      <c r="E509" s="50" t="n">
        <f aca="false">D509*C509</f>
        <v>127989.786330536</v>
      </c>
      <c r="F509" s="46" t="n">
        <v>501</v>
      </c>
      <c r="G509" s="47" t="n">
        <f aca="false">(F509-1)*$H$6</f>
        <v>0.902666412912738</v>
      </c>
      <c r="H509" s="48" t="n">
        <f aca="false">$H$7*G509</f>
        <v>6.94444444444445</v>
      </c>
      <c r="I509" s="49" t="n">
        <f aca="false">0.5*c_rho*'P3 Energie'!F8*'P3 Energie'!F7*(H509-c_Vv)^2+'P3 Energie'!F13+'P3 Energie'!F15+'P3 Energie'!F6*$H$7</f>
        <v>19255.8714930556</v>
      </c>
      <c r="J509" s="50" t="n">
        <f aca="false">I509*H509</f>
        <v>133721.329812886</v>
      </c>
    </row>
    <row r="510" customFormat="false" ht="15" hidden="false" customHeight="false" outlineLevel="0" collapsed="false">
      <c r="A510" s="46" t="n">
        <v>502</v>
      </c>
      <c r="B510" s="47" t="n">
        <f aca="false">(A510-1)*$C$6</f>
        <v>0.905118139821553</v>
      </c>
      <c r="C510" s="48" t="n">
        <f aca="false">$C$7*B510</f>
        <v>6.95833333333333</v>
      </c>
      <c r="D510" s="49" t="n">
        <f aca="false">0.5*c_rho*'P3 Energie'!E8*'P3 Energie'!E7*(C510-c_Vv)^2+'P3 Energie'!E13+'P3 Energie'!E15+'P3 Energie'!E6*$C$7</f>
        <v>18430.606360874</v>
      </c>
      <c r="E510" s="50" t="n">
        <f aca="false">D510*C510</f>
        <v>128246.302594415</v>
      </c>
      <c r="F510" s="46" t="n">
        <v>502</v>
      </c>
      <c r="G510" s="47" t="n">
        <f aca="false">(F510-1)*$H$6</f>
        <v>0.904471745738563</v>
      </c>
      <c r="H510" s="48" t="n">
        <f aca="false">$H$7*G510</f>
        <v>6.95833333333333</v>
      </c>
      <c r="I510" s="49" t="n">
        <f aca="false">0.5*c_rho*'P3 Energie'!F8*'P3 Energie'!F7*(H510-c_Vv)^2+'P3 Energie'!F13+'P3 Energie'!F15+'P3 Energie'!F6*$H$7</f>
        <v>19255.9385046762</v>
      </c>
      <c r="J510" s="50" t="n">
        <f aca="false">I510*H510</f>
        <v>133989.238761705</v>
      </c>
    </row>
    <row r="511" customFormat="false" ht="15" hidden="false" customHeight="false" outlineLevel="0" collapsed="false">
      <c r="A511" s="46" t="n">
        <v>503</v>
      </c>
      <c r="B511" s="47" t="n">
        <f aca="false">(A511-1)*$C$6</f>
        <v>0.906924762855129</v>
      </c>
      <c r="C511" s="48" t="n">
        <f aca="false">$C$7*B511</f>
        <v>6.97222222222222</v>
      </c>
      <c r="D511" s="49" t="n">
        <f aca="false">0.5*c_rho*'P3 Energie'!E8*'P3 Energie'!E7*(C511-c_Vv)^2+'P3 Energie'!E13+'P3 Energie'!E15+'P3 Energie'!E6*$C$7</f>
        <v>18430.6836442552</v>
      </c>
      <c r="E511" s="50" t="n">
        <f aca="false">D511*C511</f>
        <v>128502.822075224</v>
      </c>
      <c r="F511" s="46" t="n">
        <v>503</v>
      </c>
      <c r="G511" s="47" t="n">
        <f aca="false">(F511-1)*$H$6</f>
        <v>0.906277078564389</v>
      </c>
      <c r="H511" s="48" t="n">
        <f aca="false">$H$7*G511</f>
        <v>6.97222222222222</v>
      </c>
      <c r="I511" s="49" t="n">
        <f aca="false">0.5*c_rho*'P3 Energie'!F8*'P3 Energie'!F7*(H511-c_Vv)^2+'P3 Energie'!F13+'P3 Energie'!F15+'P3 Energie'!F6*$H$7</f>
        <v>19256.0056501861</v>
      </c>
      <c r="J511" s="50" t="n">
        <f aca="false">I511*H511</f>
        <v>134257.150505464</v>
      </c>
    </row>
    <row r="512" customFormat="false" ht="15" hidden="false" customHeight="false" outlineLevel="0" collapsed="false">
      <c r="A512" s="46" t="n">
        <v>504</v>
      </c>
      <c r="B512" s="47" t="n">
        <f aca="false">(A512-1)*$C$6</f>
        <v>0.908731385888705</v>
      </c>
      <c r="C512" s="48" t="n">
        <f aca="false">$C$7*B512</f>
        <v>6.98611111111111</v>
      </c>
      <c r="D512" s="49" t="n">
        <f aca="false">0.5*c_rho*'P3 Energie'!E8*'P3 Energie'!E7*(C512-c_Vv)^2+'P3 Energie'!E13+'P3 Energie'!E15+'P3 Energie'!E6*$C$7</f>
        <v>18430.7610817409</v>
      </c>
      <c r="E512" s="50" t="n">
        <f aca="false">D512*C512</f>
        <v>128759.344779384</v>
      </c>
      <c r="F512" s="46" t="n">
        <v>504</v>
      </c>
      <c r="G512" s="47" t="n">
        <f aca="false">(F512-1)*$H$6</f>
        <v>0.908082411390214</v>
      </c>
      <c r="H512" s="48" t="n">
        <f aca="false">$H$7*G512</f>
        <v>6.98611111111111</v>
      </c>
      <c r="I512" s="49" t="n">
        <f aca="false">0.5*c_rho*'P3 Energie'!F8*'P3 Energie'!F7*(H512-c_Vv)^2+'P3 Energie'!F13+'P3 Energie'!F15+'P3 Energie'!F6*$H$7</f>
        <v>19256.0729295854</v>
      </c>
      <c r="J512" s="50" t="n">
        <f aca="false">I512*H512</f>
        <v>134525.065049743</v>
      </c>
    </row>
    <row r="513" customFormat="false" ht="15" hidden="false" customHeight="false" outlineLevel="0" collapsed="false">
      <c r="A513" s="46" t="n">
        <v>505</v>
      </c>
      <c r="B513" s="47" t="n">
        <f aca="false">(A513-1)*$C$6</f>
        <v>0.91053800892228</v>
      </c>
      <c r="C513" s="48" t="n">
        <f aca="false">$C$7*B513</f>
        <v>7</v>
      </c>
      <c r="D513" s="49" t="n">
        <f aca="false">0.5*c_rho*'P3 Energie'!E8*'P3 Energie'!E7*(C513-c_Vv)^2+'P3 Energie'!E13+'P3 Energie'!E15+'P3 Energie'!E6*$C$7</f>
        <v>18430.838673331</v>
      </c>
      <c r="E513" s="50" t="n">
        <f aca="false">D513*C513</f>
        <v>129015.870713317</v>
      </c>
      <c r="F513" s="46" t="n">
        <v>505</v>
      </c>
      <c r="G513" s="47" t="n">
        <f aca="false">(F513-1)*$H$6</f>
        <v>0.90988774421604</v>
      </c>
      <c r="H513" s="48" t="n">
        <f aca="false">$H$7*G513</f>
        <v>7</v>
      </c>
      <c r="I513" s="49" t="n">
        <f aca="false">0.5*c_rho*'P3 Energie'!F8*'P3 Energie'!F7*(H513-c_Vv)^2+'P3 Energie'!F13+'P3 Energie'!F15+'P3 Energie'!F6*$H$7</f>
        <v>19256.1403428741</v>
      </c>
      <c r="J513" s="50" t="n">
        <f aca="false">I513*H513</f>
        <v>134792.982400119</v>
      </c>
    </row>
    <row r="514" customFormat="false" ht="15" hidden="false" customHeight="false" outlineLevel="0" collapsed="false">
      <c r="A514" s="46" t="n">
        <v>506</v>
      </c>
      <c r="B514" s="47" t="n">
        <f aca="false">(A514-1)*$C$6</f>
        <v>0.912344631955856</v>
      </c>
      <c r="C514" s="48" t="n">
        <f aca="false">$C$7*B514</f>
        <v>7.01388888888889</v>
      </c>
      <c r="D514" s="49" t="n">
        <f aca="false">0.5*c_rho*'P3 Energie'!E8*'P3 Energie'!E7*(C514-c_Vv)^2+'P3 Energie'!E13+'P3 Energie'!E15+'P3 Energie'!E6*$C$7</f>
        <v>18430.9164190255</v>
      </c>
      <c r="E514" s="50" t="n">
        <f aca="false">D514*C514</f>
        <v>129272.399883443</v>
      </c>
      <c r="F514" s="46" t="n">
        <v>506</v>
      </c>
      <c r="G514" s="47" t="n">
        <f aca="false">(F514-1)*$H$6</f>
        <v>0.911693077041865</v>
      </c>
      <c r="H514" s="48" t="n">
        <f aca="false">$H$7*G514</f>
        <v>7.01388888888889</v>
      </c>
      <c r="I514" s="49" t="n">
        <f aca="false">0.5*c_rho*'P3 Energie'!F8*'P3 Energie'!F7*(H514-c_Vv)^2+'P3 Energie'!F13+'P3 Energie'!F15+'P3 Energie'!F6*$H$7</f>
        <v>19256.2078900521</v>
      </c>
      <c r="J514" s="50" t="n">
        <f aca="false">I514*H514</f>
        <v>135060.902562171</v>
      </c>
    </row>
    <row r="515" customFormat="false" ht="15" hidden="false" customHeight="false" outlineLevel="0" collapsed="false">
      <c r="A515" s="46" t="n">
        <v>507</v>
      </c>
      <c r="B515" s="47" t="n">
        <f aca="false">(A515-1)*$C$6</f>
        <v>0.914151254989432</v>
      </c>
      <c r="C515" s="48" t="n">
        <f aca="false">$C$7*B515</f>
        <v>7.02777777777778</v>
      </c>
      <c r="D515" s="49" t="n">
        <f aca="false">0.5*c_rho*'P3 Energie'!E8*'P3 Energie'!E7*(C515-c_Vv)^2+'P3 Energie'!E13+'P3 Energie'!E15+'P3 Energie'!E6*$C$7</f>
        <v>18430.9943188245</v>
      </c>
      <c r="E515" s="50" t="n">
        <f aca="false">D515*C515</f>
        <v>129528.932296184</v>
      </c>
      <c r="F515" s="46" t="n">
        <v>507</v>
      </c>
      <c r="G515" s="47" t="n">
        <f aca="false">(F515-1)*$H$6</f>
        <v>0.913498409867691</v>
      </c>
      <c r="H515" s="48" t="n">
        <f aca="false">$H$7*G515</f>
        <v>7.02777777777778</v>
      </c>
      <c r="I515" s="49" t="n">
        <f aca="false">0.5*c_rho*'P3 Energie'!F8*'P3 Energie'!F7*(H515-c_Vv)^2+'P3 Energie'!F13+'P3 Energie'!F15+'P3 Energie'!F6*$H$7</f>
        <v>19256.2755711194</v>
      </c>
      <c r="J515" s="50" t="n">
        <f aca="false">I515*H515</f>
        <v>135328.825541478</v>
      </c>
    </row>
    <row r="516" customFormat="false" ht="15" hidden="false" customHeight="false" outlineLevel="0" collapsed="false">
      <c r="A516" s="46" t="n">
        <v>508</v>
      </c>
      <c r="B516" s="47" t="n">
        <f aca="false">(A516-1)*$C$6</f>
        <v>0.915957878023008</v>
      </c>
      <c r="C516" s="48" t="n">
        <f aca="false">$C$7*B516</f>
        <v>7.04166666666667</v>
      </c>
      <c r="D516" s="49" t="n">
        <f aca="false">0.5*c_rho*'P3 Energie'!E8*'P3 Energie'!E7*(C516-c_Vv)^2+'P3 Energie'!E13+'P3 Energie'!E15+'P3 Energie'!E6*$C$7</f>
        <v>18431.072372728</v>
      </c>
      <c r="E516" s="50" t="n">
        <f aca="false">D516*C516</f>
        <v>129785.46795796</v>
      </c>
      <c r="F516" s="46" t="n">
        <v>508</v>
      </c>
      <c r="G516" s="47" t="n">
        <f aca="false">(F516-1)*$H$6</f>
        <v>0.915303742693516</v>
      </c>
      <c r="H516" s="48" t="n">
        <f aca="false">$H$7*G516</f>
        <v>7.04166666666667</v>
      </c>
      <c r="I516" s="49" t="n">
        <f aca="false">0.5*c_rho*'P3 Energie'!F8*'P3 Energie'!F7*(H516-c_Vv)^2+'P3 Energie'!F13+'P3 Energie'!F15+'P3 Energie'!F6*$H$7</f>
        <v>19256.3433860762</v>
      </c>
      <c r="J516" s="50" t="n">
        <f aca="false">I516*H516</f>
        <v>135596.75134362</v>
      </c>
    </row>
    <row r="517" customFormat="false" ht="15" hidden="false" customHeight="false" outlineLevel="0" collapsed="false">
      <c r="A517" s="46" t="n">
        <v>509</v>
      </c>
      <c r="B517" s="47" t="n">
        <f aca="false">(A517-1)*$C$6</f>
        <v>0.917764501056584</v>
      </c>
      <c r="C517" s="48" t="n">
        <f aca="false">$C$7*B517</f>
        <v>7.05555555555556</v>
      </c>
      <c r="D517" s="49" t="n">
        <f aca="false">0.5*c_rho*'P3 Energie'!E8*'P3 Energie'!E7*(C517-c_Vv)^2+'P3 Energie'!E13+'P3 Energie'!E15+'P3 Energie'!E6*$C$7</f>
        <v>18431.1505807359</v>
      </c>
      <c r="E517" s="50" t="n">
        <f aca="false">D517*C517</f>
        <v>130042.006875192</v>
      </c>
      <c r="F517" s="46" t="n">
        <v>509</v>
      </c>
      <c r="G517" s="47" t="n">
        <f aca="false">(F517-1)*$H$6</f>
        <v>0.917109075519342</v>
      </c>
      <c r="H517" s="48" t="n">
        <f aca="false">$H$7*G517</f>
        <v>7.05555555555556</v>
      </c>
      <c r="I517" s="49" t="n">
        <f aca="false">0.5*c_rho*'P3 Energie'!F8*'P3 Energie'!F7*(H517-c_Vv)^2+'P3 Energie'!F13+'P3 Energie'!F15+'P3 Energie'!F6*$H$7</f>
        <v>19256.4113349222</v>
      </c>
      <c r="J517" s="50" t="n">
        <f aca="false">I517*H517</f>
        <v>135864.679974173</v>
      </c>
    </row>
    <row r="518" customFormat="false" ht="15" hidden="false" customHeight="false" outlineLevel="0" collapsed="false">
      <c r="A518" s="46" t="n">
        <v>510</v>
      </c>
      <c r="B518" s="47" t="n">
        <f aca="false">(A518-1)*$C$6</f>
        <v>0.91957112409016</v>
      </c>
      <c r="C518" s="48" t="n">
        <f aca="false">$C$7*B518</f>
        <v>7.06944444444444</v>
      </c>
      <c r="D518" s="49" t="n">
        <f aca="false">0.5*c_rho*'P3 Energie'!E8*'P3 Energie'!E7*(C518-c_Vv)^2+'P3 Energie'!E13+'P3 Energie'!E15+'P3 Energie'!E6*$C$7</f>
        <v>18431.2289428482</v>
      </c>
      <c r="E518" s="50" t="n">
        <f aca="false">D518*C518</f>
        <v>130298.549054302</v>
      </c>
      <c r="F518" s="46" t="n">
        <v>510</v>
      </c>
      <c r="G518" s="47" t="n">
        <f aca="false">(F518-1)*$H$6</f>
        <v>0.918914408345167</v>
      </c>
      <c r="H518" s="48" t="n">
        <f aca="false">$H$7*G518</f>
        <v>7.06944444444445</v>
      </c>
      <c r="I518" s="49" t="n">
        <f aca="false">0.5*c_rho*'P3 Energie'!F8*'P3 Energie'!F7*(H518-c_Vv)^2+'P3 Energie'!F13+'P3 Energie'!F15+'P3 Energie'!F6*$H$7</f>
        <v>19256.4794176576</v>
      </c>
      <c r="J518" s="50" t="n">
        <f aca="false">I518*H518</f>
        <v>136132.611438719</v>
      </c>
    </row>
    <row r="519" customFormat="false" ht="15" hidden="false" customHeight="false" outlineLevel="0" collapsed="false">
      <c r="A519" s="46" t="n">
        <v>511</v>
      </c>
      <c r="B519" s="47" t="n">
        <f aca="false">(A519-1)*$C$6</f>
        <v>0.921377747123736</v>
      </c>
      <c r="C519" s="48" t="n">
        <f aca="false">$C$7*B519</f>
        <v>7.08333333333333</v>
      </c>
      <c r="D519" s="49" t="n">
        <f aca="false">0.5*c_rho*'P3 Energie'!E8*'P3 Energie'!E7*(C519-c_Vv)^2+'P3 Energie'!E13+'P3 Energie'!E15+'P3 Energie'!E6*$C$7</f>
        <v>18431.3074590651</v>
      </c>
      <c r="E519" s="50" t="n">
        <f aca="false">D519*C519</f>
        <v>130555.094501711</v>
      </c>
      <c r="F519" s="46" t="n">
        <v>511</v>
      </c>
      <c r="G519" s="47" t="n">
        <f aca="false">(F519-1)*$H$6</f>
        <v>0.920719741170993</v>
      </c>
      <c r="H519" s="48" t="n">
        <f aca="false">$H$7*G519</f>
        <v>7.08333333333333</v>
      </c>
      <c r="I519" s="49" t="n">
        <f aca="false">0.5*c_rho*'P3 Energie'!F8*'P3 Energie'!F7*(H519-c_Vv)^2+'P3 Energie'!F13+'P3 Energie'!F15+'P3 Energie'!F6*$H$7</f>
        <v>19256.5476342824</v>
      </c>
      <c r="J519" s="50" t="n">
        <f aca="false">I519*H519</f>
        <v>136400.545742834</v>
      </c>
    </row>
    <row r="520" customFormat="false" ht="15" hidden="false" customHeight="false" outlineLevel="0" collapsed="false">
      <c r="A520" s="46" t="n">
        <v>512</v>
      </c>
      <c r="B520" s="47" t="n">
        <f aca="false">(A520-1)*$C$6</f>
        <v>0.923184370157312</v>
      </c>
      <c r="C520" s="48" t="n">
        <f aca="false">$C$7*B520</f>
        <v>7.09722222222222</v>
      </c>
      <c r="D520" s="49" t="n">
        <f aca="false">0.5*c_rho*'P3 Energie'!E8*'P3 Energie'!E7*(C520-c_Vv)^2+'P3 Energie'!E13+'P3 Energie'!E15+'P3 Energie'!E6*$C$7</f>
        <v>18431.3861293863</v>
      </c>
      <c r="E520" s="50" t="n">
        <f aca="false">D520*C520</f>
        <v>130811.643223839</v>
      </c>
      <c r="F520" s="46" t="n">
        <v>512</v>
      </c>
      <c r="G520" s="47" t="n">
        <f aca="false">(F520-1)*$H$6</f>
        <v>0.922525073996818</v>
      </c>
      <c r="H520" s="48" t="n">
        <f aca="false">$H$7*G520</f>
        <v>7.09722222222222</v>
      </c>
      <c r="I520" s="49" t="n">
        <f aca="false">0.5*c_rho*'P3 Energie'!F8*'P3 Energie'!F7*(H520-c_Vv)^2+'P3 Energie'!F13+'P3 Energie'!F15+'P3 Energie'!F6*$H$7</f>
        <v>19256.6159847965</v>
      </c>
      <c r="J520" s="50" t="n">
        <f aca="false">I520*H520</f>
        <v>136668.482892098</v>
      </c>
    </row>
    <row r="521" customFormat="false" ht="15" hidden="false" customHeight="false" outlineLevel="0" collapsed="false">
      <c r="A521" s="46" t="n">
        <v>513</v>
      </c>
      <c r="B521" s="47" t="n">
        <f aca="false">(A521-1)*$C$6</f>
        <v>0.924990993190888</v>
      </c>
      <c r="C521" s="48" t="n">
        <f aca="false">$C$7*B521</f>
        <v>7.11111111111111</v>
      </c>
      <c r="D521" s="49" t="n">
        <f aca="false">0.5*c_rho*'P3 Energie'!E8*'P3 Energie'!E7*(C521-c_Vv)^2+'P3 Energie'!E13+'P3 Energie'!E15+'P3 Energie'!E6*$C$7</f>
        <v>18431.464953812</v>
      </c>
      <c r="E521" s="50" t="n">
        <f aca="false">D521*C521</f>
        <v>131068.195227108</v>
      </c>
      <c r="F521" s="46" t="n">
        <v>513</v>
      </c>
      <c r="G521" s="47" t="n">
        <f aca="false">(F521-1)*$H$6</f>
        <v>0.924330406822643</v>
      </c>
      <c r="H521" s="48" t="n">
        <f aca="false">$H$7*G521</f>
        <v>7.11111111111111</v>
      </c>
      <c r="I521" s="49" t="n">
        <f aca="false">0.5*c_rho*'P3 Energie'!F8*'P3 Energie'!F7*(H521-c_Vv)^2+'P3 Energie'!F13+'P3 Energie'!F15+'P3 Energie'!F6*$H$7</f>
        <v>19256.6844692</v>
      </c>
      <c r="J521" s="50" t="n">
        <f aca="false">I521*H521</f>
        <v>136936.422892089</v>
      </c>
    </row>
    <row r="522" customFormat="false" ht="15" hidden="false" customHeight="false" outlineLevel="0" collapsed="false">
      <c r="A522" s="46" t="n">
        <v>514</v>
      </c>
      <c r="B522" s="47" t="n">
        <f aca="false">(A522-1)*$C$6</f>
        <v>0.926797616224464</v>
      </c>
      <c r="C522" s="48" t="n">
        <f aca="false">$C$7*B522</f>
        <v>7.125</v>
      </c>
      <c r="D522" s="49" t="n">
        <f aca="false">0.5*c_rho*'P3 Energie'!E8*'P3 Energie'!E7*(C522-c_Vv)^2+'P3 Energie'!E13+'P3 Energie'!E15+'P3 Energie'!E6*$C$7</f>
        <v>18431.5439323422</v>
      </c>
      <c r="E522" s="50" t="n">
        <f aca="false">D522*C522</f>
        <v>131324.750517938</v>
      </c>
      <c r="F522" s="46" t="n">
        <v>514</v>
      </c>
      <c r="G522" s="47" t="n">
        <f aca="false">(F522-1)*$H$6</f>
        <v>0.926135739648469</v>
      </c>
      <c r="H522" s="48" t="n">
        <f aca="false">$H$7*G522</f>
        <v>7.125</v>
      </c>
      <c r="I522" s="49" t="n">
        <f aca="false">0.5*c_rho*'P3 Energie'!F8*'P3 Energie'!F7*(H522-c_Vv)^2+'P3 Energie'!F13+'P3 Energie'!F15+'P3 Energie'!F6*$H$7</f>
        <v>19256.7530874928</v>
      </c>
      <c r="J522" s="50" t="n">
        <f aca="false">I522*H522</f>
        <v>137204.365748386</v>
      </c>
    </row>
    <row r="523" customFormat="false" ht="15" hidden="false" customHeight="false" outlineLevel="0" collapsed="false">
      <c r="A523" s="46" t="n">
        <v>515</v>
      </c>
      <c r="B523" s="47" t="n">
        <f aca="false">(A523-1)*$C$6</f>
        <v>0.92860423925804</v>
      </c>
      <c r="C523" s="48" t="n">
        <f aca="false">$C$7*B523</f>
        <v>7.13888888888889</v>
      </c>
      <c r="D523" s="49" t="n">
        <f aca="false">0.5*c_rho*'P3 Energie'!E8*'P3 Energie'!E7*(C523-c_Vv)^2+'P3 Energie'!E13+'P3 Energie'!E15+'P3 Energie'!E6*$C$7</f>
        <v>18431.6230649768</v>
      </c>
      <c r="E523" s="50" t="n">
        <f aca="false">D523*C523</f>
        <v>131581.309102751</v>
      </c>
      <c r="F523" s="46" t="n">
        <v>515</v>
      </c>
      <c r="G523" s="47" t="n">
        <f aca="false">(F523-1)*$H$6</f>
        <v>0.927941072474294</v>
      </c>
      <c r="H523" s="48" t="n">
        <f aca="false">$H$7*G523</f>
        <v>7.13888888888889</v>
      </c>
      <c r="I523" s="49" t="n">
        <f aca="false">0.5*c_rho*'P3 Energie'!F8*'P3 Energie'!F7*(H523-c_Vv)^2+'P3 Energie'!F13+'P3 Energie'!F15+'P3 Energie'!F6*$H$7</f>
        <v>19256.821839675</v>
      </c>
      <c r="J523" s="50" t="n">
        <f aca="false">I523*H523</f>
        <v>137472.311466569</v>
      </c>
    </row>
    <row r="524" customFormat="false" ht="15" hidden="false" customHeight="false" outlineLevel="0" collapsed="false">
      <c r="A524" s="46" t="n">
        <v>516</v>
      </c>
      <c r="B524" s="47" t="n">
        <f aca="false">(A524-1)*$C$6</f>
        <v>0.930410862291616</v>
      </c>
      <c r="C524" s="48" t="n">
        <f aca="false">$C$7*B524</f>
        <v>7.15277777777778</v>
      </c>
      <c r="D524" s="49" t="n">
        <f aca="false">0.5*c_rho*'P3 Energie'!E8*'P3 Energie'!E7*(C524-c_Vv)^2+'P3 Energie'!E13+'P3 Energie'!E15+'P3 Energie'!E6*$C$7</f>
        <v>18431.7023517158</v>
      </c>
      <c r="E524" s="50" t="n">
        <f aca="false">D524*C524</f>
        <v>131837.870987967</v>
      </c>
      <c r="F524" s="46" t="n">
        <v>516</v>
      </c>
      <c r="G524" s="47" t="n">
        <f aca="false">(F524-1)*$H$6</f>
        <v>0.92974640530012</v>
      </c>
      <c r="H524" s="48" t="n">
        <f aca="false">$H$7*G524</f>
        <v>7.15277777777778</v>
      </c>
      <c r="I524" s="49" t="n">
        <f aca="false">0.5*c_rho*'P3 Energie'!F8*'P3 Energie'!F7*(H524-c_Vv)^2+'P3 Energie'!F13+'P3 Energie'!F15+'P3 Energie'!F6*$H$7</f>
        <v>19256.8907257465</v>
      </c>
      <c r="J524" s="50" t="n">
        <f aca="false">I524*H524</f>
        <v>137740.260052215</v>
      </c>
    </row>
    <row r="525" customFormat="false" ht="15" hidden="false" customHeight="false" outlineLevel="0" collapsed="false">
      <c r="A525" s="46" t="n">
        <v>517</v>
      </c>
      <c r="B525" s="47" t="n">
        <f aca="false">(A525-1)*$C$6</f>
        <v>0.932217485325192</v>
      </c>
      <c r="C525" s="48" t="n">
        <f aca="false">$C$7*B525</f>
        <v>7.16666666666667</v>
      </c>
      <c r="D525" s="49" t="n">
        <f aca="false">0.5*c_rho*'P3 Energie'!E8*'P3 Energie'!E7*(C525-c_Vv)^2+'P3 Energie'!E13+'P3 Energie'!E15+'P3 Energie'!E6*$C$7</f>
        <v>18431.7817925593</v>
      </c>
      <c r="E525" s="50" t="n">
        <f aca="false">D525*C525</f>
        <v>132094.436180008</v>
      </c>
      <c r="F525" s="46" t="n">
        <v>517</v>
      </c>
      <c r="G525" s="47" t="n">
        <f aca="false">(F525-1)*$H$6</f>
        <v>0.931551738125945</v>
      </c>
      <c r="H525" s="48" t="n">
        <f aca="false">$H$7*G525</f>
        <v>7.16666666666667</v>
      </c>
      <c r="I525" s="49" t="n">
        <f aca="false">0.5*c_rho*'P3 Energie'!F8*'P3 Energie'!F7*(H525-c_Vv)^2+'P3 Energie'!F13+'P3 Energie'!F15+'P3 Energie'!F6*$H$7</f>
        <v>19256.9597457074</v>
      </c>
      <c r="J525" s="50" t="n">
        <f aca="false">I525*H525</f>
        <v>138008.211510903</v>
      </c>
    </row>
    <row r="526" customFormat="false" ht="15" hidden="false" customHeight="false" outlineLevel="0" collapsed="false">
      <c r="A526" s="46" t="n">
        <v>518</v>
      </c>
      <c r="B526" s="47" t="n">
        <f aca="false">(A526-1)*$C$6</f>
        <v>0.934024108358768</v>
      </c>
      <c r="C526" s="48" t="n">
        <f aca="false">$C$7*B526</f>
        <v>7.18055555555556</v>
      </c>
      <c r="D526" s="49" t="n">
        <f aca="false">0.5*c_rho*'P3 Energie'!E8*'P3 Energie'!E7*(C526-c_Vv)^2+'P3 Energie'!E13+'P3 Energie'!E15+'P3 Energie'!E6*$C$7</f>
        <v>18431.8613875072</v>
      </c>
      <c r="E526" s="50" t="n">
        <f aca="false">D526*C526</f>
        <v>132351.004685295</v>
      </c>
      <c r="F526" s="46" t="n">
        <v>518</v>
      </c>
      <c r="G526" s="47" t="n">
        <f aca="false">(F526-1)*$H$6</f>
        <v>0.933357070951771</v>
      </c>
      <c r="H526" s="48" t="n">
        <f aca="false">$H$7*G526</f>
        <v>7.18055555555556</v>
      </c>
      <c r="I526" s="49" t="n">
        <f aca="false">0.5*c_rho*'P3 Energie'!F8*'P3 Energie'!F7*(H526-c_Vv)^2+'P3 Energie'!F13+'P3 Energie'!F15+'P3 Energie'!F6*$H$7</f>
        <v>19257.0288995576</v>
      </c>
      <c r="J526" s="50" t="n">
        <f aca="false">I526*H526</f>
        <v>138276.165848213</v>
      </c>
    </row>
    <row r="527" customFormat="false" ht="15" hidden="false" customHeight="false" outlineLevel="0" collapsed="false">
      <c r="A527" s="46" t="n">
        <v>519</v>
      </c>
      <c r="B527" s="47" t="n">
        <f aca="false">(A527-1)*$C$6</f>
        <v>0.935830731392344</v>
      </c>
      <c r="C527" s="48" t="n">
        <f aca="false">$C$7*B527</f>
        <v>7.19444444444444</v>
      </c>
      <c r="D527" s="49" t="n">
        <f aca="false">0.5*c_rho*'P3 Energie'!E8*'P3 Energie'!E7*(C527-c_Vv)^2+'P3 Energie'!E13+'P3 Energie'!E15+'P3 Energie'!E6*$C$7</f>
        <v>18431.9411365596</v>
      </c>
      <c r="E527" s="50" t="n">
        <f aca="false">D527*C527</f>
        <v>132607.576510249</v>
      </c>
      <c r="F527" s="46" t="n">
        <v>519</v>
      </c>
      <c r="G527" s="47" t="n">
        <f aca="false">(F527-1)*$H$6</f>
        <v>0.935162403777596</v>
      </c>
      <c r="H527" s="48" t="n">
        <f aca="false">$H$7*G527</f>
        <v>7.19444444444445</v>
      </c>
      <c r="I527" s="49" t="n">
        <f aca="false">0.5*c_rho*'P3 Energie'!F8*'P3 Energie'!F7*(H527-c_Vv)^2+'P3 Energie'!F13+'P3 Energie'!F15+'P3 Energie'!F6*$H$7</f>
        <v>19257.0981872972</v>
      </c>
      <c r="J527" s="50" t="n">
        <f aca="false">I527*H527</f>
        <v>138544.123069722</v>
      </c>
    </row>
    <row r="528" customFormat="false" ht="15" hidden="false" customHeight="false" outlineLevel="0" collapsed="false">
      <c r="A528" s="46" t="n">
        <v>520</v>
      </c>
      <c r="B528" s="47" t="n">
        <f aca="false">(A528-1)*$C$6</f>
        <v>0.93763735442592</v>
      </c>
      <c r="C528" s="48" t="n">
        <f aca="false">$C$7*B528</f>
        <v>7.20833333333333</v>
      </c>
      <c r="D528" s="49" t="n">
        <f aca="false">0.5*c_rho*'P3 Energie'!E8*'P3 Energie'!E7*(C528-c_Vv)^2+'P3 Energie'!E13+'P3 Energie'!E15+'P3 Energie'!E6*$C$7</f>
        <v>18432.0210397165</v>
      </c>
      <c r="E528" s="50" t="n">
        <f aca="false">D528*C528</f>
        <v>132864.15166129</v>
      </c>
      <c r="F528" s="46" t="n">
        <v>520</v>
      </c>
      <c r="G528" s="47" t="n">
        <f aca="false">(F528-1)*$H$6</f>
        <v>0.936967736603422</v>
      </c>
      <c r="H528" s="48" t="n">
        <f aca="false">$H$7*G528</f>
        <v>7.20833333333333</v>
      </c>
      <c r="I528" s="49" t="n">
        <f aca="false">0.5*c_rho*'P3 Energie'!F8*'P3 Energie'!F7*(H528-c_Vv)^2+'P3 Energie'!F13+'P3 Energie'!F15+'P3 Energie'!F6*$H$7</f>
        <v>19257.1676089262</v>
      </c>
      <c r="J528" s="50" t="n">
        <f aca="false">I528*H528</f>
        <v>138812.083181009</v>
      </c>
    </row>
    <row r="529" customFormat="false" ht="15" hidden="false" customHeight="false" outlineLevel="0" collapsed="false">
      <c r="A529" s="46" t="n">
        <v>521</v>
      </c>
      <c r="B529" s="47" t="n">
        <f aca="false">(A529-1)*$C$6</f>
        <v>0.939443977459496</v>
      </c>
      <c r="C529" s="48" t="n">
        <f aca="false">$C$7*B529</f>
        <v>7.22222222222222</v>
      </c>
      <c r="D529" s="49" t="n">
        <f aca="false">0.5*c_rho*'P3 Energie'!E8*'P3 Energie'!E7*(C529-c_Vv)^2+'P3 Energie'!E13+'P3 Energie'!E15+'P3 Energie'!E6*$C$7</f>
        <v>18432.1010969778</v>
      </c>
      <c r="E529" s="50" t="n">
        <f aca="false">D529*C529</f>
        <v>133120.73014484</v>
      </c>
      <c r="F529" s="46" t="n">
        <v>521</v>
      </c>
      <c r="G529" s="47" t="n">
        <f aca="false">(F529-1)*$H$6</f>
        <v>0.938773069429247</v>
      </c>
      <c r="H529" s="48" t="n">
        <f aca="false">$H$7*G529</f>
        <v>7.22222222222222</v>
      </c>
      <c r="I529" s="49" t="n">
        <f aca="false">0.5*c_rho*'P3 Energie'!F8*'P3 Energie'!F7*(H529-c_Vv)^2+'P3 Energie'!F13+'P3 Energie'!F15+'P3 Energie'!F6*$H$7</f>
        <v>19257.2371644444</v>
      </c>
      <c r="J529" s="50" t="n">
        <f aca="false">I529*H529</f>
        <v>139080.046187654</v>
      </c>
    </row>
    <row r="530" customFormat="false" ht="15" hidden="false" customHeight="false" outlineLevel="0" collapsed="false">
      <c r="A530" s="46" t="n">
        <v>522</v>
      </c>
      <c r="B530" s="47" t="n">
        <f aca="false">(A530-1)*$C$6</f>
        <v>0.941250600493072</v>
      </c>
      <c r="C530" s="48" t="n">
        <f aca="false">$C$7*B530</f>
        <v>7.23611111111111</v>
      </c>
      <c r="D530" s="49" t="n">
        <f aca="false">0.5*c_rho*'P3 Energie'!E8*'P3 Energie'!E7*(C530-c_Vv)^2+'P3 Energie'!E13+'P3 Energie'!E15+'P3 Energie'!E6*$C$7</f>
        <v>18432.1813083435</v>
      </c>
      <c r="E530" s="50" t="n">
        <f aca="false">D530*C530</f>
        <v>133377.311967319</v>
      </c>
      <c r="F530" s="46" t="n">
        <v>522</v>
      </c>
      <c r="G530" s="47" t="n">
        <f aca="false">(F530-1)*$H$6</f>
        <v>0.940578402255073</v>
      </c>
      <c r="H530" s="48" t="n">
        <f aca="false">$H$7*G530</f>
        <v>7.23611111111111</v>
      </c>
      <c r="I530" s="49" t="n">
        <f aca="false">0.5*c_rho*'P3 Energie'!F8*'P3 Energie'!F7*(H530-c_Vv)^2+'P3 Energie'!F13+'P3 Energie'!F15+'P3 Energie'!F6*$H$7</f>
        <v>19257.3068538521</v>
      </c>
      <c r="J530" s="50" t="n">
        <f aca="false">I530*H530</f>
        <v>139348.012095235</v>
      </c>
    </row>
    <row r="531" customFormat="false" ht="15" hidden="false" customHeight="false" outlineLevel="0" collapsed="false">
      <c r="A531" s="46" t="n">
        <v>523</v>
      </c>
      <c r="B531" s="47" t="n">
        <f aca="false">(A531-1)*$C$6</f>
        <v>0.943057223526648</v>
      </c>
      <c r="C531" s="48" t="n">
        <f aca="false">$C$7*B531</f>
        <v>7.25</v>
      </c>
      <c r="D531" s="49" t="n">
        <f aca="false">0.5*c_rho*'P3 Energie'!E8*'P3 Energie'!E7*(C531-c_Vv)^2+'P3 Energie'!E13+'P3 Energie'!E15+'P3 Energie'!E6*$C$7</f>
        <v>18432.2616738137</v>
      </c>
      <c r="E531" s="50" t="n">
        <f aca="false">D531*C531</f>
        <v>133633.897135149</v>
      </c>
      <c r="F531" s="46" t="n">
        <v>523</v>
      </c>
      <c r="G531" s="47" t="n">
        <f aca="false">(F531-1)*$H$6</f>
        <v>0.942383735080898</v>
      </c>
      <c r="H531" s="48" t="n">
        <f aca="false">$H$7*G531</f>
        <v>7.25</v>
      </c>
      <c r="I531" s="49" t="n">
        <f aca="false">0.5*c_rho*'P3 Energie'!F8*'P3 Energie'!F7*(H531-c_Vv)^2+'P3 Energie'!F13+'P3 Energie'!F15+'P3 Energie'!F6*$H$7</f>
        <v>19257.3766771491</v>
      </c>
      <c r="J531" s="50" t="n">
        <f aca="false">I531*H531</f>
        <v>139615.980909331</v>
      </c>
    </row>
    <row r="532" customFormat="false" ht="15" hidden="false" customHeight="false" outlineLevel="0" collapsed="false">
      <c r="A532" s="46" t="n">
        <v>524</v>
      </c>
      <c r="B532" s="47" t="n">
        <f aca="false">(A532-1)*$C$6</f>
        <v>0.944863846560224</v>
      </c>
      <c r="C532" s="48" t="n">
        <f aca="false">$C$7*B532</f>
        <v>7.26388888888889</v>
      </c>
      <c r="D532" s="49" t="n">
        <f aca="false">0.5*c_rho*'P3 Energie'!E8*'P3 Energie'!E7*(C532-c_Vv)^2+'P3 Energie'!E13+'P3 Energie'!E15+'P3 Energie'!E6*$C$7</f>
        <v>18432.3421933884</v>
      </c>
      <c r="E532" s="50" t="n">
        <f aca="false">D532*C532</f>
        <v>133890.485654752</v>
      </c>
      <c r="F532" s="46" t="n">
        <v>524</v>
      </c>
      <c r="G532" s="47" t="n">
        <f aca="false">(F532-1)*$H$6</f>
        <v>0.944189067906724</v>
      </c>
      <c r="H532" s="48" t="n">
        <f aca="false">$H$7*G532</f>
        <v>7.26388888888889</v>
      </c>
      <c r="I532" s="49" t="n">
        <f aca="false">0.5*c_rho*'P3 Energie'!F8*'P3 Energie'!F7*(H532-c_Vv)^2+'P3 Energie'!F13+'P3 Energie'!F15+'P3 Energie'!F6*$H$7</f>
        <v>19257.4466343354</v>
      </c>
      <c r="J532" s="50" t="n">
        <f aca="false">I532*H532</f>
        <v>139883.95263552</v>
      </c>
    </row>
    <row r="533" customFormat="false" ht="15" hidden="false" customHeight="false" outlineLevel="0" collapsed="false">
      <c r="A533" s="46" t="n">
        <v>525</v>
      </c>
      <c r="B533" s="47" t="n">
        <f aca="false">(A533-1)*$C$6</f>
        <v>0.9466704695938</v>
      </c>
      <c r="C533" s="48" t="n">
        <f aca="false">$C$7*B533</f>
        <v>7.27777777777778</v>
      </c>
      <c r="D533" s="49" t="n">
        <f aca="false">0.5*c_rho*'P3 Energie'!E8*'P3 Energie'!E7*(C533-c_Vv)^2+'P3 Energie'!E13+'P3 Energie'!E15+'P3 Energie'!E6*$C$7</f>
        <v>18432.4228670675</v>
      </c>
      <c r="E533" s="50" t="n">
        <f aca="false">D533*C533</f>
        <v>134147.077532546</v>
      </c>
      <c r="F533" s="46" t="n">
        <v>525</v>
      </c>
      <c r="G533" s="47" t="n">
        <f aca="false">(F533-1)*$H$6</f>
        <v>0.945994400732549</v>
      </c>
      <c r="H533" s="48" t="n">
        <f aca="false">$H$7*G533</f>
        <v>7.27777777777778</v>
      </c>
      <c r="I533" s="49" t="n">
        <f aca="false">0.5*c_rho*'P3 Energie'!F8*'P3 Energie'!F7*(H533-c_Vv)^2+'P3 Energie'!F13+'P3 Energie'!F15+'P3 Energie'!F6*$H$7</f>
        <v>19257.5167254111</v>
      </c>
      <c r="J533" s="50" t="n">
        <f aca="false">I533*H533</f>
        <v>140151.927279381</v>
      </c>
    </row>
    <row r="534" customFormat="false" ht="15" hidden="false" customHeight="false" outlineLevel="0" collapsed="false">
      <c r="A534" s="46" t="n">
        <v>526</v>
      </c>
      <c r="B534" s="47" t="n">
        <f aca="false">(A534-1)*$C$6</f>
        <v>0.948477092627376</v>
      </c>
      <c r="C534" s="48" t="n">
        <f aca="false">$C$7*B534</f>
        <v>7.29166666666667</v>
      </c>
      <c r="D534" s="49" t="n">
        <f aca="false">0.5*c_rho*'P3 Energie'!E8*'P3 Energie'!E7*(C534-c_Vv)^2+'P3 Energie'!E13+'P3 Energie'!E15+'P3 Energie'!E6*$C$7</f>
        <v>18432.503694851</v>
      </c>
      <c r="E534" s="50" t="n">
        <f aca="false">D534*C534</f>
        <v>134403.672774955</v>
      </c>
      <c r="F534" s="46" t="n">
        <v>526</v>
      </c>
      <c r="G534" s="47" t="n">
        <f aca="false">(F534-1)*$H$6</f>
        <v>0.947799733558375</v>
      </c>
      <c r="H534" s="48" t="n">
        <f aca="false">$H$7*G534</f>
        <v>7.29166666666667</v>
      </c>
      <c r="I534" s="49" t="n">
        <f aca="false">0.5*c_rho*'P3 Energie'!F8*'P3 Energie'!F7*(H534-c_Vv)^2+'P3 Energie'!F13+'P3 Energie'!F15+'P3 Energie'!F6*$H$7</f>
        <v>19257.5869503762</v>
      </c>
      <c r="J534" s="50" t="n">
        <f aca="false">I534*H534</f>
        <v>140419.904846493</v>
      </c>
    </row>
    <row r="535" customFormat="false" ht="15" hidden="false" customHeight="false" outlineLevel="0" collapsed="false">
      <c r="A535" s="46" t="n">
        <v>527</v>
      </c>
      <c r="B535" s="47" t="n">
        <f aca="false">(A535-1)*$C$6</f>
        <v>0.950283715660951</v>
      </c>
      <c r="C535" s="48" t="n">
        <f aca="false">$C$7*B535</f>
        <v>7.30555555555556</v>
      </c>
      <c r="D535" s="49" t="n">
        <f aca="false">0.5*c_rho*'P3 Energie'!E8*'P3 Energie'!E7*(C535-c_Vv)^2+'P3 Energie'!E13+'P3 Energie'!E15+'P3 Energie'!E6*$C$7</f>
        <v>18432.584676739</v>
      </c>
      <c r="E535" s="50" t="n">
        <f aca="false">D535*C535</f>
        <v>134660.271388399</v>
      </c>
      <c r="F535" s="46" t="n">
        <v>527</v>
      </c>
      <c r="G535" s="47" t="n">
        <f aca="false">(F535-1)*$H$6</f>
        <v>0.9496050663842</v>
      </c>
      <c r="H535" s="48" t="n">
        <f aca="false">$H$7*G535</f>
        <v>7.30555555555556</v>
      </c>
      <c r="I535" s="49" t="n">
        <f aca="false">0.5*c_rho*'P3 Energie'!F8*'P3 Energie'!F7*(H535-c_Vv)^2+'P3 Energie'!F13+'P3 Energie'!F15+'P3 Energie'!F6*$H$7</f>
        <v>19257.6573092306</v>
      </c>
      <c r="J535" s="50" t="n">
        <f aca="false">I535*H535</f>
        <v>140687.885342434</v>
      </c>
    </row>
    <row r="536" customFormat="false" ht="15" hidden="false" customHeight="false" outlineLevel="0" collapsed="false">
      <c r="A536" s="46" t="n">
        <v>528</v>
      </c>
      <c r="B536" s="47" t="n">
        <f aca="false">(A536-1)*$C$6</f>
        <v>0.952090338694527</v>
      </c>
      <c r="C536" s="48" t="n">
        <f aca="false">$C$7*B536</f>
        <v>7.31944444444445</v>
      </c>
      <c r="D536" s="49" t="n">
        <f aca="false">0.5*c_rho*'P3 Energie'!E8*'P3 Energie'!E7*(C536-c_Vv)^2+'P3 Energie'!E13+'P3 Energie'!E15+'P3 Energie'!E6*$C$7</f>
        <v>18432.6658127314</v>
      </c>
      <c r="E536" s="50" t="n">
        <f aca="false">D536*C536</f>
        <v>134916.873379298</v>
      </c>
      <c r="F536" s="46" t="n">
        <v>528</v>
      </c>
      <c r="G536" s="47" t="n">
        <f aca="false">(F536-1)*$H$6</f>
        <v>0.951410399210026</v>
      </c>
      <c r="H536" s="48" t="n">
        <f aca="false">$H$7*G536</f>
        <v>7.31944444444445</v>
      </c>
      <c r="I536" s="49" t="n">
        <f aca="false">0.5*c_rho*'P3 Energie'!F8*'P3 Energie'!F7*(H536-c_Vv)^2+'P3 Energie'!F13+'P3 Energie'!F15+'P3 Energie'!F6*$H$7</f>
        <v>19257.7278019743</v>
      </c>
      <c r="J536" s="50" t="n">
        <f aca="false">I536*H536</f>
        <v>140955.868772784</v>
      </c>
    </row>
    <row r="537" customFormat="false" ht="15" hidden="false" customHeight="false" outlineLevel="0" collapsed="false">
      <c r="A537" s="46" t="n">
        <v>529</v>
      </c>
      <c r="B537" s="47" t="n">
        <f aca="false">(A537-1)*$C$6</f>
        <v>0.953896961728103</v>
      </c>
      <c r="C537" s="48" t="n">
        <f aca="false">$C$7*B537</f>
        <v>7.33333333333333</v>
      </c>
      <c r="D537" s="49" t="n">
        <f aca="false">0.5*c_rho*'P3 Energie'!E8*'P3 Energie'!E7*(C537-c_Vv)^2+'P3 Energie'!E13+'P3 Energie'!E15+'P3 Energie'!E6*$C$7</f>
        <v>18432.7471028283</v>
      </c>
      <c r="E537" s="50" t="n">
        <f aca="false">D537*C537</f>
        <v>135173.478754074</v>
      </c>
      <c r="F537" s="46" t="n">
        <v>529</v>
      </c>
      <c r="G537" s="47" t="n">
        <f aca="false">(F537-1)*$H$6</f>
        <v>0.953215732035851</v>
      </c>
      <c r="H537" s="48" t="n">
        <f aca="false">$H$7*G537</f>
        <v>7.33333333333333</v>
      </c>
      <c r="I537" s="49" t="n">
        <f aca="false">0.5*c_rho*'P3 Energie'!F8*'P3 Energie'!F7*(H537-c_Vv)^2+'P3 Energie'!F13+'P3 Energie'!F15+'P3 Energie'!F6*$H$7</f>
        <v>19257.7984286074</v>
      </c>
      <c r="J537" s="50" t="n">
        <f aca="false">I537*H537</f>
        <v>141223.855143121</v>
      </c>
    </row>
    <row r="538" customFormat="false" ht="15" hidden="false" customHeight="false" outlineLevel="0" collapsed="false">
      <c r="A538" s="46" t="n">
        <v>530</v>
      </c>
      <c r="B538" s="47" t="n">
        <f aca="false">(A538-1)*$C$6</f>
        <v>0.955703584761679</v>
      </c>
      <c r="C538" s="48" t="n">
        <f aca="false">$C$7*B538</f>
        <v>7.34722222222222</v>
      </c>
      <c r="D538" s="49" t="n">
        <f aca="false">0.5*c_rho*'P3 Energie'!E8*'P3 Energie'!E7*(C538-c_Vv)^2+'P3 Energie'!E13+'P3 Energie'!E15+'P3 Energie'!E6*$C$7</f>
        <v>18432.8285470296</v>
      </c>
      <c r="E538" s="50" t="n">
        <f aca="false">D538*C538</f>
        <v>135430.087519148</v>
      </c>
      <c r="F538" s="46" t="n">
        <v>530</v>
      </c>
      <c r="G538" s="47" t="n">
        <f aca="false">(F538-1)*$H$6</f>
        <v>0.955021064861677</v>
      </c>
      <c r="H538" s="48" t="n">
        <f aca="false">$H$7*G538</f>
        <v>7.34722222222222</v>
      </c>
      <c r="I538" s="49" t="n">
        <f aca="false">0.5*c_rho*'P3 Energie'!F8*'P3 Energie'!F7*(H538-c_Vv)^2+'P3 Energie'!F13+'P3 Energie'!F15+'P3 Energie'!F6*$H$7</f>
        <v>19257.8691891299</v>
      </c>
      <c r="J538" s="50" t="n">
        <f aca="false">I538*H538</f>
        <v>141491.844459024</v>
      </c>
    </row>
    <row r="539" customFormat="false" ht="15" hidden="false" customHeight="false" outlineLevel="0" collapsed="false">
      <c r="A539" s="46" t="n">
        <v>531</v>
      </c>
      <c r="B539" s="47" t="n">
        <f aca="false">(A539-1)*$C$6</f>
        <v>0.957510207795255</v>
      </c>
      <c r="C539" s="48" t="n">
        <f aca="false">$C$7*B539</f>
        <v>7.36111111111111</v>
      </c>
      <c r="D539" s="49" t="n">
        <f aca="false">0.5*c_rho*'P3 Energie'!E8*'P3 Energie'!E7*(C539-c_Vv)^2+'P3 Energie'!E13+'P3 Energie'!E15+'P3 Energie'!E6*$C$7</f>
        <v>18432.9101453354</v>
      </c>
      <c r="E539" s="50" t="n">
        <f aca="false">D539*C539</f>
        <v>135686.699680941</v>
      </c>
      <c r="F539" s="46" t="n">
        <v>531</v>
      </c>
      <c r="G539" s="47" t="n">
        <f aca="false">(F539-1)*$H$6</f>
        <v>0.956826397687502</v>
      </c>
      <c r="H539" s="48" t="n">
        <f aca="false">$H$7*G539</f>
        <v>7.36111111111111</v>
      </c>
      <c r="I539" s="49" t="n">
        <f aca="false">0.5*c_rho*'P3 Energie'!F8*'P3 Energie'!F7*(H539-c_Vv)^2+'P3 Energie'!F13+'P3 Energie'!F15+'P3 Energie'!F6*$H$7</f>
        <v>19257.9400835417</v>
      </c>
      <c r="J539" s="50" t="n">
        <f aca="false">I539*H539</f>
        <v>141759.836726071</v>
      </c>
    </row>
    <row r="540" customFormat="false" ht="15" hidden="false" customHeight="false" outlineLevel="0" collapsed="false">
      <c r="A540" s="46" t="n">
        <v>532</v>
      </c>
      <c r="B540" s="47" t="n">
        <f aca="false">(A540-1)*$C$6</f>
        <v>0.959316830828831</v>
      </c>
      <c r="C540" s="48" t="n">
        <f aca="false">$C$7*B540</f>
        <v>7.375</v>
      </c>
      <c r="D540" s="49" t="n">
        <f aca="false">0.5*c_rho*'P3 Energie'!E8*'P3 Energie'!E7*(C540-c_Vv)^2+'P3 Energie'!E13+'P3 Energie'!E15+'P3 Energie'!E6*$C$7</f>
        <v>18432.9918977457</v>
      </c>
      <c r="E540" s="50" t="n">
        <f aca="false">D540*C540</f>
        <v>135943.315245874</v>
      </c>
      <c r="F540" s="46" t="n">
        <v>532</v>
      </c>
      <c r="G540" s="47" t="n">
        <f aca="false">(F540-1)*$H$6</f>
        <v>0.958631730513328</v>
      </c>
      <c r="H540" s="48" t="n">
        <f aca="false">$H$7*G540</f>
        <v>7.375</v>
      </c>
      <c r="I540" s="49" t="n">
        <f aca="false">0.5*c_rho*'P3 Energie'!F8*'P3 Energie'!F7*(H540-c_Vv)^2+'P3 Energie'!F13+'P3 Energie'!F15+'P3 Energie'!F6*$H$7</f>
        <v>19258.0111118428</v>
      </c>
      <c r="J540" s="50" t="n">
        <f aca="false">I540*H540</f>
        <v>142027.831949841</v>
      </c>
    </row>
    <row r="541" customFormat="false" ht="15" hidden="false" customHeight="false" outlineLevel="0" collapsed="false">
      <c r="A541" s="46" t="n">
        <v>533</v>
      </c>
      <c r="B541" s="47" t="n">
        <f aca="false">(A541-1)*$C$6</f>
        <v>0.961123453862407</v>
      </c>
      <c r="C541" s="48" t="n">
        <f aca="false">$C$7*B541</f>
        <v>7.38888888888889</v>
      </c>
      <c r="D541" s="49" t="n">
        <f aca="false">0.5*c_rho*'P3 Energie'!E8*'P3 Energie'!E7*(C541-c_Vv)^2+'P3 Energie'!E13+'P3 Energie'!E15+'P3 Energie'!E6*$C$7</f>
        <v>18433.0738042603</v>
      </c>
      <c r="E541" s="50" t="n">
        <f aca="false">D541*C541</f>
        <v>136199.934220368</v>
      </c>
      <c r="F541" s="46" t="n">
        <v>533</v>
      </c>
      <c r="G541" s="47" t="n">
        <f aca="false">(F541-1)*$H$6</f>
        <v>0.960437063339153</v>
      </c>
      <c r="H541" s="48" t="n">
        <f aca="false">$H$7*G541</f>
        <v>7.38888888888889</v>
      </c>
      <c r="I541" s="49" t="n">
        <f aca="false">0.5*c_rho*'P3 Energie'!F8*'P3 Energie'!F7*(H541-c_Vv)^2+'P3 Energie'!F13+'P3 Energie'!F15+'P3 Energie'!F6*$H$7</f>
        <v>19258.0822740333</v>
      </c>
      <c r="J541" s="50" t="n">
        <f aca="false">I541*H541</f>
        <v>142295.830135913</v>
      </c>
    </row>
    <row r="542" customFormat="false" ht="15" hidden="false" customHeight="false" outlineLevel="0" collapsed="false">
      <c r="A542" s="46" t="n">
        <v>534</v>
      </c>
      <c r="B542" s="47" t="n">
        <f aca="false">(A542-1)*$C$6</f>
        <v>0.962930076895983</v>
      </c>
      <c r="C542" s="48" t="n">
        <f aca="false">$C$7*B542</f>
        <v>7.40277777777778</v>
      </c>
      <c r="D542" s="49" t="n">
        <f aca="false">0.5*c_rho*'P3 Energie'!E8*'P3 Energie'!E7*(C542-c_Vv)^2+'P3 Energie'!E13+'P3 Energie'!E15+'P3 Energie'!E6*$C$7</f>
        <v>18433.1558648795</v>
      </c>
      <c r="E542" s="50" t="n">
        <f aca="false">D542*C542</f>
        <v>136456.556610844</v>
      </c>
      <c r="F542" s="46" t="n">
        <v>534</v>
      </c>
      <c r="G542" s="47" t="n">
        <f aca="false">(F542-1)*$H$6</f>
        <v>0.962242396164978</v>
      </c>
      <c r="H542" s="48" t="n">
        <f aca="false">$H$7*G542</f>
        <v>7.40277777777778</v>
      </c>
      <c r="I542" s="49" t="n">
        <f aca="false">0.5*c_rho*'P3 Energie'!F8*'P3 Energie'!F7*(H542-c_Vv)^2+'P3 Energie'!F13+'P3 Energie'!F15+'P3 Energie'!F6*$H$7</f>
        <v>19258.1535701132</v>
      </c>
      <c r="J542" s="50" t="n">
        <f aca="false">I542*H542</f>
        <v>142563.831289866</v>
      </c>
    </row>
    <row r="543" customFormat="false" ht="15" hidden="false" customHeight="false" outlineLevel="0" collapsed="false">
      <c r="A543" s="46" t="n">
        <v>535</v>
      </c>
      <c r="B543" s="47" t="n">
        <f aca="false">(A543-1)*$C$6</f>
        <v>0.964736699929559</v>
      </c>
      <c r="C543" s="48" t="n">
        <f aca="false">$C$7*B543</f>
        <v>7.41666666666667</v>
      </c>
      <c r="D543" s="49" t="n">
        <f aca="false">0.5*c_rho*'P3 Energie'!E8*'P3 Energie'!E7*(C543-c_Vv)^2+'P3 Energie'!E13+'P3 Energie'!E15+'P3 Energie'!E6*$C$7</f>
        <v>18433.2380796031</v>
      </c>
      <c r="E543" s="50" t="n">
        <f aca="false">D543*C543</f>
        <v>136713.182423723</v>
      </c>
      <c r="F543" s="46" t="n">
        <v>535</v>
      </c>
      <c r="G543" s="47" t="n">
        <f aca="false">(F543-1)*$H$6</f>
        <v>0.964047728990804</v>
      </c>
      <c r="H543" s="48" t="n">
        <f aca="false">$H$7*G543</f>
        <v>7.41666666666667</v>
      </c>
      <c r="I543" s="49" t="n">
        <f aca="false">0.5*c_rho*'P3 Energie'!F8*'P3 Energie'!F7*(H543-c_Vv)^2+'P3 Energie'!F13+'P3 Energie'!F15+'P3 Energie'!F6*$H$7</f>
        <v>19258.2250000824</v>
      </c>
      <c r="J543" s="50" t="n">
        <f aca="false">I543*H543</f>
        <v>142831.835417278</v>
      </c>
    </row>
    <row r="544" customFormat="false" ht="15" hidden="false" customHeight="false" outlineLevel="0" collapsed="false">
      <c r="A544" s="46" t="n">
        <v>536</v>
      </c>
      <c r="B544" s="47" t="n">
        <f aca="false">(A544-1)*$C$6</f>
        <v>0.966543322963135</v>
      </c>
      <c r="C544" s="48" t="n">
        <f aca="false">$C$7*B544</f>
        <v>7.43055555555556</v>
      </c>
      <c r="D544" s="49" t="n">
        <f aca="false">0.5*c_rho*'P3 Energie'!E8*'P3 Energie'!E7*(C544-c_Vv)^2+'P3 Energie'!E13+'P3 Energie'!E15+'P3 Energie'!E6*$C$7</f>
        <v>18433.3204484311</v>
      </c>
      <c r="E544" s="50" t="n">
        <f aca="false">D544*C544</f>
        <v>136969.811665425</v>
      </c>
      <c r="F544" s="46" t="n">
        <v>536</v>
      </c>
      <c r="G544" s="47" t="n">
        <f aca="false">(F544-1)*$H$6</f>
        <v>0.965853061816629</v>
      </c>
      <c r="H544" s="48" t="n">
        <f aca="false">$H$7*G544</f>
        <v>7.43055555555556</v>
      </c>
      <c r="I544" s="49" t="n">
        <f aca="false">0.5*c_rho*'P3 Energie'!F8*'P3 Energie'!F7*(H544-c_Vv)^2+'P3 Energie'!F13+'P3 Energie'!F15+'P3 Energie'!F6*$H$7</f>
        <v>19258.296563941</v>
      </c>
      <c r="J544" s="50" t="n">
        <f aca="false">I544*H544</f>
        <v>143099.842523728</v>
      </c>
    </row>
    <row r="545" customFormat="false" ht="15" hidden="false" customHeight="false" outlineLevel="0" collapsed="false">
      <c r="A545" s="46" t="n">
        <v>537</v>
      </c>
      <c r="B545" s="47" t="n">
        <f aca="false">(A545-1)*$C$6</f>
        <v>0.968349945996711</v>
      </c>
      <c r="C545" s="48" t="n">
        <f aca="false">$C$7*B545</f>
        <v>7.44444444444445</v>
      </c>
      <c r="D545" s="49" t="n">
        <f aca="false">0.5*c_rho*'P3 Energie'!E8*'P3 Energie'!E7*(C545-c_Vv)^2+'P3 Energie'!E13+'P3 Energie'!E15+'P3 Energie'!E6*$C$7</f>
        <v>18433.4029713636</v>
      </c>
      <c r="E545" s="50" t="n">
        <f aca="false">D545*C545</f>
        <v>137226.444342373</v>
      </c>
      <c r="F545" s="46" t="n">
        <v>537</v>
      </c>
      <c r="G545" s="47" t="n">
        <f aca="false">(F545-1)*$H$6</f>
        <v>0.967658394642455</v>
      </c>
      <c r="H545" s="48" t="n">
        <f aca="false">$H$7*G545</f>
        <v>7.44444444444445</v>
      </c>
      <c r="I545" s="49" t="n">
        <f aca="false">0.5*c_rho*'P3 Energie'!F8*'P3 Energie'!F7*(H545-c_Vv)^2+'P3 Energie'!F13+'P3 Energie'!F15+'P3 Energie'!F6*$H$7</f>
        <v>19258.3682616889</v>
      </c>
      <c r="J545" s="50" t="n">
        <f aca="false">I545*H545</f>
        <v>143367.852614795</v>
      </c>
    </row>
    <row r="546" customFormat="false" ht="15" hidden="false" customHeight="false" outlineLevel="0" collapsed="false">
      <c r="A546" s="46" t="n">
        <v>538</v>
      </c>
      <c r="B546" s="47" t="n">
        <f aca="false">(A546-1)*$C$6</f>
        <v>0.970156569030287</v>
      </c>
      <c r="C546" s="48" t="n">
        <f aca="false">$C$7*B546</f>
        <v>7.45833333333333</v>
      </c>
      <c r="D546" s="49" t="n">
        <f aca="false">0.5*c_rho*'P3 Energie'!E8*'P3 Energie'!E7*(C546-c_Vv)^2+'P3 Energie'!E13+'P3 Energie'!E15+'P3 Energie'!E6*$C$7</f>
        <v>18433.4856484005</v>
      </c>
      <c r="E546" s="50" t="n">
        <f aca="false">D546*C546</f>
        <v>137483.080460987</v>
      </c>
      <c r="F546" s="46" t="n">
        <v>538</v>
      </c>
      <c r="G546" s="47" t="n">
        <f aca="false">(F546-1)*$H$6</f>
        <v>0.96946372746828</v>
      </c>
      <c r="H546" s="48" t="n">
        <f aca="false">$H$7*G546</f>
        <v>7.45833333333333</v>
      </c>
      <c r="I546" s="49" t="n">
        <f aca="false">0.5*c_rho*'P3 Energie'!F8*'P3 Energie'!F7*(H546-c_Vv)^2+'P3 Energie'!F13+'P3 Energie'!F15+'P3 Energie'!F6*$H$7</f>
        <v>19258.4400933262</v>
      </c>
      <c r="J546" s="50" t="n">
        <f aca="false">I546*H546</f>
        <v>143635.865696058</v>
      </c>
    </row>
    <row r="547" customFormat="false" ht="15" hidden="false" customHeight="false" outlineLevel="0" collapsed="false">
      <c r="A547" s="46" t="n">
        <v>539</v>
      </c>
      <c r="B547" s="47" t="n">
        <f aca="false">(A547-1)*$C$6</f>
        <v>0.971963192063863</v>
      </c>
      <c r="C547" s="48" t="n">
        <f aca="false">$C$7*B547</f>
        <v>7.47222222222222</v>
      </c>
      <c r="D547" s="49" t="n">
        <f aca="false">0.5*c_rho*'P3 Energie'!E8*'P3 Energie'!E7*(C547-c_Vv)^2+'P3 Energie'!E13+'P3 Energie'!E15+'P3 Energie'!E6*$C$7</f>
        <v>18433.5684795419</v>
      </c>
      <c r="E547" s="50" t="n">
        <f aca="false">D547*C547</f>
        <v>137739.720027688</v>
      </c>
      <c r="F547" s="46" t="n">
        <v>539</v>
      </c>
      <c r="G547" s="47" t="n">
        <f aca="false">(F547-1)*$H$6</f>
        <v>0.971269060294106</v>
      </c>
      <c r="H547" s="48" t="n">
        <f aca="false">$H$7*G547</f>
        <v>7.47222222222222</v>
      </c>
      <c r="I547" s="49" t="n">
        <f aca="false">0.5*c_rho*'P3 Energie'!F8*'P3 Energie'!F7*(H547-c_Vv)^2+'P3 Energie'!F13+'P3 Energie'!F15+'P3 Energie'!F6*$H$7</f>
        <v>19258.5120588528</v>
      </c>
      <c r="J547" s="50" t="n">
        <f aca="false">I547*H547</f>
        <v>143903.881773094</v>
      </c>
    </row>
    <row r="548" customFormat="false" ht="15" hidden="false" customHeight="false" outlineLevel="0" collapsed="false">
      <c r="A548" s="46" t="n">
        <v>540</v>
      </c>
      <c r="B548" s="47" t="n">
        <f aca="false">(A548-1)*$C$6</f>
        <v>0.973769815097439</v>
      </c>
      <c r="C548" s="48" t="n">
        <f aca="false">$C$7*B548</f>
        <v>7.48611111111111</v>
      </c>
      <c r="D548" s="49" t="n">
        <f aca="false">0.5*c_rho*'P3 Energie'!E8*'P3 Energie'!E7*(C548-c_Vv)^2+'P3 Energie'!E13+'P3 Energie'!E15+'P3 Energie'!E6*$C$7</f>
        <v>18433.6514647877</v>
      </c>
      <c r="E548" s="50" t="n">
        <f aca="false">D548*C548</f>
        <v>137996.363048897</v>
      </c>
      <c r="F548" s="46" t="n">
        <v>540</v>
      </c>
      <c r="G548" s="47" t="n">
        <f aca="false">(F548-1)*$H$6</f>
        <v>0.973074393119931</v>
      </c>
      <c r="H548" s="48" t="n">
        <f aca="false">$H$7*G548</f>
        <v>7.48611111111111</v>
      </c>
      <c r="I548" s="49" t="n">
        <f aca="false">0.5*c_rho*'P3 Energie'!F8*'P3 Energie'!F7*(H548-c_Vv)^2+'P3 Energie'!F13+'P3 Energie'!F15+'P3 Energie'!F6*$H$7</f>
        <v>19258.5841582688</v>
      </c>
      <c r="J548" s="50" t="n">
        <f aca="false">I548*H548</f>
        <v>144171.900851484</v>
      </c>
    </row>
    <row r="549" customFormat="false" ht="15" hidden="false" customHeight="false" outlineLevel="0" collapsed="false">
      <c r="A549" s="46" t="n">
        <v>541</v>
      </c>
      <c r="B549" s="47" t="n">
        <f aca="false">(A549-1)*$C$6</f>
        <v>0.975576438131015</v>
      </c>
      <c r="C549" s="48" t="n">
        <f aca="false">$C$7*B549</f>
        <v>7.5</v>
      </c>
      <c r="D549" s="49" t="n">
        <f aca="false">0.5*c_rho*'P3 Energie'!E8*'P3 Energie'!E7*(C549-c_Vv)^2+'P3 Energie'!E13+'P3 Energie'!E15+'P3 Energie'!E6*$C$7</f>
        <v>18433.734604138</v>
      </c>
      <c r="E549" s="50" t="n">
        <f aca="false">D549*C549</f>
        <v>138253.009531035</v>
      </c>
      <c r="F549" s="46" t="n">
        <v>541</v>
      </c>
      <c r="G549" s="47" t="n">
        <f aca="false">(F549-1)*$H$6</f>
        <v>0.974879725945757</v>
      </c>
      <c r="H549" s="48" t="n">
        <f aca="false">$H$7*G549</f>
        <v>7.5</v>
      </c>
      <c r="I549" s="49" t="n">
        <f aca="false">0.5*c_rho*'P3 Energie'!F8*'P3 Energie'!F7*(H549-c_Vv)^2+'P3 Energie'!F13+'P3 Energie'!F15+'P3 Energie'!F6*$H$7</f>
        <v>19258.6563915741</v>
      </c>
      <c r="J549" s="50" t="n">
        <f aca="false">I549*H549</f>
        <v>144439.922936806</v>
      </c>
    </row>
    <row r="550" customFormat="false" ht="15" hidden="false" customHeight="false" outlineLevel="0" collapsed="false">
      <c r="A550" s="46" t="n">
        <v>542</v>
      </c>
      <c r="B550" s="47" t="n">
        <f aca="false">(A550-1)*$C$6</f>
        <v>0.977383061164591</v>
      </c>
      <c r="C550" s="48" t="n">
        <f aca="false">$C$7*B550</f>
        <v>7.51388888888889</v>
      </c>
      <c r="D550" s="49" t="n">
        <f aca="false">0.5*c_rho*'P3 Energie'!E8*'P3 Energie'!E7*(C550-c_Vv)^2+'P3 Energie'!E13+'P3 Energie'!E15+'P3 Energie'!E6*$C$7</f>
        <v>18433.8178975927</v>
      </c>
      <c r="E550" s="50" t="n">
        <f aca="false">D550*C550</f>
        <v>138509.659480523</v>
      </c>
      <c r="F550" s="46" t="n">
        <v>542</v>
      </c>
      <c r="G550" s="47" t="n">
        <f aca="false">(F550-1)*$H$6</f>
        <v>0.976685058771582</v>
      </c>
      <c r="H550" s="48" t="n">
        <f aca="false">$H$7*G550</f>
        <v>7.51388888888889</v>
      </c>
      <c r="I550" s="49" t="n">
        <f aca="false">0.5*c_rho*'P3 Energie'!F8*'P3 Energie'!F7*(H550-c_Vv)^2+'P3 Energie'!F13+'P3 Energie'!F15+'P3 Energie'!F6*$H$7</f>
        <v>19258.7287587688</v>
      </c>
      <c r="J550" s="50" t="n">
        <f aca="false">I550*H550</f>
        <v>144707.948034637</v>
      </c>
    </row>
    <row r="551" customFormat="false" ht="15" hidden="false" customHeight="false" outlineLevel="0" collapsed="false">
      <c r="A551" s="46" t="n">
        <v>543</v>
      </c>
      <c r="B551" s="47" t="n">
        <f aca="false">(A551-1)*$C$6</f>
        <v>0.979189684198167</v>
      </c>
      <c r="C551" s="48" t="n">
        <f aca="false">$C$7*B551</f>
        <v>7.52777777777778</v>
      </c>
      <c r="D551" s="49" t="n">
        <f aca="false">0.5*c_rho*'P3 Energie'!E8*'P3 Energie'!E7*(C551-c_Vv)^2+'P3 Energie'!E13+'P3 Energie'!E15+'P3 Energie'!E6*$C$7</f>
        <v>18433.9013451519</v>
      </c>
      <c r="E551" s="50" t="n">
        <f aca="false">D551*C551</f>
        <v>138766.312903782</v>
      </c>
      <c r="F551" s="46" t="n">
        <v>543</v>
      </c>
      <c r="G551" s="47" t="n">
        <f aca="false">(F551-1)*$H$6</f>
        <v>0.978490391597408</v>
      </c>
      <c r="H551" s="48" t="n">
        <f aca="false">$H$7*G551</f>
        <v>7.52777777777778</v>
      </c>
      <c r="I551" s="49" t="n">
        <f aca="false">0.5*c_rho*'P3 Energie'!F8*'P3 Energie'!F7*(H551-c_Vv)^2+'P3 Energie'!F13+'P3 Energie'!F15+'P3 Energie'!F6*$H$7</f>
        <v>19258.8012598528</v>
      </c>
      <c r="J551" s="50" t="n">
        <f aca="false">I551*H551</f>
        <v>144975.976150558</v>
      </c>
    </row>
    <row r="552" customFormat="false" ht="15" hidden="false" customHeight="false" outlineLevel="0" collapsed="false">
      <c r="A552" s="46" t="n">
        <v>544</v>
      </c>
      <c r="B552" s="47" t="n">
        <f aca="false">(A552-1)*$C$6</f>
        <v>0.980996307231743</v>
      </c>
      <c r="C552" s="48" t="n">
        <f aca="false">$C$7*B552</f>
        <v>7.54166666666667</v>
      </c>
      <c r="D552" s="49" t="n">
        <f aca="false">0.5*c_rho*'P3 Energie'!E8*'P3 Energie'!E7*(C552-c_Vv)^2+'P3 Energie'!E13+'P3 Energie'!E15+'P3 Energie'!E6*$C$7</f>
        <v>18433.9849468155</v>
      </c>
      <c r="E552" s="50" t="n">
        <f aca="false">D552*C552</f>
        <v>139022.969807234</v>
      </c>
      <c r="F552" s="46" t="n">
        <v>544</v>
      </c>
      <c r="G552" s="47" t="n">
        <f aca="false">(F552-1)*$H$6</f>
        <v>0.980295724423233</v>
      </c>
      <c r="H552" s="48" t="n">
        <f aca="false">$H$7*G552</f>
        <v>7.54166666666667</v>
      </c>
      <c r="I552" s="49" t="n">
        <f aca="false">0.5*c_rho*'P3 Energie'!F8*'P3 Energie'!F7*(H552-c_Vv)^2+'P3 Energie'!F13+'P3 Energie'!F15+'P3 Energie'!F6*$H$7</f>
        <v>19258.8738948262</v>
      </c>
      <c r="J552" s="50" t="n">
        <f aca="false">I552*H552</f>
        <v>145244.007290147</v>
      </c>
    </row>
    <row r="553" customFormat="false" ht="15" hidden="false" customHeight="false" outlineLevel="0" collapsed="false">
      <c r="A553" s="46" t="n">
        <v>545</v>
      </c>
      <c r="B553" s="47" t="n">
        <f aca="false">(A553-1)*$C$6</f>
        <v>0.982802930265319</v>
      </c>
      <c r="C553" s="48" t="n">
        <f aca="false">$C$7*B553</f>
        <v>7.55555555555556</v>
      </c>
      <c r="D553" s="49" t="n">
        <f aca="false">0.5*c_rho*'P3 Energie'!E8*'P3 Energie'!E7*(C553-c_Vv)^2+'P3 Energie'!E13+'P3 Energie'!E15+'P3 Energie'!E6*$C$7</f>
        <v>18434.0687025836</v>
      </c>
      <c r="E553" s="50" t="n">
        <f aca="false">D553*C553</f>
        <v>139279.630197298</v>
      </c>
      <c r="F553" s="46" t="n">
        <v>545</v>
      </c>
      <c r="G553" s="47" t="n">
        <f aca="false">(F553-1)*$H$6</f>
        <v>0.982101057249059</v>
      </c>
      <c r="H553" s="48" t="n">
        <f aca="false">$H$7*G553</f>
        <v>7.55555555555556</v>
      </c>
      <c r="I553" s="49" t="n">
        <f aca="false">0.5*c_rho*'P3 Energie'!F8*'P3 Energie'!F7*(H553-c_Vv)^2+'P3 Energie'!F13+'P3 Energie'!F15+'P3 Energie'!F6*$H$7</f>
        <v>19258.9466636889</v>
      </c>
      <c r="J553" s="50" t="n">
        <f aca="false">I553*H553</f>
        <v>145512.041458983</v>
      </c>
    </row>
    <row r="554" customFormat="false" ht="15" hidden="false" customHeight="false" outlineLevel="0" collapsed="false">
      <c r="A554" s="46" t="n">
        <v>546</v>
      </c>
      <c r="B554" s="47" t="n">
        <f aca="false">(A554-1)*$C$6</f>
        <v>0.984609553298895</v>
      </c>
      <c r="C554" s="48" t="n">
        <f aca="false">$C$7*B554</f>
        <v>7.56944444444445</v>
      </c>
      <c r="D554" s="49" t="n">
        <f aca="false">0.5*c_rho*'P3 Energie'!E8*'P3 Energie'!E7*(C554-c_Vv)^2+'P3 Energie'!E13+'P3 Energie'!E15+'P3 Energie'!E6*$C$7</f>
        <v>18434.1526124561</v>
      </c>
      <c r="E554" s="50" t="n">
        <f aca="false">D554*C554</f>
        <v>139536.294080397</v>
      </c>
      <c r="F554" s="46" t="n">
        <v>546</v>
      </c>
      <c r="G554" s="47" t="n">
        <f aca="false">(F554-1)*$H$6</f>
        <v>0.983906390074884</v>
      </c>
      <c r="H554" s="48" t="n">
        <f aca="false">$H$7*G554</f>
        <v>7.56944444444445</v>
      </c>
      <c r="I554" s="49" t="n">
        <f aca="false">0.5*c_rho*'P3 Energie'!F8*'P3 Energie'!F7*(H554-c_Vv)^2+'P3 Energie'!F13+'P3 Energie'!F15+'P3 Energie'!F6*$H$7</f>
        <v>19259.019566441</v>
      </c>
      <c r="J554" s="50" t="n">
        <f aca="false">I554*H554</f>
        <v>145780.078662643</v>
      </c>
    </row>
    <row r="555" customFormat="false" ht="15" hidden="false" customHeight="false" outlineLevel="0" collapsed="false">
      <c r="A555" s="46" t="n">
        <v>547</v>
      </c>
      <c r="B555" s="47" t="n">
        <f aca="false">(A555-1)*$C$6</f>
        <v>0.986416176332471</v>
      </c>
      <c r="C555" s="48" t="n">
        <f aca="false">$C$7*B555</f>
        <v>7.58333333333333</v>
      </c>
      <c r="D555" s="49" t="n">
        <f aca="false">0.5*c_rho*'P3 Energie'!E8*'P3 Energie'!E7*(C555-c_Vv)^2+'P3 Energie'!E13+'P3 Energie'!E15+'P3 Energie'!E6*$C$7</f>
        <v>18434.2366764331</v>
      </c>
      <c r="E555" s="50" t="n">
        <f aca="false">D555*C555</f>
        <v>139792.961462951</v>
      </c>
      <c r="F555" s="46" t="n">
        <v>547</v>
      </c>
      <c r="G555" s="47" t="n">
        <f aca="false">(F555-1)*$H$6</f>
        <v>0.98571172290071</v>
      </c>
      <c r="H555" s="48" t="n">
        <f aca="false">$H$7*G555</f>
        <v>7.58333333333333</v>
      </c>
      <c r="I555" s="49" t="n">
        <f aca="false">0.5*c_rho*'P3 Energie'!F8*'P3 Energie'!F7*(H555-c_Vv)^2+'P3 Energie'!F13+'P3 Energie'!F15+'P3 Energie'!F6*$H$7</f>
        <v>19259.0926030824</v>
      </c>
      <c r="J555" s="50" t="n">
        <f aca="false">I555*H555</f>
        <v>146048.118906708</v>
      </c>
    </row>
    <row r="556" customFormat="false" ht="15" hidden="false" customHeight="false" outlineLevel="0" collapsed="false">
      <c r="A556" s="46" t="n">
        <v>548</v>
      </c>
      <c r="B556" s="47" t="n">
        <f aca="false">(A556-1)*$C$6</f>
        <v>0.988222799366046</v>
      </c>
      <c r="C556" s="48" t="n">
        <f aca="false">$C$7*B556</f>
        <v>7.59722222222222</v>
      </c>
      <c r="D556" s="49" t="n">
        <f aca="false">0.5*c_rho*'P3 Energie'!E8*'P3 Energie'!E7*(C556-c_Vv)^2+'P3 Energie'!E13+'P3 Energie'!E15+'P3 Energie'!E6*$C$7</f>
        <v>18434.3208945145</v>
      </c>
      <c r="E556" s="50" t="n">
        <f aca="false">D556*C556</f>
        <v>140049.632351381</v>
      </c>
      <c r="F556" s="46" t="n">
        <v>548</v>
      </c>
      <c r="G556" s="47" t="n">
        <f aca="false">(F556-1)*$H$6</f>
        <v>0.987517055726535</v>
      </c>
      <c r="H556" s="48" t="n">
        <f aca="false">$H$7*G556</f>
        <v>7.59722222222222</v>
      </c>
      <c r="I556" s="49" t="n">
        <f aca="false">0.5*c_rho*'P3 Energie'!F8*'P3 Energie'!F7*(H556-c_Vv)^2+'P3 Energie'!F13+'P3 Energie'!F15+'P3 Energie'!F6*$H$7</f>
        <v>19259.1657736132</v>
      </c>
      <c r="J556" s="50" t="n">
        <f aca="false">I556*H556</f>
        <v>146316.162196756</v>
      </c>
    </row>
    <row r="557" customFormat="false" ht="15" hidden="false" customHeight="false" outlineLevel="0" collapsed="false">
      <c r="A557" s="46" t="n">
        <v>549</v>
      </c>
      <c r="B557" s="47" t="n">
        <f aca="false">(A557-1)*$C$6</f>
        <v>0.990029422399622</v>
      </c>
      <c r="C557" s="48" t="n">
        <f aca="false">$C$7*B557</f>
        <v>7.61111111111111</v>
      </c>
      <c r="D557" s="49" t="n">
        <f aca="false">0.5*c_rho*'P3 Energie'!E8*'P3 Energie'!E7*(C557-c_Vv)^2+'P3 Energie'!E13+'P3 Energie'!E15+'P3 Energie'!E6*$C$7</f>
        <v>18434.4052667003</v>
      </c>
      <c r="E557" s="50" t="n">
        <f aca="false">D557*C557</f>
        <v>140306.306752108</v>
      </c>
      <c r="F557" s="46" t="n">
        <v>549</v>
      </c>
      <c r="G557" s="47" t="n">
        <f aca="false">(F557-1)*$H$6</f>
        <v>0.989322388552361</v>
      </c>
      <c r="H557" s="48" t="n">
        <f aca="false">$H$7*G557</f>
        <v>7.61111111111111</v>
      </c>
      <c r="I557" s="49" t="n">
        <f aca="false">0.5*c_rho*'P3 Energie'!F8*'P3 Energie'!F7*(H557-c_Vv)^2+'P3 Energie'!F13+'P3 Energie'!F15+'P3 Energie'!F6*$H$7</f>
        <v>19259.2390780333</v>
      </c>
      <c r="J557" s="50" t="n">
        <f aca="false">I557*H557</f>
        <v>146584.208538365</v>
      </c>
    </row>
    <row r="558" customFormat="false" ht="15" hidden="false" customHeight="false" outlineLevel="0" collapsed="false">
      <c r="A558" s="46" t="n">
        <v>550</v>
      </c>
      <c r="B558" s="47" t="n">
        <f aca="false">(A558-1)*$C$6</f>
        <v>0.991836045433198</v>
      </c>
      <c r="C558" s="48" t="n">
        <f aca="false">$C$7*B558</f>
        <v>7.625</v>
      </c>
      <c r="D558" s="49" t="n">
        <f aca="false">0.5*c_rho*'P3 Energie'!E8*'P3 Energie'!E7*(C558-c_Vv)^2+'P3 Energie'!E13+'P3 Energie'!E15+'P3 Energie'!E6*$C$7</f>
        <v>18434.4897929907</v>
      </c>
      <c r="E558" s="50" t="n">
        <f aca="false">D558*C558</f>
        <v>140562.984671554</v>
      </c>
      <c r="F558" s="46" t="n">
        <v>550</v>
      </c>
      <c r="G558" s="47" t="n">
        <f aca="false">(F558-1)*$H$6</f>
        <v>0.991127721378186</v>
      </c>
      <c r="H558" s="48" t="n">
        <f aca="false">$H$7*G558</f>
        <v>7.625</v>
      </c>
      <c r="I558" s="49" t="n">
        <f aca="false">0.5*c_rho*'P3 Energie'!F8*'P3 Energie'!F7*(H558-c_Vv)^2+'P3 Energie'!F13+'P3 Energie'!F15+'P3 Energie'!F6*$H$7</f>
        <v>19259.3125163428</v>
      </c>
      <c r="J558" s="50" t="n">
        <f aca="false">I558*H558</f>
        <v>146852.257937114</v>
      </c>
    </row>
    <row r="559" customFormat="false" ht="15" hidden="false" customHeight="false" outlineLevel="0" collapsed="false">
      <c r="A559" s="46" t="n">
        <v>551</v>
      </c>
      <c r="B559" s="47" t="n">
        <f aca="false">(A559-1)*$C$6</f>
        <v>0.993642668466774</v>
      </c>
      <c r="C559" s="48" t="n">
        <f aca="false">$C$7*B559</f>
        <v>7.63888888888889</v>
      </c>
      <c r="D559" s="49" t="n">
        <f aca="false">0.5*c_rho*'P3 Energie'!E8*'P3 Energie'!E7*(C559-c_Vv)^2+'P3 Energie'!E13+'P3 Energie'!E15+'P3 Energie'!E6*$C$7</f>
        <v>18434.5744733854</v>
      </c>
      <c r="E559" s="50" t="n">
        <f aca="false">D559*C559</f>
        <v>140819.666116139</v>
      </c>
      <c r="F559" s="46" t="n">
        <v>551</v>
      </c>
      <c r="G559" s="47" t="n">
        <f aca="false">(F559-1)*$H$6</f>
        <v>0.992933054204012</v>
      </c>
      <c r="H559" s="48" t="n">
        <f aca="false">$H$7*G559</f>
        <v>7.63888888888889</v>
      </c>
      <c r="I559" s="49" t="n">
        <f aca="false">0.5*c_rho*'P3 Energie'!F8*'P3 Energie'!F7*(H559-c_Vv)^2+'P3 Energie'!F13+'P3 Energie'!F15+'P3 Energie'!F6*$H$7</f>
        <v>19259.3860885417</v>
      </c>
      <c r="J559" s="50" t="n">
        <f aca="false">I559*H559</f>
        <v>147120.310398582</v>
      </c>
    </row>
    <row r="560" customFormat="false" ht="15" hidden="false" customHeight="false" outlineLevel="0" collapsed="false">
      <c r="A560" s="46" t="n">
        <v>552</v>
      </c>
      <c r="B560" s="47" t="n">
        <f aca="false">(A560-1)*$C$6</f>
        <v>0.99544929150035</v>
      </c>
      <c r="C560" s="48" t="n">
        <f aca="false">$C$7*B560</f>
        <v>7.65277777777778</v>
      </c>
      <c r="D560" s="49" t="n">
        <f aca="false">0.5*c_rho*'P3 Energie'!E8*'P3 Energie'!E7*(C560-c_Vv)^2+'P3 Energie'!E13+'P3 Energie'!E15+'P3 Energie'!E6*$C$7</f>
        <v>18434.6593078846</v>
      </c>
      <c r="E560" s="50" t="n">
        <f aca="false">D560*C560</f>
        <v>141076.351092284</v>
      </c>
      <c r="F560" s="46" t="n">
        <v>552</v>
      </c>
      <c r="G560" s="47" t="n">
        <f aca="false">(F560-1)*$H$6</f>
        <v>0.994738387029837</v>
      </c>
      <c r="H560" s="48" t="n">
        <f aca="false">$H$7*G560</f>
        <v>7.65277777777778</v>
      </c>
      <c r="I560" s="49" t="n">
        <f aca="false">0.5*c_rho*'P3 Energie'!F8*'P3 Energie'!F7*(H560-c_Vv)^2+'P3 Energie'!F13+'P3 Energie'!F15+'P3 Energie'!F6*$H$7</f>
        <v>19259.4597946299</v>
      </c>
      <c r="J560" s="50" t="n">
        <f aca="false">I560*H560</f>
        <v>147388.365928348</v>
      </c>
    </row>
    <row r="561" customFormat="false" ht="15" hidden="false" customHeight="false" outlineLevel="0" collapsed="false">
      <c r="A561" s="46" t="n">
        <v>553</v>
      </c>
      <c r="B561" s="47" t="n">
        <f aca="false">(A561-1)*$C$6</f>
        <v>0.997255914533926</v>
      </c>
      <c r="C561" s="48" t="n">
        <f aca="false">$C$7*B561</f>
        <v>7.66666666666667</v>
      </c>
      <c r="D561" s="49" t="n">
        <f aca="false">0.5*c_rho*'P3 Energie'!E8*'P3 Energie'!E7*(C561-c_Vv)^2+'P3 Energie'!E13+'P3 Energie'!E15+'P3 Energie'!E6*$C$7</f>
        <v>18434.7442964883</v>
      </c>
      <c r="E561" s="50" t="n">
        <f aca="false">D561*C561</f>
        <v>141333.03960641</v>
      </c>
      <c r="F561" s="46" t="n">
        <v>553</v>
      </c>
      <c r="G561" s="47" t="n">
        <f aca="false">(F561-1)*$H$6</f>
        <v>0.996543719855663</v>
      </c>
      <c r="H561" s="48" t="n">
        <f aca="false">$H$7*G561</f>
        <v>7.66666666666667</v>
      </c>
      <c r="I561" s="49" t="n">
        <f aca="false">0.5*c_rho*'P3 Energie'!F8*'P3 Energie'!F7*(H561-c_Vv)^2+'P3 Energie'!F13+'P3 Energie'!F15+'P3 Energie'!F6*$H$7</f>
        <v>19259.5336346074</v>
      </c>
      <c r="J561" s="50" t="n">
        <f aca="false">I561*H561</f>
        <v>147656.42453199</v>
      </c>
    </row>
    <row r="562" customFormat="false" ht="15" hidden="false" customHeight="false" outlineLevel="0" collapsed="false">
      <c r="A562" s="46" t="n">
        <v>554</v>
      </c>
      <c r="B562" s="47" t="n">
        <f aca="false">(A562-1)*$C$6</f>
        <v>0.999062537567502</v>
      </c>
      <c r="C562" s="48" t="n">
        <f aca="false">$C$7*B562</f>
        <v>7.68055555555556</v>
      </c>
      <c r="D562" s="49" t="n">
        <f aca="false">0.5*c_rho*'P3 Energie'!E8*'P3 Energie'!E7*(C562-c_Vv)^2+'P3 Energie'!E13+'P3 Energie'!E15+'P3 Energie'!E6*$C$7</f>
        <v>18434.8294391964</v>
      </c>
      <c r="E562" s="50" t="n">
        <f aca="false">D562*C562</f>
        <v>141589.731664939</v>
      </c>
      <c r="F562" s="46" t="n">
        <v>554</v>
      </c>
      <c r="G562" s="47" t="n">
        <f aca="false">(F562-1)*$H$6</f>
        <v>0.998349052681488</v>
      </c>
      <c r="H562" s="48" t="n">
        <f aca="false">$H$7*G562</f>
        <v>7.68055555555556</v>
      </c>
      <c r="I562" s="49" t="n">
        <f aca="false">0.5*c_rho*'P3 Energie'!F8*'P3 Energie'!F7*(H562-c_Vv)^2+'P3 Energie'!F13+'P3 Energie'!F15+'P3 Energie'!F6*$H$7</f>
        <v>19259.6076084743</v>
      </c>
      <c r="J562" s="50" t="n">
        <f aca="false">I562*H562</f>
        <v>147924.486215087</v>
      </c>
    </row>
    <row r="563" customFormat="false" ht="15" hidden="false" customHeight="false" outlineLevel="0" collapsed="false">
      <c r="A563" s="46" t="n">
        <v>555</v>
      </c>
      <c r="B563" s="47" t="n">
        <f aca="false">(A563-1)*$C$6</f>
        <v>1.00086916060108</v>
      </c>
      <c r="C563" s="48" t="n">
        <f aca="false">$C$7*B563</f>
        <v>7.69444444444444</v>
      </c>
      <c r="D563" s="49" t="n">
        <f aca="false">0.5*c_rho*'P3 Energie'!E8*'P3 Energie'!E7*(C563-c_Vv)^2+'P3 Energie'!E13+'P3 Energie'!E15+'P3 Energie'!E6*$C$7</f>
        <v>18434.914736009</v>
      </c>
      <c r="E563" s="50" t="n">
        <f aca="false">D563*C563</f>
        <v>141846.427274291</v>
      </c>
      <c r="F563" s="46" t="n">
        <v>555</v>
      </c>
      <c r="G563" s="47" t="n">
        <f aca="false">(F563-1)*$H$6</f>
        <v>1.00015438550731</v>
      </c>
      <c r="H563" s="48" t="n">
        <f aca="false">$H$7*G563</f>
        <v>7.69444444444445</v>
      </c>
      <c r="I563" s="49" t="n">
        <f aca="false">0.5*c_rho*'P3 Energie'!F8*'P3 Energie'!F7*(H563-c_Vv)^2+'P3 Energie'!F13+'P3 Energie'!F15+'P3 Energie'!F6*$H$7</f>
        <v>19259.6817162306</v>
      </c>
      <c r="J563" s="50" t="n">
        <f aca="false">I563*H563</f>
        <v>148192.550983218</v>
      </c>
    </row>
    <row r="564" customFormat="false" ht="15" hidden="false" customHeight="false" outlineLevel="0" collapsed="false">
      <c r="A564" s="46" t="n">
        <v>556</v>
      </c>
      <c r="B564" s="47" t="n">
        <f aca="false">(A564-1)*$C$6</f>
        <v>1.00267578363465</v>
      </c>
      <c r="C564" s="48" t="n">
        <f aca="false">$C$7*B564</f>
        <v>7.70833333333333</v>
      </c>
      <c r="D564" s="49" t="n">
        <f aca="false">0.5*c_rho*'P3 Energie'!E8*'P3 Energie'!E7*(C564-c_Vv)^2+'P3 Energie'!E13+'P3 Energie'!E15+'P3 Energie'!E6*$C$7</f>
        <v>18435.000186926</v>
      </c>
      <c r="E564" s="50" t="n">
        <f aca="false">D564*C564</f>
        <v>142103.126440888</v>
      </c>
      <c r="F564" s="46" t="n">
        <v>556</v>
      </c>
      <c r="G564" s="47" t="n">
        <f aca="false">(F564-1)*$H$6</f>
        <v>1.00195971833314</v>
      </c>
      <c r="H564" s="48" t="n">
        <f aca="false">$H$7*G564</f>
        <v>7.70833333333333</v>
      </c>
      <c r="I564" s="49" t="n">
        <f aca="false">0.5*c_rho*'P3 Energie'!F8*'P3 Energie'!F7*(H564-c_Vv)^2+'P3 Energie'!F13+'P3 Energie'!F15+'P3 Energie'!F6*$H$7</f>
        <v>19259.7559578762</v>
      </c>
      <c r="J564" s="50" t="n">
        <f aca="false">I564*H564</f>
        <v>148460.618841962</v>
      </c>
    </row>
    <row r="565" customFormat="false" ht="15" hidden="false" customHeight="false" outlineLevel="0" collapsed="false">
      <c r="A565" s="46" t="n">
        <v>557</v>
      </c>
      <c r="B565" s="47" t="n">
        <f aca="false">(A565-1)*$C$6</f>
        <v>1.00448240666823</v>
      </c>
      <c r="C565" s="48" t="n">
        <f aca="false">$C$7*B565</f>
        <v>7.72222222222222</v>
      </c>
      <c r="D565" s="49" t="n">
        <f aca="false">0.5*c_rho*'P3 Energie'!E8*'P3 Energie'!E7*(C565-c_Vv)^2+'P3 Energie'!E13+'P3 Energie'!E15+'P3 Energie'!E6*$C$7</f>
        <v>18435.0857919475</v>
      </c>
      <c r="E565" s="50" t="n">
        <f aca="false">D565*C565</f>
        <v>142359.82917115</v>
      </c>
      <c r="F565" s="46" t="n">
        <v>557</v>
      </c>
      <c r="G565" s="47" t="n">
        <f aca="false">(F565-1)*$H$6</f>
        <v>1.00376505115896</v>
      </c>
      <c r="H565" s="48" t="n">
        <f aca="false">$H$7*G565</f>
        <v>7.72222222222222</v>
      </c>
      <c r="I565" s="49" t="n">
        <f aca="false">0.5*c_rho*'P3 Energie'!F8*'P3 Energie'!F7*(H565-c_Vv)^2+'P3 Energie'!F13+'P3 Energie'!F15+'P3 Energie'!F6*$H$7</f>
        <v>19259.8303334111</v>
      </c>
      <c r="J565" s="50" t="n">
        <f aca="false">I565*H565</f>
        <v>148728.689796897</v>
      </c>
    </row>
    <row r="566" customFormat="false" ht="15" hidden="false" customHeight="false" outlineLevel="0" collapsed="false">
      <c r="A566" s="46" t="n">
        <v>558</v>
      </c>
      <c r="B566" s="47" t="n">
        <f aca="false">(A566-1)*$C$6</f>
        <v>1.00628902970181</v>
      </c>
      <c r="C566" s="48" t="n">
        <f aca="false">$C$7*B566</f>
        <v>7.73611111111111</v>
      </c>
      <c r="D566" s="49" t="n">
        <f aca="false">0.5*c_rho*'P3 Energie'!E8*'P3 Energie'!E7*(C566-c_Vv)^2+'P3 Energie'!E13+'P3 Energie'!E15+'P3 Energie'!E6*$C$7</f>
        <v>18435.1715510734</v>
      </c>
      <c r="E566" s="50" t="n">
        <f aca="false">D566*C566</f>
        <v>142616.535471498</v>
      </c>
      <c r="F566" s="46" t="n">
        <v>558</v>
      </c>
      <c r="G566" s="47" t="n">
        <f aca="false">(F566-1)*$H$6</f>
        <v>1.00557038398479</v>
      </c>
      <c r="H566" s="48" t="n">
        <f aca="false">$H$7*G566</f>
        <v>7.73611111111111</v>
      </c>
      <c r="I566" s="49" t="n">
        <f aca="false">0.5*c_rho*'P3 Energie'!F8*'P3 Energie'!F7*(H566-c_Vv)^2+'P3 Energie'!F13+'P3 Energie'!F15+'P3 Energie'!F6*$H$7</f>
        <v>19259.9048428354</v>
      </c>
      <c r="J566" s="50" t="n">
        <f aca="false">I566*H566</f>
        <v>148996.763853602</v>
      </c>
    </row>
    <row r="567" customFormat="false" ht="15" hidden="false" customHeight="false" outlineLevel="0" collapsed="false">
      <c r="A567" s="46" t="n">
        <v>559</v>
      </c>
      <c r="B567" s="47" t="n">
        <f aca="false">(A567-1)*$C$6</f>
        <v>1.00809565273538</v>
      </c>
      <c r="C567" s="48" t="n">
        <f aca="false">$C$7*B567</f>
        <v>7.75</v>
      </c>
      <c r="D567" s="49" t="n">
        <f aca="false">0.5*c_rho*'P3 Energie'!E8*'P3 Energie'!E7*(C567-c_Vv)^2+'P3 Energie'!E13+'P3 Energie'!E15+'P3 Energie'!E6*$C$7</f>
        <v>18435.2574643037</v>
      </c>
      <c r="E567" s="50" t="n">
        <f aca="false">D567*C567</f>
        <v>142873.245348354</v>
      </c>
      <c r="F567" s="46" t="n">
        <v>559</v>
      </c>
      <c r="G567" s="47" t="n">
        <f aca="false">(F567-1)*$H$6</f>
        <v>1.00737571681062</v>
      </c>
      <c r="H567" s="48" t="n">
        <f aca="false">$H$7*G567</f>
        <v>7.75</v>
      </c>
      <c r="I567" s="49" t="n">
        <f aca="false">0.5*c_rho*'P3 Energie'!F8*'P3 Energie'!F7*(H567-c_Vv)^2+'P3 Energie'!F13+'P3 Energie'!F15+'P3 Energie'!F6*$H$7</f>
        <v>19259.9794861491</v>
      </c>
      <c r="J567" s="50" t="n">
        <f aca="false">I567*H567</f>
        <v>149264.841017655</v>
      </c>
    </row>
    <row r="568" customFormat="false" ht="15" hidden="false" customHeight="false" outlineLevel="0" collapsed="false">
      <c r="A568" s="46" t="n">
        <v>560</v>
      </c>
      <c r="B568" s="47" t="n">
        <f aca="false">(A568-1)*$C$6</f>
        <v>1.00990227576896</v>
      </c>
      <c r="C568" s="48" t="n">
        <f aca="false">$C$7*B568</f>
        <v>7.76388888888889</v>
      </c>
      <c r="D568" s="49" t="n">
        <f aca="false">0.5*c_rho*'P3 Energie'!E8*'P3 Energie'!E7*(C568-c_Vv)^2+'P3 Energie'!E13+'P3 Energie'!E15+'P3 Energie'!E6*$C$7</f>
        <v>18435.3435316385</v>
      </c>
      <c r="E568" s="50" t="n">
        <f aca="false">D568*C568</f>
        <v>143129.958808138</v>
      </c>
      <c r="F568" s="46" t="n">
        <v>560</v>
      </c>
      <c r="G568" s="47" t="n">
        <f aca="false">(F568-1)*$H$6</f>
        <v>1.00918104963644</v>
      </c>
      <c r="H568" s="48" t="n">
        <f aca="false">$H$7*G568</f>
        <v>7.76388888888889</v>
      </c>
      <c r="I568" s="49" t="n">
        <f aca="false">0.5*c_rho*'P3 Energie'!F8*'P3 Energie'!F7*(H568-c_Vv)^2+'P3 Energie'!F13+'P3 Energie'!F15+'P3 Energie'!F6*$H$7</f>
        <v>19260.0542633521</v>
      </c>
      <c r="J568" s="50" t="n">
        <f aca="false">I568*H568</f>
        <v>149532.921294636</v>
      </c>
    </row>
    <row r="569" customFormat="false" ht="15" hidden="false" customHeight="false" outlineLevel="0" collapsed="false">
      <c r="A569" s="46" t="n">
        <v>561</v>
      </c>
      <c r="B569" s="47" t="n">
        <f aca="false">(A569-1)*$C$6</f>
        <v>1.01170889880253</v>
      </c>
      <c r="C569" s="48" t="n">
        <f aca="false">$C$7*B569</f>
        <v>7.77777777777778</v>
      </c>
      <c r="D569" s="49" t="n">
        <f aca="false">0.5*c_rho*'P3 Energie'!E8*'P3 Energie'!E7*(C569-c_Vv)^2+'P3 Energie'!E13+'P3 Energie'!E15+'P3 Energie'!E6*$C$7</f>
        <v>18435.4297530778</v>
      </c>
      <c r="E569" s="50" t="n">
        <f aca="false">D569*C569</f>
        <v>143386.675857272</v>
      </c>
      <c r="F569" s="46" t="n">
        <v>561</v>
      </c>
      <c r="G569" s="47" t="n">
        <f aca="false">(F569-1)*$H$6</f>
        <v>1.01098638246227</v>
      </c>
      <c r="H569" s="48" t="n">
        <f aca="false">$H$7*G569</f>
        <v>7.77777777777778</v>
      </c>
      <c r="I569" s="49" t="n">
        <f aca="false">0.5*c_rho*'P3 Energie'!F8*'P3 Energie'!F7*(H569-c_Vv)^2+'P3 Energie'!F13+'P3 Energie'!F15+'P3 Energie'!F6*$H$7</f>
        <v>19260.1291744444</v>
      </c>
      <c r="J569" s="50" t="n">
        <f aca="false">I569*H569</f>
        <v>149801.004690123</v>
      </c>
    </row>
    <row r="570" customFormat="false" ht="15" hidden="false" customHeight="false" outlineLevel="0" collapsed="false">
      <c r="A570" s="46" t="n">
        <v>562</v>
      </c>
      <c r="B570" s="47" t="n">
        <f aca="false">(A570-1)*$C$6</f>
        <v>1.01351552183611</v>
      </c>
      <c r="C570" s="48" t="n">
        <f aca="false">$C$7*B570</f>
        <v>7.79166666666667</v>
      </c>
      <c r="D570" s="49" t="n">
        <f aca="false">0.5*c_rho*'P3 Energie'!E8*'P3 Energie'!E7*(C570-c_Vv)^2+'P3 Energie'!E13+'P3 Energie'!E15+'P3 Energie'!E6*$C$7</f>
        <v>18435.5161286215</v>
      </c>
      <c r="E570" s="50" t="n">
        <f aca="false">D570*C570</f>
        <v>143643.396502176</v>
      </c>
      <c r="F570" s="46" t="n">
        <v>562</v>
      </c>
      <c r="G570" s="47" t="n">
        <f aca="false">(F570-1)*$H$6</f>
        <v>1.01279171528809</v>
      </c>
      <c r="H570" s="48" t="n">
        <f aca="false">$H$7*G570</f>
        <v>7.79166666666667</v>
      </c>
      <c r="I570" s="49" t="n">
        <f aca="false">0.5*c_rho*'P3 Energie'!F8*'P3 Energie'!F7*(H570-c_Vv)^2+'P3 Energie'!F13+'P3 Energie'!F15+'P3 Energie'!F6*$H$7</f>
        <v>19260.2042194262</v>
      </c>
      <c r="J570" s="50" t="n">
        <f aca="false">I570*H570</f>
        <v>150069.091209695</v>
      </c>
    </row>
    <row r="571" customFormat="false" ht="15" hidden="false" customHeight="false" outlineLevel="0" collapsed="false">
      <c r="A571" s="46" t="n">
        <v>563</v>
      </c>
      <c r="B571" s="47" t="n">
        <f aca="false">(A571-1)*$C$6</f>
        <v>1.01532214486969</v>
      </c>
      <c r="C571" s="48" t="n">
        <f aca="false">$C$7*B571</f>
        <v>7.80555555555555</v>
      </c>
      <c r="D571" s="49" t="n">
        <f aca="false">0.5*c_rho*'P3 Energie'!E8*'P3 Energie'!E7*(C571-c_Vv)^2+'P3 Energie'!E13+'P3 Energie'!E15+'P3 Energie'!E6*$C$7</f>
        <v>18435.6026582696</v>
      </c>
      <c r="E571" s="50" t="n">
        <f aca="false">D571*C571</f>
        <v>143900.120749271</v>
      </c>
      <c r="F571" s="46" t="n">
        <v>563</v>
      </c>
      <c r="G571" s="47" t="n">
        <f aca="false">(F571-1)*$H$6</f>
        <v>1.01459704811392</v>
      </c>
      <c r="H571" s="48" t="n">
        <f aca="false">$H$7*G571</f>
        <v>7.80555555555556</v>
      </c>
      <c r="I571" s="49" t="n">
        <f aca="false">0.5*c_rho*'P3 Energie'!F8*'P3 Energie'!F7*(H571-c_Vv)^2+'P3 Energie'!F13+'P3 Energie'!F15+'P3 Energie'!F6*$H$7</f>
        <v>19260.2793982972</v>
      </c>
      <c r="J571" s="50" t="n">
        <f aca="false">I571*H571</f>
        <v>150337.180858931</v>
      </c>
    </row>
    <row r="572" customFormat="false" ht="15" hidden="false" customHeight="false" outlineLevel="0" collapsed="false">
      <c r="A572" s="46" t="n">
        <v>564</v>
      </c>
      <c r="B572" s="47" t="n">
        <f aca="false">(A572-1)*$C$6</f>
        <v>1.01712876790326</v>
      </c>
      <c r="C572" s="48" t="n">
        <f aca="false">$C$7*B572</f>
        <v>7.81944444444445</v>
      </c>
      <c r="D572" s="49" t="n">
        <f aca="false">0.5*c_rho*'P3 Energie'!E8*'P3 Energie'!E7*(C572-c_Vv)^2+'P3 Energie'!E13+'P3 Energie'!E15+'P3 Energie'!E6*$C$7</f>
        <v>18435.6893420222</v>
      </c>
      <c r="E572" s="50" t="n">
        <f aca="false">D572*C572</f>
        <v>144156.84860498</v>
      </c>
      <c r="F572" s="46" t="n">
        <v>564</v>
      </c>
      <c r="G572" s="47" t="n">
        <f aca="false">(F572-1)*$H$6</f>
        <v>1.01640238093974</v>
      </c>
      <c r="H572" s="48" t="n">
        <f aca="false">$H$7*G572</f>
        <v>7.81944444444445</v>
      </c>
      <c r="I572" s="49" t="n">
        <f aca="false">0.5*c_rho*'P3 Energie'!F8*'P3 Energie'!F7*(H572-c_Vv)^2+'P3 Energie'!F13+'P3 Energie'!F15+'P3 Energie'!F6*$H$7</f>
        <v>19260.3547110576</v>
      </c>
      <c r="J572" s="50" t="n">
        <f aca="false">I572*H572</f>
        <v>150605.273643409</v>
      </c>
    </row>
    <row r="573" customFormat="false" ht="15" hidden="false" customHeight="false" outlineLevel="0" collapsed="false">
      <c r="A573" s="46" t="n">
        <v>565</v>
      </c>
      <c r="B573" s="47" t="n">
        <f aca="false">(A573-1)*$C$6</f>
        <v>1.01893539093684</v>
      </c>
      <c r="C573" s="48" t="n">
        <f aca="false">$C$7*B573</f>
        <v>7.83333333333333</v>
      </c>
      <c r="D573" s="49" t="n">
        <f aca="false">0.5*c_rho*'P3 Energie'!E8*'P3 Energie'!E7*(C573-c_Vv)^2+'P3 Energie'!E13+'P3 Energie'!E15+'P3 Energie'!E6*$C$7</f>
        <v>18435.7761798793</v>
      </c>
      <c r="E573" s="50" t="n">
        <f aca="false">D573*C573</f>
        <v>144413.580075721</v>
      </c>
      <c r="F573" s="46" t="n">
        <v>565</v>
      </c>
      <c r="G573" s="47" t="n">
        <f aca="false">(F573-1)*$H$6</f>
        <v>1.01820771376557</v>
      </c>
      <c r="H573" s="48" t="n">
        <f aca="false">$H$7*G573</f>
        <v>7.83333333333333</v>
      </c>
      <c r="I573" s="49" t="n">
        <f aca="false">0.5*c_rho*'P3 Energie'!F8*'P3 Energie'!F7*(H573-c_Vv)^2+'P3 Energie'!F13+'P3 Energie'!F15+'P3 Energie'!F6*$H$7</f>
        <v>19260.4301577074</v>
      </c>
      <c r="J573" s="50" t="n">
        <f aca="false">I573*H573</f>
        <v>150873.369568708</v>
      </c>
    </row>
    <row r="574" customFormat="false" ht="15" hidden="false" customHeight="false" outlineLevel="0" collapsed="false">
      <c r="A574" s="46" t="n">
        <v>566</v>
      </c>
      <c r="B574" s="47" t="n">
        <f aca="false">(A574-1)*$C$6</f>
        <v>1.02074201397041</v>
      </c>
      <c r="C574" s="48" t="n">
        <f aca="false">$C$7*B574</f>
        <v>7.84722222222222</v>
      </c>
      <c r="D574" s="49" t="n">
        <f aca="false">0.5*c_rho*'P3 Energie'!E8*'P3 Energie'!E7*(C574-c_Vv)^2+'P3 Energie'!E13+'P3 Energie'!E15+'P3 Energie'!E6*$C$7</f>
        <v>18435.8631718408</v>
      </c>
      <c r="E574" s="50" t="n">
        <f aca="false">D574*C574</f>
        <v>144670.315167917</v>
      </c>
      <c r="F574" s="46" t="n">
        <v>566</v>
      </c>
      <c r="G574" s="47" t="n">
        <f aca="false">(F574-1)*$H$6</f>
        <v>1.02001304659139</v>
      </c>
      <c r="H574" s="48" t="n">
        <f aca="false">$H$7*G574</f>
        <v>7.84722222222222</v>
      </c>
      <c r="I574" s="49" t="n">
        <f aca="false">0.5*c_rho*'P3 Energie'!F8*'P3 Energie'!F7*(H574-c_Vv)^2+'P3 Energie'!F13+'P3 Energie'!F15+'P3 Energie'!F6*$H$7</f>
        <v>19260.5057382465</v>
      </c>
      <c r="J574" s="50" t="n">
        <f aca="false">I574*H574</f>
        <v>151141.468640407</v>
      </c>
    </row>
    <row r="575" customFormat="false" ht="15" hidden="false" customHeight="false" outlineLevel="0" collapsed="false">
      <c r="A575" s="46" t="n">
        <v>567</v>
      </c>
      <c r="B575" s="47" t="n">
        <f aca="false">(A575-1)*$C$6</f>
        <v>1.02254863700399</v>
      </c>
      <c r="C575" s="48" t="n">
        <f aca="false">$C$7*B575</f>
        <v>7.86111111111111</v>
      </c>
      <c r="D575" s="49" t="n">
        <f aca="false">0.5*c_rho*'P3 Energie'!E8*'P3 Energie'!E7*(C575-c_Vv)^2+'P3 Energie'!E13+'P3 Energie'!E15+'P3 Energie'!E6*$C$7</f>
        <v>18435.9503179068</v>
      </c>
      <c r="E575" s="50" t="n">
        <f aca="false">D575*C575</f>
        <v>144927.053887989</v>
      </c>
      <c r="F575" s="46" t="n">
        <v>567</v>
      </c>
      <c r="G575" s="47" t="n">
        <f aca="false">(F575-1)*$H$6</f>
        <v>1.02181837941722</v>
      </c>
      <c r="H575" s="48" t="n">
        <f aca="false">$H$7*G575</f>
        <v>7.86111111111111</v>
      </c>
      <c r="I575" s="49" t="n">
        <f aca="false">0.5*c_rho*'P3 Energie'!F8*'P3 Energie'!F7*(H575-c_Vv)^2+'P3 Energie'!F13+'P3 Energie'!F15+'P3 Energie'!F6*$H$7</f>
        <v>19260.581452675</v>
      </c>
      <c r="J575" s="50" t="n">
        <f aca="false">I575*H575</f>
        <v>151409.570864084</v>
      </c>
    </row>
    <row r="576" customFormat="false" ht="15" hidden="false" customHeight="false" outlineLevel="0" collapsed="false">
      <c r="A576" s="46" t="n">
        <v>568</v>
      </c>
      <c r="B576" s="47" t="n">
        <f aca="false">(A576-1)*$C$6</f>
        <v>1.02435526003757</v>
      </c>
      <c r="C576" s="48" t="n">
        <f aca="false">$C$7*B576</f>
        <v>7.875</v>
      </c>
      <c r="D576" s="49" t="n">
        <f aca="false">0.5*c_rho*'P3 Energie'!E8*'P3 Energie'!E7*(C576-c_Vv)^2+'P3 Energie'!E13+'P3 Energie'!E15+'P3 Energie'!E6*$C$7</f>
        <v>18436.0376180772</v>
      </c>
      <c r="E576" s="50" t="n">
        <f aca="false">D576*C576</f>
        <v>145183.796242358</v>
      </c>
      <c r="F576" s="46" t="n">
        <v>568</v>
      </c>
      <c r="G576" s="47" t="n">
        <f aca="false">(F576-1)*$H$6</f>
        <v>1.02362371224304</v>
      </c>
      <c r="H576" s="48" t="n">
        <f aca="false">$H$7*G576</f>
        <v>7.875</v>
      </c>
      <c r="I576" s="49" t="n">
        <f aca="false">0.5*c_rho*'P3 Energie'!F8*'P3 Energie'!F7*(H576-c_Vv)^2+'P3 Energie'!F13+'P3 Energie'!F15+'P3 Energie'!F6*$H$7</f>
        <v>19260.6573009928</v>
      </c>
      <c r="J576" s="50" t="n">
        <f aca="false">I576*H576</f>
        <v>151677.676245319</v>
      </c>
    </row>
    <row r="577" customFormat="false" ht="15" hidden="false" customHeight="false" outlineLevel="0" collapsed="false">
      <c r="A577" s="46" t="n">
        <v>569</v>
      </c>
      <c r="B577" s="47" t="n">
        <f aca="false">(A577-1)*$C$6</f>
        <v>1.02616188307114</v>
      </c>
      <c r="C577" s="48" t="n">
        <f aca="false">$C$7*B577</f>
        <v>7.88888888888889</v>
      </c>
      <c r="D577" s="49" t="n">
        <f aca="false">0.5*c_rho*'P3 Energie'!E8*'P3 Energie'!E7*(C577-c_Vv)^2+'P3 Energie'!E13+'P3 Energie'!E15+'P3 Energie'!E6*$C$7</f>
        <v>18436.125072352</v>
      </c>
      <c r="E577" s="50" t="n">
        <f aca="false">D577*C577</f>
        <v>145440.542237444</v>
      </c>
      <c r="F577" s="46" t="n">
        <v>569</v>
      </c>
      <c r="G577" s="47" t="n">
        <f aca="false">(F577-1)*$H$6</f>
        <v>1.02542904506887</v>
      </c>
      <c r="H577" s="48" t="n">
        <f aca="false">$H$7*G577</f>
        <v>7.88888888888889</v>
      </c>
      <c r="I577" s="49" t="n">
        <f aca="false">0.5*c_rho*'P3 Energie'!F8*'P3 Energie'!F7*(H577-c_Vv)^2+'P3 Energie'!F13+'P3 Energie'!F15+'P3 Energie'!F6*$H$7</f>
        <v>19260.7332832</v>
      </c>
      <c r="J577" s="50" t="n">
        <f aca="false">I577*H577</f>
        <v>151945.784789689</v>
      </c>
    </row>
    <row r="578" customFormat="false" ht="15" hidden="false" customHeight="false" outlineLevel="0" collapsed="false">
      <c r="A578" s="46" t="n">
        <v>570</v>
      </c>
      <c r="B578" s="47" t="n">
        <f aca="false">(A578-1)*$C$6</f>
        <v>1.02796850610472</v>
      </c>
      <c r="C578" s="48" t="n">
        <f aca="false">$C$7*B578</f>
        <v>7.90277777777778</v>
      </c>
      <c r="D578" s="49" t="n">
        <f aca="false">0.5*c_rho*'P3 Energie'!E8*'P3 Energie'!E7*(C578-c_Vv)^2+'P3 Energie'!E13+'P3 Energie'!E15+'P3 Energie'!E6*$C$7</f>
        <v>18436.2126807313</v>
      </c>
      <c r="E578" s="50" t="n">
        <f aca="false">D578*C578</f>
        <v>145697.291879668</v>
      </c>
      <c r="F578" s="46" t="n">
        <v>570</v>
      </c>
      <c r="G578" s="47" t="n">
        <f aca="false">(F578-1)*$H$6</f>
        <v>1.0272343778947</v>
      </c>
      <c r="H578" s="48" t="n">
        <f aca="false">$H$7*G578</f>
        <v>7.90277777777778</v>
      </c>
      <c r="I578" s="49" t="n">
        <f aca="false">0.5*c_rho*'P3 Energie'!F8*'P3 Energie'!F7*(H578-c_Vv)^2+'P3 Energie'!F13+'P3 Energie'!F15+'P3 Energie'!F6*$H$7</f>
        <v>19260.8093992965</v>
      </c>
      <c r="J578" s="50" t="n">
        <f aca="false">I578*H578</f>
        <v>152213.896502774</v>
      </c>
    </row>
    <row r="579" customFormat="false" ht="15" hidden="false" customHeight="false" outlineLevel="0" collapsed="false">
      <c r="A579" s="46" t="n">
        <v>571</v>
      </c>
      <c r="B579" s="47" t="n">
        <f aca="false">(A579-1)*$C$6</f>
        <v>1.02977512913829</v>
      </c>
      <c r="C579" s="48" t="n">
        <f aca="false">$C$7*B579</f>
        <v>7.91666666666667</v>
      </c>
      <c r="D579" s="49" t="n">
        <f aca="false">0.5*c_rho*'P3 Energie'!E8*'P3 Energie'!E7*(C579-c_Vv)^2+'P3 Energie'!E13+'P3 Energie'!E15+'P3 Energie'!E6*$C$7</f>
        <v>18436.3004432151</v>
      </c>
      <c r="E579" s="50" t="n">
        <f aca="false">D579*C579</f>
        <v>145954.045175452</v>
      </c>
      <c r="F579" s="46" t="n">
        <v>571</v>
      </c>
      <c r="G579" s="47" t="n">
        <f aca="false">(F579-1)*$H$6</f>
        <v>1.02903971072052</v>
      </c>
      <c r="H579" s="48" t="n">
        <f aca="false">$H$7*G579</f>
        <v>7.91666666666667</v>
      </c>
      <c r="I579" s="49" t="n">
        <f aca="false">0.5*c_rho*'P3 Energie'!F8*'P3 Energie'!F7*(H579-c_Vv)^2+'P3 Energie'!F13+'P3 Energie'!F15+'P3 Energie'!F6*$H$7</f>
        <v>19260.8856492824</v>
      </c>
      <c r="J579" s="50" t="n">
        <f aca="false">I579*H579</f>
        <v>152482.011390152</v>
      </c>
    </row>
    <row r="580" customFormat="false" ht="15" hidden="false" customHeight="false" outlineLevel="0" collapsed="false">
      <c r="A580" s="46" t="n">
        <v>572</v>
      </c>
      <c r="B580" s="47" t="n">
        <f aca="false">(A580-1)*$C$6</f>
        <v>1.03158175217187</v>
      </c>
      <c r="C580" s="48" t="n">
        <f aca="false">$C$7*B580</f>
        <v>7.93055555555556</v>
      </c>
      <c r="D580" s="49" t="n">
        <f aca="false">0.5*c_rho*'P3 Energie'!E8*'P3 Energie'!E7*(C580-c_Vv)^2+'P3 Energie'!E13+'P3 Energie'!E15+'P3 Energie'!E6*$C$7</f>
        <v>18436.3883598032</v>
      </c>
      <c r="E580" s="50" t="n">
        <f aca="false">D580*C580</f>
        <v>146210.802131217</v>
      </c>
      <c r="F580" s="46" t="n">
        <v>572</v>
      </c>
      <c r="G580" s="47" t="n">
        <f aca="false">(F580-1)*$H$6</f>
        <v>1.03084504354635</v>
      </c>
      <c r="H580" s="48" t="n">
        <f aca="false">$H$7*G580</f>
        <v>7.93055555555556</v>
      </c>
      <c r="I580" s="49" t="n">
        <f aca="false">0.5*c_rho*'P3 Energie'!F8*'P3 Energie'!F7*(H580-c_Vv)^2+'P3 Energie'!F13+'P3 Energie'!F15+'P3 Energie'!F6*$H$7</f>
        <v>19260.9620331576</v>
      </c>
      <c r="J580" s="50" t="n">
        <f aca="false">I580*H580</f>
        <v>152750.129457403</v>
      </c>
    </row>
    <row r="581" customFormat="false" ht="15" hidden="false" customHeight="false" outlineLevel="0" collapsed="false">
      <c r="A581" s="46" t="n">
        <v>573</v>
      </c>
      <c r="B581" s="47" t="n">
        <f aca="false">(A581-1)*$C$6</f>
        <v>1.03338837520545</v>
      </c>
      <c r="C581" s="48" t="n">
        <f aca="false">$C$7*B581</f>
        <v>7.94444444444445</v>
      </c>
      <c r="D581" s="49" t="n">
        <f aca="false">0.5*c_rho*'P3 Energie'!E8*'P3 Energie'!E7*(C581-c_Vv)^2+'P3 Energie'!E13+'P3 Energie'!E15+'P3 Energie'!E6*$C$7</f>
        <v>18436.4764304959</v>
      </c>
      <c r="E581" s="50" t="n">
        <f aca="false">D581*C581</f>
        <v>146467.562753384</v>
      </c>
      <c r="F581" s="46" t="n">
        <v>573</v>
      </c>
      <c r="G581" s="47" t="n">
        <f aca="false">(F581-1)*$H$6</f>
        <v>1.03265037637217</v>
      </c>
      <c r="H581" s="48" t="n">
        <f aca="false">$H$7*G581</f>
        <v>7.94444444444445</v>
      </c>
      <c r="I581" s="49" t="n">
        <f aca="false">0.5*c_rho*'P3 Energie'!F8*'P3 Energie'!F7*(H581-c_Vv)^2+'P3 Energie'!F13+'P3 Energie'!F15+'P3 Energie'!F6*$H$7</f>
        <v>19261.0385509222</v>
      </c>
      <c r="J581" s="50" t="n">
        <f aca="false">I581*H581</f>
        <v>153018.250710104</v>
      </c>
    </row>
    <row r="582" customFormat="false" ht="15" hidden="false" customHeight="false" outlineLevel="0" collapsed="false">
      <c r="A582" s="46" t="n">
        <v>574</v>
      </c>
      <c r="B582" s="47" t="n">
        <f aca="false">(A582-1)*$C$6</f>
        <v>1.03519499823902</v>
      </c>
      <c r="C582" s="48" t="n">
        <f aca="false">$C$7*B582</f>
        <v>7.95833333333333</v>
      </c>
      <c r="D582" s="49" t="n">
        <f aca="false">0.5*c_rho*'P3 Energie'!E8*'P3 Energie'!E7*(C582-c_Vv)^2+'P3 Energie'!E13+'P3 Energie'!E15+'P3 Energie'!E6*$C$7</f>
        <v>18436.564655293</v>
      </c>
      <c r="E582" s="50" t="n">
        <f aca="false">D582*C582</f>
        <v>146724.327048373</v>
      </c>
      <c r="F582" s="46" t="n">
        <v>574</v>
      </c>
      <c r="G582" s="47" t="n">
        <f aca="false">(F582-1)*$H$6</f>
        <v>1.034455709198</v>
      </c>
      <c r="H582" s="48" t="n">
        <f aca="false">$H$7*G582</f>
        <v>7.95833333333333</v>
      </c>
      <c r="I582" s="49" t="n">
        <f aca="false">0.5*c_rho*'P3 Energie'!F8*'P3 Energie'!F7*(H582-c_Vv)^2+'P3 Energie'!F13+'P3 Energie'!F15+'P3 Energie'!F6*$H$7</f>
        <v>19261.1152025762</v>
      </c>
      <c r="J582" s="50" t="n">
        <f aca="false">I582*H582</f>
        <v>153286.375153835</v>
      </c>
    </row>
    <row r="583" customFormat="false" ht="15" hidden="false" customHeight="false" outlineLevel="0" collapsed="false">
      <c r="A583" s="46" t="n">
        <v>575</v>
      </c>
      <c r="B583" s="47" t="n">
        <f aca="false">(A583-1)*$C$6</f>
        <v>1.0370016212726</v>
      </c>
      <c r="C583" s="48" t="n">
        <f aca="false">$C$7*B583</f>
        <v>7.97222222222222</v>
      </c>
      <c r="D583" s="49" t="n">
        <f aca="false">0.5*c_rho*'P3 Energie'!E8*'P3 Energie'!E7*(C583-c_Vv)^2+'P3 Energie'!E13+'P3 Energie'!E15+'P3 Energie'!E6*$C$7</f>
        <v>18436.6530341945</v>
      </c>
      <c r="E583" s="50" t="n">
        <f aca="false">D583*C583</f>
        <v>146981.095022606</v>
      </c>
      <c r="F583" s="46" t="n">
        <v>575</v>
      </c>
      <c r="G583" s="47" t="n">
        <f aca="false">(F583-1)*$H$6</f>
        <v>1.03626104202382</v>
      </c>
      <c r="H583" s="48" t="n">
        <f aca="false">$H$7*G583</f>
        <v>7.97222222222222</v>
      </c>
      <c r="I583" s="49" t="n">
        <f aca="false">0.5*c_rho*'P3 Energie'!F8*'P3 Energie'!F7*(H583-c_Vv)^2+'P3 Energie'!F13+'P3 Energie'!F15+'P3 Energie'!F6*$H$7</f>
        <v>19261.1919881194</v>
      </c>
      <c r="J583" s="50" t="n">
        <f aca="false">I583*H583</f>
        <v>153554.502794174</v>
      </c>
    </row>
    <row r="584" customFormat="false" ht="15" hidden="false" customHeight="false" outlineLevel="0" collapsed="false">
      <c r="A584" s="46" t="n">
        <v>576</v>
      </c>
      <c r="B584" s="47" t="n">
        <f aca="false">(A584-1)*$C$6</f>
        <v>1.03880824430617</v>
      </c>
      <c r="C584" s="48" t="n">
        <f aca="false">$C$7*B584</f>
        <v>7.98611111111111</v>
      </c>
      <c r="D584" s="49" t="n">
        <f aca="false">0.5*c_rho*'P3 Energie'!E8*'P3 Energie'!E7*(C584-c_Vv)^2+'P3 Energie'!E13+'P3 Energie'!E15+'P3 Energie'!E6*$C$7</f>
        <v>18436.7415672005</v>
      </c>
      <c r="E584" s="50" t="n">
        <f aca="false">D584*C584</f>
        <v>147237.866682504</v>
      </c>
      <c r="F584" s="46" t="n">
        <v>576</v>
      </c>
      <c r="G584" s="47" t="n">
        <f aca="false">(F584-1)*$H$6</f>
        <v>1.03806637484965</v>
      </c>
      <c r="H584" s="48" t="n">
        <f aca="false">$H$7*G584</f>
        <v>7.98611111111111</v>
      </c>
      <c r="I584" s="49" t="n">
        <f aca="false">0.5*c_rho*'P3 Energie'!F8*'P3 Energie'!F7*(H584-c_Vv)^2+'P3 Energie'!F13+'P3 Energie'!F15+'P3 Energie'!F6*$H$7</f>
        <v>19261.2689075521</v>
      </c>
      <c r="J584" s="50" t="n">
        <f aca="false">I584*H584</f>
        <v>153822.633636701</v>
      </c>
    </row>
    <row r="585" customFormat="false" ht="15" hidden="false" customHeight="false" outlineLevel="0" collapsed="false">
      <c r="A585" s="46" t="n">
        <v>577</v>
      </c>
      <c r="B585" s="47" t="n">
        <f aca="false">(A585-1)*$C$6</f>
        <v>1.04061486733975</v>
      </c>
      <c r="C585" s="48" t="n">
        <f aca="false">$C$7*B585</f>
        <v>8</v>
      </c>
      <c r="D585" s="49" t="n">
        <f aca="false">0.5*c_rho*'P3 Energie'!E8*'P3 Energie'!E7*(C585-c_Vv)^2+'P3 Energie'!E13+'P3 Energie'!E15+'P3 Energie'!E6*$C$7</f>
        <v>18436.830254311</v>
      </c>
      <c r="E585" s="50" t="n">
        <f aca="false">D585*C585</f>
        <v>147494.642034488</v>
      </c>
      <c r="F585" s="46" t="n">
        <v>577</v>
      </c>
      <c r="G585" s="47" t="n">
        <f aca="false">(F585-1)*$H$6</f>
        <v>1.03987170767547</v>
      </c>
      <c r="H585" s="48" t="n">
        <f aca="false">$H$7*G585</f>
        <v>8</v>
      </c>
      <c r="I585" s="49" t="n">
        <f aca="false">0.5*c_rho*'P3 Energie'!F8*'P3 Energie'!F7*(H585-c_Vv)^2+'P3 Energie'!F13+'P3 Energie'!F15+'P3 Energie'!F6*$H$7</f>
        <v>19261.3459608741</v>
      </c>
      <c r="J585" s="50" t="n">
        <f aca="false">I585*H585</f>
        <v>154090.767686993</v>
      </c>
    </row>
    <row r="586" customFormat="false" ht="15" hidden="false" customHeight="false" outlineLevel="0" collapsed="false">
      <c r="A586" s="46" t="n">
        <v>578</v>
      </c>
      <c r="B586" s="47" t="n">
        <f aca="false">(A586-1)*$C$6</f>
        <v>1.04242149037333</v>
      </c>
      <c r="C586" s="48" t="n">
        <f aca="false">$C$7*B586</f>
        <v>8.01388888888889</v>
      </c>
      <c r="D586" s="49" t="n">
        <f aca="false">0.5*c_rho*'P3 Energie'!E8*'P3 Energie'!E7*(C586-c_Vv)^2+'P3 Energie'!E13+'P3 Energie'!E15+'P3 Energie'!E6*$C$7</f>
        <v>18436.9190955259</v>
      </c>
      <c r="E586" s="50" t="n">
        <f aca="false">D586*C586</f>
        <v>147751.421084978</v>
      </c>
      <c r="F586" s="46" t="n">
        <v>578</v>
      </c>
      <c r="G586" s="47" t="n">
        <f aca="false">(F586-1)*$H$6</f>
        <v>1.0416770405013</v>
      </c>
      <c r="H586" s="48" t="n">
        <f aca="false">$H$7*G586</f>
        <v>8.01388888888889</v>
      </c>
      <c r="I586" s="49" t="n">
        <f aca="false">0.5*c_rho*'P3 Energie'!F8*'P3 Energie'!F7*(H586-c_Vv)^2+'P3 Energie'!F13+'P3 Energie'!F15+'P3 Energie'!F6*$H$7</f>
        <v>19261.4231480854</v>
      </c>
      <c r="J586" s="50" t="n">
        <f aca="false">I586*H586</f>
        <v>154358.904950629</v>
      </c>
    </row>
    <row r="587" customFormat="false" ht="15" hidden="false" customHeight="false" outlineLevel="0" collapsed="false">
      <c r="A587" s="46" t="n">
        <v>579</v>
      </c>
      <c r="B587" s="47" t="n">
        <f aca="false">(A587-1)*$C$6</f>
        <v>1.0442281134069</v>
      </c>
      <c r="C587" s="48" t="n">
        <f aca="false">$C$7*B587</f>
        <v>8.02777777777778</v>
      </c>
      <c r="D587" s="49" t="n">
        <f aca="false">0.5*c_rho*'P3 Energie'!E8*'P3 Energie'!E7*(C587-c_Vv)^2+'P3 Energie'!E13+'P3 Energie'!E15+'P3 Energie'!E6*$C$7</f>
        <v>18437.0080908452</v>
      </c>
      <c r="E587" s="50" t="n">
        <f aca="false">D587*C587</f>
        <v>148008.203840396</v>
      </c>
      <c r="F587" s="46" t="n">
        <v>579</v>
      </c>
      <c r="G587" s="47" t="n">
        <f aca="false">(F587-1)*$H$6</f>
        <v>1.04348237332712</v>
      </c>
      <c r="H587" s="48" t="n">
        <f aca="false">$H$7*G587</f>
        <v>8.02777777777778</v>
      </c>
      <c r="I587" s="49" t="n">
        <f aca="false">0.5*c_rho*'P3 Energie'!F8*'P3 Energie'!F7*(H587-c_Vv)^2+'P3 Energie'!F13+'P3 Energie'!F15+'P3 Energie'!F6*$H$7</f>
        <v>19261.5004691861</v>
      </c>
      <c r="J587" s="50" t="n">
        <f aca="false">I587*H587</f>
        <v>154627.045433189</v>
      </c>
    </row>
    <row r="588" customFormat="false" ht="15" hidden="false" customHeight="false" outlineLevel="0" collapsed="false">
      <c r="A588" s="46" t="n">
        <v>580</v>
      </c>
      <c r="B588" s="47" t="n">
        <f aca="false">(A588-1)*$C$6</f>
        <v>1.04603473644048</v>
      </c>
      <c r="C588" s="48" t="n">
        <f aca="false">$C$7*B588</f>
        <v>8.04166666666667</v>
      </c>
      <c r="D588" s="49" t="n">
        <f aca="false">0.5*c_rho*'P3 Energie'!E8*'P3 Energie'!E7*(C588-c_Vv)^2+'P3 Energie'!E13+'P3 Energie'!E15+'P3 Energie'!E6*$C$7</f>
        <v>18437.097240269</v>
      </c>
      <c r="E588" s="50" t="n">
        <f aca="false">D588*C588</f>
        <v>148264.990307163</v>
      </c>
      <c r="F588" s="46" t="n">
        <v>580</v>
      </c>
      <c r="G588" s="47" t="n">
        <f aca="false">(F588-1)*$H$6</f>
        <v>1.04528770615295</v>
      </c>
      <c r="H588" s="48" t="n">
        <f aca="false">$H$7*G588</f>
        <v>8.04166666666667</v>
      </c>
      <c r="I588" s="49" t="n">
        <f aca="false">0.5*c_rho*'P3 Energie'!F8*'P3 Energie'!F7*(H588-c_Vv)^2+'P3 Energie'!F13+'P3 Energie'!F15+'P3 Energie'!F6*$H$7</f>
        <v>19261.5779241762</v>
      </c>
      <c r="J588" s="50" t="n">
        <f aca="false">I588*H588</f>
        <v>154895.18914025</v>
      </c>
    </row>
    <row r="589" customFormat="false" ht="15" hidden="false" customHeight="false" outlineLevel="0" collapsed="false">
      <c r="A589" s="46" t="n">
        <v>581</v>
      </c>
      <c r="B589" s="47" t="n">
        <f aca="false">(A589-1)*$C$6</f>
        <v>1.04784135947405</v>
      </c>
      <c r="C589" s="48" t="n">
        <f aca="false">$C$7*B589</f>
        <v>8.05555555555556</v>
      </c>
      <c r="D589" s="49" t="n">
        <f aca="false">0.5*c_rho*'P3 Energie'!E8*'P3 Energie'!E7*(C589-c_Vv)^2+'P3 Energie'!E13+'P3 Energie'!E15+'P3 Energie'!E6*$C$7</f>
        <v>18437.1865437972</v>
      </c>
      <c r="E589" s="50" t="n">
        <f aca="false">D589*C589</f>
        <v>148521.7804917</v>
      </c>
      <c r="F589" s="46" t="n">
        <v>581</v>
      </c>
      <c r="G589" s="47" t="n">
        <f aca="false">(F589-1)*$H$6</f>
        <v>1.04709303897878</v>
      </c>
      <c r="H589" s="48" t="n">
        <f aca="false">$H$7*G589</f>
        <v>8.05555555555556</v>
      </c>
      <c r="I589" s="49" t="n">
        <f aca="false">0.5*c_rho*'P3 Energie'!F8*'P3 Energie'!F7*(H589-c_Vv)^2+'P3 Energie'!F13+'P3 Energie'!F15+'P3 Energie'!F6*$H$7</f>
        <v>19261.6555130556</v>
      </c>
      <c r="J589" s="50" t="n">
        <f aca="false">I589*H589</f>
        <v>155163.336077392</v>
      </c>
    </row>
    <row r="590" customFormat="false" ht="15" hidden="false" customHeight="false" outlineLevel="0" collapsed="false">
      <c r="A590" s="46" t="n">
        <v>582</v>
      </c>
      <c r="B590" s="47" t="n">
        <f aca="false">(A590-1)*$C$6</f>
        <v>1.04964798250763</v>
      </c>
      <c r="C590" s="48" t="n">
        <f aca="false">$C$7*B590</f>
        <v>8.06944444444445</v>
      </c>
      <c r="D590" s="49" t="n">
        <f aca="false">0.5*c_rho*'P3 Energie'!E8*'P3 Energie'!E7*(C590-c_Vv)^2+'P3 Energie'!E13+'P3 Energie'!E15+'P3 Energie'!E6*$C$7</f>
        <v>18437.2760014299</v>
      </c>
      <c r="E590" s="50" t="n">
        <f aca="false">D590*C590</f>
        <v>148778.574400428</v>
      </c>
      <c r="F590" s="46" t="n">
        <v>582</v>
      </c>
      <c r="G590" s="47" t="n">
        <f aca="false">(F590-1)*$H$6</f>
        <v>1.0488983718046</v>
      </c>
      <c r="H590" s="48" t="n">
        <f aca="false">$H$7*G590</f>
        <v>8.06944444444445</v>
      </c>
      <c r="I590" s="49" t="n">
        <f aca="false">0.5*c_rho*'P3 Energie'!F8*'P3 Energie'!F7*(H590-c_Vv)^2+'P3 Energie'!F13+'P3 Energie'!F15+'P3 Energie'!F6*$H$7</f>
        <v>19261.7332358243</v>
      </c>
      <c r="J590" s="50" t="n">
        <f aca="false">I590*H590</f>
        <v>155431.486250193</v>
      </c>
    </row>
    <row r="591" customFormat="false" ht="15" hidden="false" customHeight="false" outlineLevel="0" collapsed="false">
      <c r="A591" s="46" t="n">
        <v>583</v>
      </c>
      <c r="B591" s="47" t="n">
        <f aca="false">(A591-1)*$C$6</f>
        <v>1.0514546055412</v>
      </c>
      <c r="C591" s="48" t="n">
        <f aca="false">$C$7*B591</f>
        <v>8.08333333333333</v>
      </c>
      <c r="D591" s="49" t="n">
        <f aca="false">0.5*c_rho*'P3 Energie'!E8*'P3 Energie'!E7*(C591-c_Vv)^2+'P3 Energie'!E13+'P3 Energie'!E15+'P3 Energie'!E6*$C$7</f>
        <v>18437.3656131671</v>
      </c>
      <c r="E591" s="50" t="n">
        <f aca="false">D591*C591</f>
        <v>149035.372039767</v>
      </c>
      <c r="F591" s="46" t="n">
        <v>583</v>
      </c>
      <c r="G591" s="47" t="n">
        <f aca="false">(F591-1)*$H$6</f>
        <v>1.05070370463043</v>
      </c>
      <c r="H591" s="48" t="n">
        <f aca="false">$H$7*G591</f>
        <v>8.08333333333333</v>
      </c>
      <c r="I591" s="49" t="n">
        <f aca="false">0.5*c_rho*'P3 Energie'!F8*'P3 Energie'!F7*(H591-c_Vv)^2+'P3 Energie'!F13+'P3 Energie'!F15+'P3 Energie'!F6*$H$7</f>
        <v>19261.8110924824</v>
      </c>
      <c r="J591" s="50" t="n">
        <f aca="false">I591*H591</f>
        <v>155699.639664233</v>
      </c>
    </row>
    <row r="592" customFormat="false" ht="15" hidden="false" customHeight="false" outlineLevel="0" collapsed="false">
      <c r="A592" s="46" t="n">
        <v>584</v>
      </c>
      <c r="B592" s="47" t="n">
        <f aca="false">(A592-1)*$C$6</f>
        <v>1.05326122857478</v>
      </c>
      <c r="C592" s="48" t="n">
        <f aca="false">$C$7*B592</f>
        <v>8.09722222222222</v>
      </c>
      <c r="D592" s="49" t="n">
        <f aca="false">0.5*c_rho*'P3 Energie'!E8*'P3 Energie'!E7*(C592-c_Vv)^2+'P3 Energie'!E13+'P3 Energie'!E15+'P3 Energie'!E6*$C$7</f>
        <v>18437.4553790086</v>
      </c>
      <c r="E592" s="50" t="n">
        <f aca="false">D592*C592</f>
        <v>149292.173416139</v>
      </c>
      <c r="F592" s="46" t="n">
        <v>584</v>
      </c>
      <c r="G592" s="47" t="n">
        <f aca="false">(F592-1)*$H$6</f>
        <v>1.05250903745625</v>
      </c>
      <c r="H592" s="48" t="n">
        <f aca="false">$H$7*G592</f>
        <v>8.09722222222222</v>
      </c>
      <c r="I592" s="49" t="n">
        <f aca="false">0.5*c_rho*'P3 Energie'!F8*'P3 Energie'!F7*(H592-c_Vv)^2+'P3 Energie'!F13+'P3 Energie'!F15+'P3 Energie'!F6*$H$7</f>
        <v>19261.8890830299</v>
      </c>
      <c r="J592" s="50" t="n">
        <f aca="false">I592*H592</f>
        <v>155967.796325089</v>
      </c>
    </row>
    <row r="593" customFormat="false" ht="15" hidden="false" customHeight="false" outlineLevel="0" collapsed="false">
      <c r="A593" s="46" t="n">
        <v>585</v>
      </c>
      <c r="B593" s="47" t="n">
        <f aca="false">(A593-1)*$C$6</f>
        <v>1.05506785160836</v>
      </c>
      <c r="C593" s="48" t="n">
        <f aca="false">$C$7*B593</f>
        <v>8.11111111111111</v>
      </c>
      <c r="D593" s="49" t="n">
        <f aca="false">0.5*c_rho*'P3 Energie'!E8*'P3 Energie'!E7*(C593-c_Vv)^2+'P3 Energie'!E13+'P3 Energie'!E15+'P3 Energie'!E6*$C$7</f>
        <v>18437.5452989547</v>
      </c>
      <c r="E593" s="50" t="n">
        <f aca="false">D593*C593</f>
        <v>149548.978535966</v>
      </c>
      <c r="F593" s="46" t="n">
        <v>585</v>
      </c>
      <c r="G593" s="47" t="n">
        <f aca="false">(F593-1)*$H$6</f>
        <v>1.05431437028208</v>
      </c>
      <c r="H593" s="48" t="n">
        <f aca="false">$H$7*G593</f>
        <v>8.11111111111111</v>
      </c>
      <c r="I593" s="49" t="n">
        <f aca="false">0.5*c_rho*'P3 Energie'!F8*'P3 Energie'!F7*(H593-c_Vv)^2+'P3 Energie'!F13+'P3 Energie'!F15+'P3 Energie'!F6*$H$7</f>
        <v>19261.9672074667</v>
      </c>
      <c r="J593" s="50" t="n">
        <f aca="false">I593*H593</f>
        <v>156235.956238341</v>
      </c>
    </row>
    <row r="594" customFormat="false" ht="15" hidden="false" customHeight="false" outlineLevel="0" collapsed="false">
      <c r="A594" s="46" t="n">
        <v>586</v>
      </c>
      <c r="B594" s="47" t="n">
        <f aca="false">(A594-1)*$C$6</f>
        <v>1.05687447464193</v>
      </c>
      <c r="C594" s="48" t="n">
        <f aca="false">$C$7*B594</f>
        <v>8.125</v>
      </c>
      <c r="D594" s="49" t="n">
        <f aca="false">0.5*c_rho*'P3 Energie'!E8*'P3 Energie'!E7*(C594-c_Vv)^2+'P3 Energie'!E13+'P3 Energie'!E15+'P3 Energie'!E6*$C$7</f>
        <v>18437.6353730052</v>
      </c>
      <c r="E594" s="50" t="n">
        <f aca="false">D594*C594</f>
        <v>149805.787405667</v>
      </c>
      <c r="F594" s="46" t="n">
        <v>586</v>
      </c>
      <c r="G594" s="47" t="n">
        <f aca="false">(F594-1)*$H$6</f>
        <v>1.0561197031079</v>
      </c>
      <c r="H594" s="48" t="n">
        <f aca="false">$H$7*G594</f>
        <v>8.125</v>
      </c>
      <c r="I594" s="49" t="n">
        <f aca="false">0.5*c_rho*'P3 Energie'!F8*'P3 Energie'!F7*(H594-c_Vv)^2+'P3 Energie'!F13+'P3 Energie'!F15+'P3 Energie'!F6*$H$7</f>
        <v>19262.0454657928</v>
      </c>
      <c r="J594" s="50" t="n">
        <f aca="false">I594*H594</f>
        <v>156504.119409567</v>
      </c>
    </row>
    <row r="595" customFormat="false" ht="15" hidden="false" customHeight="false" outlineLevel="0" collapsed="false">
      <c r="A595" s="46" t="n">
        <v>587</v>
      </c>
      <c r="B595" s="47" t="n">
        <f aca="false">(A595-1)*$C$6</f>
        <v>1.05868109767551</v>
      </c>
      <c r="C595" s="48" t="n">
        <f aca="false">$C$7*B595</f>
        <v>8.13888888888889</v>
      </c>
      <c r="D595" s="49" t="n">
        <f aca="false">0.5*c_rho*'P3 Energie'!E8*'P3 Energie'!E7*(C595-c_Vv)^2+'P3 Energie'!E13+'P3 Energie'!E15+'P3 Energie'!E6*$C$7</f>
        <v>18437.7256011601</v>
      </c>
      <c r="E595" s="50" t="n">
        <f aca="false">D595*C595</f>
        <v>150062.600031664</v>
      </c>
      <c r="F595" s="46" t="n">
        <v>587</v>
      </c>
      <c r="G595" s="47" t="n">
        <f aca="false">(F595-1)*$H$6</f>
        <v>1.05792503593373</v>
      </c>
      <c r="H595" s="48" t="n">
        <f aca="false">$H$7*G595</f>
        <v>8.13888888888889</v>
      </c>
      <c r="I595" s="49" t="n">
        <f aca="false">0.5*c_rho*'P3 Energie'!F8*'P3 Energie'!F7*(H595-c_Vv)^2+'P3 Energie'!F13+'P3 Energie'!F15+'P3 Energie'!F6*$H$7</f>
        <v>19262.1238580083</v>
      </c>
      <c r="J595" s="50" t="n">
        <f aca="false">I595*H595</f>
        <v>156772.285844346</v>
      </c>
    </row>
    <row r="596" customFormat="false" ht="15" hidden="false" customHeight="false" outlineLevel="0" collapsed="false">
      <c r="A596" s="46" t="n">
        <v>588</v>
      </c>
      <c r="B596" s="47" t="n">
        <f aca="false">(A596-1)*$C$6</f>
        <v>1.06048772070908</v>
      </c>
      <c r="C596" s="48" t="n">
        <f aca="false">$C$7*B596</f>
        <v>8.15277777777778</v>
      </c>
      <c r="D596" s="49" t="n">
        <f aca="false">0.5*c_rho*'P3 Energie'!E8*'P3 Energie'!E7*(C596-c_Vv)^2+'P3 Energie'!E13+'P3 Energie'!E15+'P3 Energie'!E6*$C$7</f>
        <v>18437.8159834195</v>
      </c>
      <c r="E596" s="50" t="n">
        <f aca="false">D596*C596</f>
        <v>150319.416420378</v>
      </c>
      <c r="F596" s="46" t="n">
        <v>588</v>
      </c>
      <c r="G596" s="47" t="n">
        <f aca="false">(F596-1)*$H$6</f>
        <v>1.05973036875955</v>
      </c>
      <c r="H596" s="48" t="n">
        <f aca="false">$H$7*G596</f>
        <v>8.15277777777778</v>
      </c>
      <c r="I596" s="49" t="n">
        <f aca="false">0.5*c_rho*'P3 Energie'!F8*'P3 Energie'!F7*(H596-c_Vv)^2+'P3 Energie'!F13+'P3 Energie'!F15+'P3 Energie'!F6*$H$7</f>
        <v>19262.2023841132</v>
      </c>
      <c r="J596" s="50" t="n">
        <f aca="false">I596*H596</f>
        <v>157040.455548256</v>
      </c>
    </row>
    <row r="597" customFormat="false" ht="15" hidden="false" customHeight="false" outlineLevel="0" collapsed="false">
      <c r="A597" s="46" t="n">
        <v>589</v>
      </c>
      <c r="B597" s="47" t="n">
        <f aca="false">(A597-1)*$C$6</f>
        <v>1.06229434374266</v>
      </c>
      <c r="C597" s="48" t="n">
        <f aca="false">$C$7*B597</f>
        <v>8.16666666666667</v>
      </c>
      <c r="D597" s="49" t="n">
        <f aca="false">0.5*c_rho*'P3 Energie'!E8*'P3 Energie'!E7*(C597-c_Vv)^2+'P3 Energie'!E13+'P3 Energie'!E15+'P3 Energie'!E6*$C$7</f>
        <v>18437.9065197833</v>
      </c>
      <c r="E597" s="50" t="n">
        <f aca="false">D597*C597</f>
        <v>150576.23657823</v>
      </c>
      <c r="F597" s="46" t="n">
        <v>589</v>
      </c>
      <c r="G597" s="47" t="n">
        <f aca="false">(F597-1)*$H$6</f>
        <v>1.06153570158538</v>
      </c>
      <c r="H597" s="48" t="n">
        <f aca="false">$H$7*G597</f>
        <v>8.16666666666667</v>
      </c>
      <c r="I597" s="49" t="n">
        <f aca="false">0.5*c_rho*'P3 Energie'!F8*'P3 Energie'!F7*(H597-c_Vv)^2+'P3 Energie'!F13+'P3 Energie'!F15+'P3 Energie'!F6*$H$7</f>
        <v>19262.2810441074</v>
      </c>
      <c r="J597" s="50" t="n">
        <f aca="false">I597*H597</f>
        <v>157308.628526877</v>
      </c>
    </row>
    <row r="598" customFormat="false" ht="15" hidden="false" customHeight="false" outlineLevel="0" collapsed="false">
      <c r="A598" s="46" t="n">
        <v>590</v>
      </c>
      <c r="B598" s="47" t="n">
        <f aca="false">(A598-1)*$C$6</f>
        <v>1.06410096677624</v>
      </c>
      <c r="C598" s="48" t="n">
        <f aca="false">$C$7*B598</f>
        <v>8.18055555555556</v>
      </c>
      <c r="D598" s="49" t="n">
        <f aca="false">0.5*c_rho*'P3 Energie'!E8*'P3 Energie'!E7*(C598-c_Vv)^2+'P3 Energie'!E13+'P3 Energie'!E15+'P3 Energie'!E6*$C$7</f>
        <v>18437.9972102516</v>
      </c>
      <c r="E598" s="50" t="n">
        <f aca="false">D598*C598</f>
        <v>150833.060511641</v>
      </c>
      <c r="F598" s="46" t="n">
        <v>590</v>
      </c>
      <c r="G598" s="47" t="n">
        <f aca="false">(F598-1)*$H$6</f>
        <v>1.06334103441121</v>
      </c>
      <c r="H598" s="48" t="n">
        <f aca="false">$H$7*G598</f>
        <v>8.18055555555556</v>
      </c>
      <c r="I598" s="49" t="n">
        <f aca="false">0.5*c_rho*'P3 Energie'!F8*'P3 Energie'!F7*(H598-c_Vv)^2+'P3 Energie'!F13+'P3 Energie'!F15+'P3 Energie'!F6*$H$7</f>
        <v>19262.359837991</v>
      </c>
      <c r="J598" s="50" t="n">
        <f aca="false">I598*H598</f>
        <v>157576.804785787</v>
      </c>
    </row>
    <row r="599" customFormat="false" ht="15" hidden="false" customHeight="false" outlineLevel="0" collapsed="false">
      <c r="A599" s="46" t="n">
        <v>591</v>
      </c>
      <c r="B599" s="47" t="n">
        <f aca="false">(A599-1)*$C$6</f>
        <v>1.06590758980981</v>
      </c>
      <c r="C599" s="48" t="n">
        <f aca="false">$C$7*B599</f>
        <v>8.19444444444445</v>
      </c>
      <c r="D599" s="49" t="n">
        <f aca="false">0.5*c_rho*'P3 Energie'!E8*'P3 Energie'!E7*(C599-c_Vv)^2+'P3 Energie'!E13+'P3 Energie'!E15+'P3 Energie'!E6*$C$7</f>
        <v>18438.0880548243</v>
      </c>
      <c r="E599" s="50" t="n">
        <f aca="false">D599*C599</f>
        <v>151089.888227033</v>
      </c>
      <c r="F599" s="46" t="n">
        <v>591</v>
      </c>
      <c r="G599" s="47" t="n">
        <f aca="false">(F599-1)*$H$6</f>
        <v>1.06514636723703</v>
      </c>
      <c r="H599" s="48" t="n">
        <f aca="false">$H$7*G599</f>
        <v>8.19444444444445</v>
      </c>
      <c r="I599" s="49" t="n">
        <f aca="false">0.5*c_rho*'P3 Energie'!F8*'P3 Energie'!F7*(H599-c_Vv)^2+'P3 Energie'!F13+'P3 Energie'!F15+'P3 Energie'!F6*$H$7</f>
        <v>19262.4387657639</v>
      </c>
      <c r="J599" s="50" t="n">
        <f aca="false">I599*H599</f>
        <v>157844.984330565</v>
      </c>
    </row>
    <row r="600" customFormat="false" ht="15" hidden="false" customHeight="false" outlineLevel="0" collapsed="false">
      <c r="A600" s="46" t="n">
        <v>592</v>
      </c>
      <c r="B600" s="47" t="n">
        <f aca="false">(A600-1)*$C$6</f>
        <v>1.06771421284339</v>
      </c>
      <c r="C600" s="48" t="n">
        <f aca="false">$C$7*B600</f>
        <v>8.20833333333333</v>
      </c>
      <c r="D600" s="49" t="n">
        <f aca="false">0.5*c_rho*'P3 Energie'!E8*'P3 Energie'!E7*(C600-c_Vv)^2+'P3 Energie'!E13+'P3 Energie'!E15+'P3 Energie'!E6*$C$7</f>
        <v>18438.1790535015</v>
      </c>
      <c r="E600" s="50" t="n">
        <f aca="false">D600*C600</f>
        <v>151346.719730825</v>
      </c>
      <c r="F600" s="46" t="n">
        <v>592</v>
      </c>
      <c r="G600" s="47" t="n">
        <f aca="false">(F600-1)*$H$6</f>
        <v>1.06695170006286</v>
      </c>
      <c r="H600" s="48" t="n">
        <f aca="false">$H$7*G600</f>
        <v>8.20833333333333</v>
      </c>
      <c r="I600" s="49" t="n">
        <f aca="false">0.5*c_rho*'P3 Energie'!F8*'P3 Energie'!F7*(H600-c_Vv)^2+'P3 Energie'!F13+'P3 Energie'!F15+'P3 Energie'!F6*$H$7</f>
        <v>19262.5178274262</v>
      </c>
      <c r="J600" s="50" t="n">
        <f aca="false">I600*H600</f>
        <v>158113.16716679</v>
      </c>
    </row>
    <row r="601" customFormat="false" ht="15" hidden="false" customHeight="false" outlineLevel="0" collapsed="false">
      <c r="A601" s="46" t="n">
        <v>593</v>
      </c>
      <c r="B601" s="47" t="n">
        <f aca="false">(A601-1)*$C$6</f>
        <v>1.06952083587696</v>
      </c>
      <c r="C601" s="48" t="n">
        <f aca="false">$C$7*B601</f>
        <v>8.22222222222222</v>
      </c>
      <c r="D601" s="49" t="n">
        <f aca="false">0.5*c_rho*'P3 Energie'!E8*'P3 Energie'!E7*(C601-c_Vv)^2+'P3 Energie'!E13+'P3 Energie'!E15+'P3 Energie'!E6*$C$7</f>
        <v>18438.2702062831</v>
      </c>
      <c r="E601" s="50" t="n">
        <f aca="false">D601*C601</f>
        <v>151603.555029439</v>
      </c>
      <c r="F601" s="46" t="n">
        <v>593</v>
      </c>
      <c r="G601" s="47" t="n">
        <f aca="false">(F601-1)*$H$6</f>
        <v>1.06875703288868</v>
      </c>
      <c r="H601" s="48" t="n">
        <f aca="false">$H$7*G601</f>
        <v>8.22222222222222</v>
      </c>
      <c r="I601" s="49" t="n">
        <f aca="false">0.5*c_rho*'P3 Energie'!F8*'P3 Energie'!F7*(H601-c_Vv)^2+'P3 Energie'!F13+'P3 Energie'!F15+'P3 Energie'!F6*$H$7</f>
        <v>19262.5970229778</v>
      </c>
      <c r="J601" s="50" t="n">
        <f aca="false">I601*H601</f>
        <v>158381.35330004</v>
      </c>
    </row>
    <row r="602" customFormat="false" ht="15" hidden="false" customHeight="false" outlineLevel="0" collapsed="false">
      <c r="A602" s="46" t="n">
        <v>594</v>
      </c>
      <c r="B602" s="47" t="n">
        <f aca="false">(A602-1)*$C$6</f>
        <v>1.07132745891054</v>
      </c>
      <c r="C602" s="48" t="n">
        <f aca="false">$C$7*B602</f>
        <v>8.23611111111111</v>
      </c>
      <c r="D602" s="49" t="n">
        <f aca="false">0.5*c_rho*'P3 Energie'!E8*'P3 Energie'!E7*(C602-c_Vv)^2+'P3 Energie'!E13+'P3 Energie'!E15+'P3 Energie'!E6*$C$7</f>
        <v>18438.3615131692</v>
      </c>
      <c r="E602" s="50" t="n">
        <f aca="false">D602*C602</f>
        <v>151860.394129296</v>
      </c>
      <c r="F602" s="46" t="n">
        <v>594</v>
      </c>
      <c r="G602" s="47" t="n">
        <f aca="false">(F602-1)*$H$6</f>
        <v>1.07056236571451</v>
      </c>
      <c r="H602" s="48" t="n">
        <f aca="false">$H$7*G602</f>
        <v>8.23611111111111</v>
      </c>
      <c r="I602" s="49" t="n">
        <f aca="false">0.5*c_rho*'P3 Energie'!F8*'P3 Energie'!F7*(H602-c_Vv)^2+'P3 Energie'!F13+'P3 Energie'!F15+'P3 Energie'!F6*$H$7</f>
        <v>19262.6763524188</v>
      </c>
      <c r="J602" s="50" t="n">
        <f aca="false">I602*H602</f>
        <v>158649.542735893</v>
      </c>
    </row>
    <row r="603" customFormat="false" ht="15" hidden="false" customHeight="false" outlineLevel="0" collapsed="false">
      <c r="A603" s="46" t="n">
        <v>595</v>
      </c>
      <c r="B603" s="47" t="n">
        <f aca="false">(A603-1)*$C$6</f>
        <v>1.07313408194412</v>
      </c>
      <c r="C603" s="48" t="n">
        <f aca="false">$C$7*B603</f>
        <v>8.25</v>
      </c>
      <c r="D603" s="49" t="n">
        <f aca="false">0.5*c_rho*'P3 Energie'!E8*'P3 Energie'!E7*(C603-c_Vv)^2+'P3 Energie'!E13+'P3 Energie'!E15+'P3 Energie'!E6*$C$7</f>
        <v>18438.4529741597</v>
      </c>
      <c r="E603" s="50" t="n">
        <f aca="false">D603*C603</f>
        <v>152117.237036818</v>
      </c>
      <c r="F603" s="46" t="n">
        <v>595</v>
      </c>
      <c r="G603" s="47" t="n">
        <f aca="false">(F603-1)*$H$6</f>
        <v>1.07236769854033</v>
      </c>
      <c r="H603" s="48" t="n">
        <f aca="false">$H$7*G603</f>
        <v>8.25</v>
      </c>
      <c r="I603" s="49" t="n">
        <f aca="false">0.5*c_rho*'P3 Energie'!F8*'P3 Energie'!F7*(H603-c_Vv)^2+'P3 Energie'!F13+'P3 Energie'!F15+'P3 Energie'!F6*$H$7</f>
        <v>19262.7558157491</v>
      </c>
      <c r="J603" s="50" t="n">
        <f aca="false">I603*H603</f>
        <v>158917.73547993</v>
      </c>
    </row>
    <row r="604" customFormat="false" ht="15" hidden="false" customHeight="false" outlineLevel="0" collapsed="false">
      <c r="A604" s="46" t="n">
        <v>596</v>
      </c>
      <c r="B604" s="47" t="n">
        <f aca="false">(A604-1)*$C$6</f>
        <v>1.07494070497769</v>
      </c>
      <c r="C604" s="48" t="n">
        <f aca="false">$C$7*B604</f>
        <v>8.26388888888889</v>
      </c>
      <c r="D604" s="49" t="n">
        <f aca="false">0.5*c_rho*'P3 Energie'!E8*'P3 Energie'!E7*(C604-c_Vv)^2+'P3 Energie'!E13+'P3 Energie'!E15+'P3 Energie'!E6*$C$7</f>
        <v>18438.5445892547</v>
      </c>
      <c r="E604" s="50" t="n">
        <f aca="false">D604*C604</f>
        <v>152374.083758424</v>
      </c>
      <c r="F604" s="46" t="n">
        <v>596</v>
      </c>
      <c r="G604" s="47" t="n">
        <f aca="false">(F604-1)*$H$6</f>
        <v>1.07417303136616</v>
      </c>
      <c r="H604" s="48" t="n">
        <f aca="false">$H$7*G604</f>
        <v>8.26388888888889</v>
      </c>
      <c r="I604" s="49" t="n">
        <f aca="false">0.5*c_rho*'P3 Energie'!F8*'P3 Energie'!F7*(H604-c_Vv)^2+'P3 Energie'!F13+'P3 Energie'!F15+'P3 Energie'!F6*$H$7</f>
        <v>19262.8354129688</v>
      </c>
      <c r="J604" s="50" t="n">
        <f aca="false">I604*H604</f>
        <v>159185.931537728</v>
      </c>
    </row>
    <row r="605" customFormat="false" ht="15" hidden="false" customHeight="false" outlineLevel="0" collapsed="false">
      <c r="A605" s="46" t="n">
        <v>597</v>
      </c>
      <c r="B605" s="47" t="n">
        <f aca="false">(A605-1)*$C$6</f>
        <v>1.07674732801127</v>
      </c>
      <c r="C605" s="48" t="n">
        <f aca="false">$C$7*B605</f>
        <v>8.27777777777778</v>
      </c>
      <c r="D605" s="49" t="n">
        <f aca="false">0.5*c_rho*'P3 Energie'!E8*'P3 Energie'!E7*(C605-c_Vv)^2+'P3 Energie'!E13+'P3 Energie'!E15+'P3 Energie'!E6*$C$7</f>
        <v>18438.6363584541</v>
      </c>
      <c r="E605" s="50" t="n">
        <f aca="false">D605*C605</f>
        <v>152630.934300537</v>
      </c>
      <c r="F605" s="46" t="n">
        <v>597</v>
      </c>
      <c r="G605" s="47" t="n">
        <f aca="false">(F605-1)*$H$6</f>
        <v>1.07597836419198</v>
      </c>
      <c r="H605" s="48" t="n">
        <f aca="false">$H$7*G605</f>
        <v>8.27777777777778</v>
      </c>
      <c r="I605" s="49" t="n">
        <f aca="false">0.5*c_rho*'P3 Energie'!F8*'P3 Energie'!F7*(H605-c_Vv)^2+'P3 Energie'!F13+'P3 Energie'!F15+'P3 Energie'!F6*$H$7</f>
        <v>19262.9151440778</v>
      </c>
      <c r="J605" s="50" t="n">
        <f aca="false">I605*H605</f>
        <v>159454.130914866</v>
      </c>
    </row>
    <row r="606" customFormat="false" ht="15" hidden="false" customHeight="false" outlineLevel="0" collapsed="false">
      <c r="A606" s="46" t="n">
        <v>598</v>
      </c>
      <c r="B606" s="47" t="n">
        <f aca="false">(A606-1)*$C$6</f>
        <v>1.07855395104484</v>
      </c>
      <c r="C606" s="48" t="n">
        <f aca="false">$C$7*B606</f>
        <v>8.29166666666667</v>
      </c>
      <c r="D606" s="49" t="n">
        <f aca="false">0.5*c_rho*'P3 Energie'!E8*'P3 Energie'!E7*(C606-c_Vv)^2+'P3 Energie'!E13+'P3 Energie'!E15+'P3 Energie'!E6*$C$7</f>
        <v>18438.728281758</v>
      </c>
      <c r="E606" s="50" t="n">
        <f aca="false">D606*C606</f>
        <v>152887.788669577</v>
      </c>
      <c r="F606" s="46" t="n">
        <v>598</v>
      </c>
      <c r="G606" s="47" t="n">
        <f aca="false">(F606-1)*$H$6</f>
        <v>1.07778369701781</v>
      </c>
      <c r="H606" s="48" t="n">
        <f aca="false">$H$7*G606</f>
        <v>8.29166666666667</v>
      </c>
      <c r="I606" s="49" t="n">
        <f aca="false">0.5*c_rho*'P3 Energie'!F8*'P3 Energie'!F7*(H606-c_Vv)^2+'P3 Energie'!F13+'P3 Energie'!F15+'P3 Energie'!F6*$H$7</f>
        <v>19262.9950090762</v>
      </c>
      <c r="J606" s="50" t="n">
        <f aca="false">I606*H606</f>
        <v>159722.333616923</v>
      </c>
    </row>
    <row r="607" customFormat="false" ht="15" hidden="false" customHeight="false" outlineLevel="0" collapsed="false">
      <c r="A607" s="46" t="n">
        <v>599</v>
      </c>
      <c r="B607" s="47" t="n">
        <f aca="false">(A607-1)*$C$6</f>
        <v>1.08036057407842</v>
      </c>
      <c r="C607" s="48" t="n">
        <f aca="false">$C$7*B607</f>
        <v>8.30555555555556</v>
      </c>
      <c r="D607" s="49" t="n">
        <f aca="false">0.5*c_rho*'P3 Energie'!E8*'P3 Energie'!E7*(C607-c_Vv)^2+'P3 Energie'!E13+'P3 Energie'!E15+'P3 Energie'!E6*$C$7</f>
        <v>18438.8203591663</v>
      </c>
      <c r="E607" s="50" t="n">
        <f aca="false">D607*C607</f>
        <v>153144.646871965</v>
      </c>
      <c r="F607" s="46" t="n">
        <v>599</v>
      </c>
      <c r="G607" s="47" t="n">
        <f aca="false">(F607-1)*$H$6</f>
        <v>1.07958902984363</v>
      </c>
      <c r="H607" s="48" t="n">
        <f aca="false">$H$7*G607</f>
        <v>8.30555555555556</v>
      </c>
      <c r="I607" s="49" t="n">
        <f aca="false">0.5*c_rho*'P3 Energie'!F8*'P3 Energie'!F7*(H607-c_Vv)^2+'P3 Energie'!F13+'P3 Energie'!F15+'P3 Energie'!F6*$H$7</f>
        <v>19263.0750079639</v>
      </c>
      <c r="J607" s="50" t="n">
        <f aca="false">I607*H607</f>
        <v>159990.539649478</v>
      </c>
    </row>
    <row r="608" customFormat="false" ht="15" hidden="false" customHeight="false" outlineLevel="0" collapsed="false">
      <c r="A608" s="46" t="n">
        <v>600</v>
      </c>
      <c r="B608" s="47" t="n">
        <f aca="false">(A608-1)*$C$6</f>
        <v>1.082167197112</v>
      </c>
      <c r="C608" s="48" t="n">
        <f aca="false">$C$7*B608</f>
        <v>8.31944444444445</v>
      </c>
      <c r="D608" s="49" t="n">
        <f aca="false">0.5*c_rho*'P3 Energie'!E8*'P3 Energie'!E7*(C608-c_Vv)^2+'P3 Energie'!E13+'P3 Energie'!E15+'P3 Energie'!E6*$C$7</f>
        <v>18438.9125906791</v>
      </c>
      <c r="E608" s="50" t="n">
        <f aca="false">D608*C608</f>
        <v>153401.508914122</v>
      </c>
      <c r="F608" s="46" t="n">
        <v>600</v>
      </c>
      <c r="G608" s="47" t="n">
        <f aca="false">(F608-1)*$H$6</f>
        <v>1.08139436266946</v>
      </c>
      <c r="H608" s="48" t="n">
        <f aca="false">$H$7*G608</f>
        <v>8.31944444444445</v>
      </c>
      <c r="I608" s="49" t="n">
        <f aca="false">0.5*c_rho*'P3 Energie'!F8*'P3 Energie'!F7*(H608-c_Vv)^2+'P3 Energie'!F13+'P3 Energie'!F15+'P3 Energie'!F6*$H$7</f>
        <v>19263.155140741</v>
      </c>
      <c r="J608" s="50" t="n">
        <f aca="false">I608*H608</f>
        <v>160258.749018109</v>
      </c>
    </row>
    <row r="609" customFormat="false" ht="15" hidden="false" customHeight="false" outlineLevel="0" collapsed="false">
      <c r="A609" s="46" t="n">
        <v>601</v>
      </c>
      <c r="B609" s="47" t="n">
        <f aca="false">(A609-1)*$C$6</f>
        <v>1.08397382014557</v>
      </c>
      <c r="C609" s="48" t="n">
        <f aca="false">$C$7*B609</f>
        <v>8.33333333333333</v>
      </c>
      <c r="D609" s="49" t="n">
        <f aca="false">0.5*c_rho*'P3 Energie'!E8*'P3 Energie'!E7*(C609-c_Vv)^2+'P3 Energie'!E13+'P3 Energie'!E15+'P3 Energie'!E6*$C$7</f>
        <v>18439.0049762963</v>
      </c>
      <c r="E609" s="50" t="n">
        <f aca="false">D609*C609</f>
        <v>153658.374802469</v>
      </c>
      <c r="F609" s="46" t="n">
        <v>601</v>
      </c>
      <c r="G609" s="47" t="n">
        <f aca="false">(F609-1)*$H$6</f>
        <v>1.08319969549529</v>
      </c>
      <c r="H609" s="48" t="n">
        <f aca="false">$H$7*G609</f>
        <v>8.33333333333333</v>
      </c>
      <c r="I609" s="49" t="n">
        <f aca="false">0.5*c_rho*'P3 Energie'!F8*'P3 Energie'!F7*(H609-c_Vv)^2+'P3 Energie'!F13+'P3 Energie'!F15+'P3 Energie'!F6*$H$7</f>
        <v>19263.2354074074</v>
      </c>
      <c r="J609" s="50" t="n">
        <f aca="false">I609*H609</f>
        <v>160526.961728395</v>
      </c>
    </row>
    <row r="610" customFormat="false" ht="15" hidden="false" customHeight="false" outlineLevel="0" collapsed="false">
      <c r="A610" s="46" t="n">
        <v>602</v>
      </c>
      <c r="B610" s="47" t="n">
        <f aca="false">(A610-1)*$C$6</f>
        <v>1.08578044317915</v>
      </c>
      <c r="C610" s="48" t="n">
        <f aca="false">$C$7*B610</f>
        <v>8.34722222222222</v>
      </c>
      <c r="D610" s="49" t="n">
        <f aca="false">0.5*c_rho*'P3 Energie'!E8*'P3 Energie'!E7*(C610-c_Vv)^2+'P3 Energie'!E13+'P3 Energie'!E15+'P3 Energie'!E6*$C$7</f>
        <v>18439.097516018</v>
      </c>
      <c r="E610" s="50" t="n">
        <f aca="false">D610*C610</f>
        <v>153915.244543428</v>
      </c>
      <c r="F610" s="46" t="n">
        <v>602</v>
      </c>
      <c r="G610" s="47" t="n">
        <f aca="false">(F610-1)*$H$6</f>
        <v>1.08500502832111</v>
      </c>
      <c r="H610" s="48" t="n">
        <f aca="false">$H$7*G610</f>
        <v>8.34722222222222</v>
      </c>
      <c r="I610" s="49" t="n">
        <f aca="false">0.5*c_rho*'P3 Energie'!F8*'P3 Energie'!F7*(H610-c_Vv)^2+'P3 Energie'!F13+'P3 Energie'!F15+'P3 Energie'!F6*$H$7</f>
        <v>19263.3158079632</v>
      </c>
      <c r="J610" s="50" t="n">
        <f aca="false">I610*H610</f>
        <v>160795.177785915</v>
      </c>
    </row>
    <row r="611" customFormat="false" ht="15" hidden="false" customHeight="false" outlineLevel="0" collapsed="false">
      <c r="A611" s="46" t="n">
        <v>603</v>
      </c>
      <c r="B611" s="47" t="n">
        <f aca="false">(A611-1)*$C$6</f>
        <v>1.08758706621272</v>
      </c>
      <c r="C611" s="48" t="n">
        <f aca="false">$C$7*B611</f>
        <v>8.36111111111111</v>
      </c>
      <c r="D611" s="49" t="n">
        <f aca="false">0.5*c_rho*'P3 Energie'!E8*'P3 Energie'!E7*(C611-c_Vv)^2+'P3 Energie'!E13+'P3 Energie'!E15+'P3 Energie'!E6*$C$7</f>
        <v>18439.1902098441</v>
      </c>
      <c r="E611" s="50" t="n">
        <f aca="false">D611*C611</f>
        <v>154172.118143419</v>
      </c>
      <c r="F611" s="46" t="n">
        <v>603</v>
      </c>
      <c r="G611" s="47" t="n">
        <f aca="false">(F611-1)*$H$6</f>
        <v>1.08681036114694</v>
      </c>
      <c r="H611" s="48" t="n">
        <f aca="false">$H$7*G611</f>
        <v>8.36111111111111</v>
      </c>
      <c r="I611" s="49" t="n">
        <f aca="false">0.5*c_rho*'P3 Energie'!F8*'P3 Energie'!F7*(H611-c_Vv)^2+'P3 Energie'!F13+'P3 Energie'!F15+'P3 Energie'!F6*$H$7</f>
        <v>19263.3963424083</v>
      </c>
      <c r="J611" s="50" t="n">
        <f aca="false">I611*H611</f>
        <v>161063.397196247</v>
      </c>
    </row>
    <row r="612" customFormat="false" ht="15" hidden="false" customHeight="false" outlineLevel="0" collapsed="false">
      <c r="A612" s="46" t="n">
        <v>604</v>
      </c>
      <c r="B612" s="47" t="n">
        <f aca="false">(A612-1)*$C$6</f>
        <v>1.0893936892463</v>
      </c>
      <c r="C612" s="48" t="n">
        <f aca="false">$C$7*B612</f>
        <v>8.375</v>
      </c>
      <c r="D612" s="49" t="n">
        <f aca="false">0.5*c_rho*'P3 Energie'!E8*'P3 Energie'!E7*(C612-c_Vv)^2+'P3 Energie'!E13+'P3 Energie'!E15+'P3 Energie'!E6*$C$7</f>
        <v>18439.2830577747</v>
      </c>
      <c r="E612" s="50" t="n">
        <f aca="false">D612*C612</f>
        <v>154428.995608863</v>
      </c>
      <c r="F612" s="46" t="n">
        <v>604</v>
      </c>
      <c r="G612" s="47" t="n">
        <f aca="false">(F612-1)*$H$6</f>
        <v>1.08861569397276</v>
      </c>
      <c r="H612" s="48" t="n">
        <f aca="false">$H$7*G612</f>
        <v>8.375</v>
      </c>
      <c r="I612" s="49" t="n">
        <f aca="false">0.5*c_rho*'P3 Energie'!F8*'P3 Energie'!F7*(H612-c_Vv)^2+'P3 Energie'!F13+'P3 Energie'!F15+'P3 Energie'!F6*$H$7</f>
        <v>19263.4770107428</v>
      </c>
      <c r="J612" s="50" t="n">
        <f aca="false">I612*H612</f>
        <v>161331.619964971</v>
      </c>
    </row>
    <row r="613" customFormat="false" ht="15" hidden="false" customHeight="false" outlineLevel="0" collapsed="false">
      <c r="A613" s="46" t="n">
        <v>605</v>
      </c>
      <c r="B613" s="47" t="n">
        <f aca="false">(A613-1)*$C$6</f>
        <v>1.09120031227988</v>
      </c>
      <c r="C613" s="48" t="n">
        <f aca="false">$C$7*B613</f>
        <v>8.38888888888889</v>
      </c>
      <c r="D613" s="49" t="n">
        <f aca="false">0.5*c_rho*'P3 Energie'!E8*'P3 Energie'!E7*(C613-c_Vv)^2+'P3 Energie'!E13+'P3 Energie'!E15+'P3 Energie'!E6*$C$7</f>
        <v>18439.3760598097</v>
      </c>
      <c r="E613" s="50" t="n">
        <f aca="false">D613*C613</f>
        <v>154685.876946181</v>
      </c>
      <c r="F613" s="46" t="n">
        <v>605</v>
      </c>
      <c r="G613" s="47" t="n">
        <f aca="false">(F613-1)*$H$6</f>
        <v>1.09042102679859</v>
      </c>
      <c r="H613" s="48" t="n">
        <f aca="false">$H$7*G613</f>
        <v>8.38888888888889</v>
      </c>
      <c r="I613" s="49" t="n">
        <f aca="false">0.5*c_rho*'P3 Energie'!F8*'P3 Energie'!F7*(H613-c_Vv)^2+'P3 Energie'!F13+'P3 Energie'!F15+'P3 Energie'!F6*$H$7</f>
        <v>19263.5578129667</v>
      </c>
      <c r="J613" s="50" t="n">
        <f aca="false">I613*H613</f>
        <v>161599.846097665</v>
      </c>
    </row>
    <row r="614" customFormat="false" ht="15" hidden="false" customHeight="false" outlineLevel="0" collapsed="false">
      <c r="A614" s="46" t="n">
        <v>606</v>
      </c>
      <c r="B614" s="47" t="n">
        <f aca="false">(A614-1)*$C$6</f>
        <v>1.09300693531345</v>
      </c>
      <c r="C614" s="48" t="n">
        <f aca="false">$C$7*B614</f>
        <v>8.40277777777778</v>
      </c>
      <c r="D614" s="49" t="n">
        <f aca="false">0.5*c_rho*'P3 Energie'!E8*'P3 Energie'!E7*(C614-c_Vv)^2+'P3 Energie'!E13+'P3 Energie'!E15+'P3 Energie'!E6*$C$7</f>
        <v>18439.4692159491</v>
      </c>
      <c r="E614" s="50" t="n">
        <f aca="false">D614*C614</f>
        <v>154942.762161795</v>
      </c>
      <c r="F614" s="46" t="n">
        <v>606</v>
      </c>
      <c r="G614" s="47" t="n">
        <f aca="false">(F614-1)*$H$6</f>
        <v>1.09222635962441</v>
      </c>
      <c r="H614" s="48" t="n">
        <f aca="false">$H$7*G614</f>
        <v>8.40277777777778</v>
      </c>
      <c r="I614" s="49" t="n">
        <f aca="false">0.5*c_rho*'P3 Energie'!F8*'P3 Energie'!F7*(H614-c_Vv)^2+'P3 Energie'!F13+'P3 Energie'!F15+'P3 Energie'!F6*$H$7</f>
        <v>19263.6387490799</v>
      </c>
      <c r="J614" s="50" t="n">
        <f aca="false">I614*H614</f>
        <v>161868.075599907</v>
      </c>
    </row>
    <row r="615" customFormat="false" ht="15" hidden="false" customHeight="false" outlineLevel="0" collapsed="false">
      <c r="A615" s="46" t="n">
        <v>607</v>
      </c>
      <c r="B615" s="47" t="n">
        <f aca="false">(A615-1)*$C$6</f>
        <v>1.09481355834703</v>
      </c>
      <c r="C615" s="48" t="n">
        <f aca="false">$C$7*B615</f>
        <v>8.41666666666667</v>
      </c>
      <c r="D615" s="49" t="n">
        <f aca="false">0.5*c_rho*'P3 Energie'!E8*'P3 Energie'!E7*(C615-c_Vv)^2+'P3 Energie'!E13+'P3 Energie'!E15+'P3 Energie'!E6*$C$7</f>
        <v>18439.5625261931</v>
      </c>
      <c r="E615" s="50" t="n">
        <f aca="false">D615*C615</f>
        <v>155199.651262125</v>
      </c>
      <c r="F615" s="46" t="n">
        <v>607</v>
      </c>
      <c r="G615" s="47" t="n">
        <f aca="false">(F615-1)*$H$6</f>
        <v>1.09403169245024</v>
      </c>
      <c r="H615" s="48" t="n">
        <f aca="false">$H$7*G615</f>
        <v>8.41666666666667</v>
      </c>
      <c r="I615" s="49" t="n">
        <f aca="false">0.5*c_rho*'P3 Energie'!F8*'P3 Energie'!F7*(H615-c_Vv)^2+'P3 Energie'!F13+'P3 Energie'!F15+'P3 Energie'!F6*$H$7</f>
        <v>19263.7198190824</v>
      </c>
      <c r="J615" s="50" t="n">
        <f aca="false">I615*H615</f>
        <v>162136.308477277</v>
      </c>
    </row>
    <row r="616" customFormat="false" ht="15" hidden="false" customHeight="false" outlineLevel="0" collapsed="false">
      <c r="A616" s="46" t="n">
        <v>608</v>
      </c>
      <c r="B616" s="47" t="n">
        <f aca="false">(A616-1)*$C$6</f>
        <v>1.0966201813806</v>
      </c>
      <c r="C616" s="48" t="n">
        <f aca="false">$C$7*B616</f>
        <v>8.43055555555556</v>
      </c>
      <c r="D616" s="49" t="n">
        <f aca="false">0.5*c_rho*'P3 Energie'!E8*'P3 Energie'!E7*(C616-c_Vv)^2+'P3 Energie'!E13+'P3 Energie'!E15+'P3 Energie'!E6*$C$7</f>
        <v>18439.6559905414</v>
      </c>
      <c r="E616" s="50" t="n">
        <f aca="false">D616*C616</f>
        <v>155456.544253592</v>
      </c>
      <c r="F616" s="46" t="n">
        <v>608</v>
      </c>
      <c r="G616" s="47" t="n">
        <f aca="false">(F616-1)*$H$6</f>
        <v>1.09583702527606</v>
      </c>
      <c r="H616" s="48" t="n">
        <f aca="false">$H$7*G616</f>
        <v>8.43055555555556</v>
      </c>
      <c r="I616" s="49" t="n">
        <f aca="false">0.5*c_rho*'P3 Energie'!F8*'P3 Energie'!F7*(H616-c_Vv)^2+'P3 Energie'!F13+'P3 Energie'!F15+'P3 Energie'!F6*$H$7</f>
        <v>19263.8010229743</v>
      </c>
      <c r="J616" s="50" t="n">
        <f aca="false">I616*H616</f>
        <v>162404.544735353</v>
      </c>
    </row>
    <row r="617" customFormat="false" ht="15" hidden="false" customHeight="false" outlineLevel="0" collapsed="false">
      <c r="A617" s="46" t="n">
        <v>609</v>
      </c>
      <c r="B617" s="47" t="n">
        <f aca="false">(A617-1)*$C$6</f>
        <v>1.09842680441418</v>
      </c>
      <c r="C617" s="48" t="n">
        <f aca="false">$C$7*B617</f>
        <v>8.44444444444445</v>
      </c>
      <c r="D617" s="49" t="n">
        <f aca="false">0.5*c_rho*'P3 Energie'!E8*'P3 Energie'!E7*(C617-c_Vv)^2+'P3 Energie'!E13+'P3 Energie'!E15+'P3 Energie'!E6*$C$7</f>
        <v>18439.7496089942</v>
      </c>
      <c r="E617" s="50" t="n">
        <f aca="false">D617*C617</f>
        <v>155713.441142618</v>
      </c>
      <c r="F617" s="46" t="n">
        <v>609</v>
      </c>
      <c r="G617" s="47" t="n">
        <f aca="false">(F617-1)*$H$6</f>
        <v>1.09764235810189</v>
      </c>
      <c r="H617" s="48" t="n">
        <f aca="false">$H$7*G617</f>
        <v>8.44444444444445</v>
      </c>
      <c r="I617" s="49" t="n">
        <f aca="false">0.5*c_rho*'P3 Energie'!F8*'P3 Energie'!F7*(H617-c_Vv)^2+'P3 Energie'!F13+'P3 Energie'!F15+'P3 Energie'!F6*$H$7</f>
        <v>19263.8823607556</v>
      </c>
      <c r="J617" s="50" t="n">
        <f aca="false">I617*H617</f>
        <v>162672.784379714</v>
      </c>
    </row>
    <row r="618" customFormat="false" ht="15" hidden="false" customHeight="false" outlineLevel="0" collapsed="false">
      <c r="A618" s="46" t="n">
        <v>610</v>
      </c>
      <c r="B618" s="47" t="n">
        <f aca="false">(A618-1)*$C$6</f>
        <v>1.10023342744776</v>
      </c>
      <c r="C618" s="48" t="n">
        <f aca="false">$C$7*B618</f>
        <v>8.45833333333333</v>
      </c>
      <c r="D618" s="49" t="n">
        <f aca="false">0.5*c_rho*'P3 Energie'!E8*'P3 Energie'!E7*(C618-c_Vv)^2+'P3 Energie'!E13+'P3 Energie'!E15+'P3 Energie'!E6*$C$7</f>
        <v>18439.8433815515</v>
      </c>
      <c r="E618" s="50" t="n">
        <f aca="false">D618*C618</f>
        <v>155970.341935623</v>
      </c>
      <c r="F618" s="46" t="n">
        <v>610</v>
      </c>
      <c r="G618" s="47" t="n">
        <f aca="false">(F618-1)*$H$6</f>
        <v>1.09944769092771</v>
      </c>
      <c r="H618" s="48" t="n">
        <f aca="false">$H$7*G618</f>
        <v>8.45833333333333</v>
      </c>
      <c r="I618" s="49" t="n">
        <f aca="false">0.5*c_rho*'P3 Energie'!F8*'P3 Energie'!F7*(H618-c_Vv)^2+'P3 Energie'!F13+'P3 Energie'!F15+'P3 Energie'!F6*$H$7</f>
        <v>19263.9638324262</v>
      </c>
      <c r="J618" s="50" t="n">
        <f aca="false">I618*H618</f>
        <v>162941.027415938</v>
      </c>
    </row>
    <row r="619" customFormat="false" ht="15" hidden="false" customHeight="false" outlineLevel="0" collapsed="false">
      <c r="A619" s="46" t="n">
        <v>611</v>
      </c>
      <c r="B619" s="47" t="n">
        <f aca="false">(A619-1)*$C$6</f>
        <v>1.10204005048133</v>
      </c>
      <c r="C619" s="48" t="n">
        <f aca="false">$C$7*B619</f>
        <v>8.47222222222222</v>
      </c>
      <c r="D619" s="49" t="n">
        <f aca="false">0.5*c_rho*'P3 Energie'!E8*'P3 Energie'!E7*(C619-c_Vv)^2+'P3 Energie'!E13+'P3 Energie'!E15+'P3 Energie'!E6*$C$7</f>
        <v>18439.9373082132</v>
      </c>
      <c r="E619" s="50" t="n">
        <f aca="false">D619*C619</f>
        <v>156227.246639028</v>
      </c>
      <c r="F619" s="46" t="n">
        <v>611</v>
      </c>
      <c r="G619" s="47" t="n">
        <f aca="false">(F619-1)*$H$6</f>
        <v>1.10125302375354</v>
      </c>
      <c r="H619" s="48" t="n">
        <f aca="false">$H$7*G619</f>
        <v>8.47222222222222</v>
      </c>
      <c r="I619" s="49" t="n">
        <f aca="false">0.5*c_rho*'P3 Energie'!F8*'P3 Energie'!F7*(H619-c_Vv)^2+'P3 Energie'!F13+'P3 Energie'!F15+'P3 Energie'!F6*$H$7</f>
        <v>19264.0454379861</v>
      </c>
      <c r="J619" s="50" t="n">
        <f aca="false">I619*H619</f>
        <v>163209.273849605</v>
      </c>
    </row>
    <row r="620" customFormat="false" ht="15" hidden="false" customHeight="false" outlineLevel="0" collapsed="false">
      <c r="A620" s="46" t="n">
        <v>612</v>
      </c>
      <c r="B620" s="47" t="n">
        <f aca="false">(A620-1)*$C$6</f>
        <v>1.10384667351491</v>
      </c>
      <c r="C620" s="48" t="n">
        <f aca="false">$C$7*B620</f>
        <v>8.48611111111111</v>
      </c>
      <c r="D620" s="49" t="n">
        <f aca="false">0.5*c_rho*'P3 Energie'!E8*'P3 Energie'!E7*(C620-c_Vv)^2+'P3 Energie'!E13+'P3 Energie'!E15+'P3 Energie'!E6*$C$7</f>
        <v>18440.0313889794</v>
      </c>
      <c r="E620" s="50" t="n">
        <f aca="false">D620*C620</f>
        <v>156484.155259255</v>
      </c>
      <c r="F620" s="46" t="n">
        <v>612</v>
      </c>
      <c r="G620" s="47" t="n">
        <f aca="false">(F620-1)*$H$6</f>
        <v>1.10305835657937</v>
      </c>
      <c r="H620" s="48" t="n">
        <f aca="false">$H$7*G620</f>
        <v>8.48611111111111</v>
      </c>
      <c r="I620" s="49" t="n">
        <f aca="false">0.5*c_rho*'P3 Energie'!F8*'P3 Energie'!F7*(H620-c_Vv)^2+'P3 Energie'!F13+'P3 Energie'!F15+'P3 Energie'!F6*$H$7</f>
        <v>19264.1271774354</v>
      </c>
      <c r="J620" s="50" t="n">
        <f aca="false">I620*H620</f>
        <v>163477.523686292</v>
      </c>
    </row>
    <row r="621" customFormat="false" ht="15" hidden="false" customHeight="false" outlineLevel="0" collapsed="false">
      <c r="A621" s="46" t="n">
        <v>613</v>
      </c>
      <c r="B621" s="47" t="n">
        <f aca="false">(A621-1)*$C$6</f>
        <v>1.10565329654848</v>
      </c>
      <c r="C621" s="48" t="n">
        <f aca="false">$C$7*B621</f>
        <v>8.5</v>
      </c>
      <c r="D621" s="49" t="n">
        <f aca="false">0.5*c_rho*'P3 Energie'!E8*'P3 Energie'!E7*(C621-c_Vv)^2+'P3 Energie'!E13+'P3 Energie'!E15+'P3 Energie'!E6*$C$7</f>
        <v>18440.12562385</v>
      </c>
      <c r="E621" s="50" t="n">
        <f aca="false">D621*C621</f>
        <v>156741.067802725</v>
      </c>
      <c r="F621" s="46" t="n">
        <v>613</v>
      </c>
      <c r="G621" s="47" t="n">
        <f aca="false">(F621-1)*$H$6</f>
        <v>1.10486368940519</v>
      </c>
      <c r="H621" s="48" t="n">
        <f aca="false">$H$7*G621</f>
        <v>8.5</v>
      </c>
      <c r="I621" s="49" t="n">
        <f aca="false">0.5*c_rho*'P3 Energie'!F8*'P3 Energie'!F7*(H621-c_Vv)^2+'P3 Energie'!F13+'P3 Energie'!F15+'P3 Energie'!F6*$H$7</f>
        <v>19264.2090507741</v>
      </c>
      <c r="J621" s="50" t="n">
        <f aca="false">I621*H621</f>
        <v>163745.77693158</v>
      </c>
    </row>
    <row r="622" customFormat="false" ht="15" hidden="false" customHeight="false" outlineLevel="0" collapsed="false">
      <c r="A622" s="46" t="n">
        <v>614</v>
      </c>
      <c r="B622" s="47" t="n">
        <f aca="false">(A622-1)*$C$6</f>
        <v>1.10745991958206</v>
      </c>
      <c r="C622" s="48" t="n">
        <f aca="false">$C$7*B622</f>
        <v>8.51388888888889</v>
      </c>
      <c r="D622" s="49" t="n">
        <f aca="false">0.5*c_rho*'P3 Energie'!E8*'P3 Energie'!E7*(C622-c_Vv)^2+'P3 Energie'!E13+'P3 Energie'!E15+'P3 Energie'!E6*$C$7</f>
        <v>18440.220012825</v>
      </c>
      <c r="E622" s="50" t="n">
        <f aca="false">D622*C622</f>
        <v>156997.984275858</v>
      </c>
      <c r="F622" s="46" t="n">
        <v>614</v>
      </c>
      <c r="G622" s="47" t="n">
        <f aca="false">(F622-1)*$H$6</f>
        <v>1.10666902223102</v>
      </c>
      <c r="H622" s="48" t="n">
        <f aca="false">$H$7*G622</f>
        <v>8.51388888888889</v>
      </c>
      <c r="I622" s="49" t="n">
        <f aca="false">0.5*c_rho*'P3 Energie'!F8*'P3 Energie'!F7*(H622-c_Vv)^2+'P3 Energie'!F13+'P3 Energie'!F15+'P3 Energie'!F6*$H$7</f>
        <v>19264.2910580021</v>
      </c>
      <c r="J622" s="50" t="n">
        <f aca="false">I622*H622</f>
        <v>164014.033591046</v>
      </c>
    </row>
    <row r="623" customFormat="false" ht="15" hidden="false" customHeight="false" outlineLevel="0" collapsed="false">
      <c r="A623" s="46" t="n">
        <v>615</v>
      </c>
      <c r="B623" s="47" t="n">
        <f aca="false">(A623-1)*$C$6</f>
        <v>1.10926654261564</v>
      </c>
      <c r="C623" s="48" t="n">
        <f aca="false">$C$7*B623</f>
        <v>8.52777777777778</v>
      </c>
      <c r="D623" s="49" t="n">
        <f aca="false">0.5*c_rho*'P3 Energie'!E8*'P3 Energie'!E7*(C623-c_Vv)^2+'P3 Energie'!E13+'P3 Energie'!E15+'P3 Energie'!E6*$C$7</f>
        <v>18440.3145559045</v>
      </c>
      <c r="E623" s="50" t="n">
        <f aca="false">D623*C623</f>
        <v>157254.904685075</v>
      </c>
      <c r="F623" s="46" t="n">
        <v>615</v>
      </c>
      <c r="G623" s="47" t="n">
        <f aca="false">(F623-1)*$H$6</f>
        <v>1.10847435505684</v>
      </c>
      <c r="H623" s="48" t="n">
        <f aca="false">$H$7*G623</f>
        <v>8.52777777777778</v>
      </c>
      <c r="I623" s="49" t="n">
        <f aca="false">0.5*c_rho*'P3 Energie'!F8*'P3 Energie'!F7*(H623-c_Vv)^2+'P3 Energie'!F13+'P3 Energie'!F15+'P3 Energie'!F6*$H$7</f>
        <v>19264.3731991194</v>
      </c>
      <c r="J623" s="50" t="n">
        <f aca="false">I623*H623</f>
        <v>164282.293670269</v>
      </c>
    </row>
    <row r="624" customFormat="false" ht="15" hidden="false" customHeight="false" outlineLevel="0" collapsed="false">
      <c r="A624" s="46" t="n">
        <v>616</v>
      </c>
      <c r="B624" s="47" t="n">
        <f aca="false">(A624-1)*$C$6</f>
        <v>1.11107316564921</v>
      </c>
      <c r="C624" s="48" t="n">
        <f aca="false">$C$7*B624</f>
        <v>8.54166666666667</v>
      </c>
      <c r="D624" s="49" t="n">
        <f aca="false">0.5*c_rho*'P3 Energie'!E8*'P3 Energie'!E7*(C624-c_Vv)^2+'P3 Energie'!E13+'P3 Energie'!E15+'P3 Energie'!E6*$C$7</f>
        <v>18440.4092530885</v>
      </c>
      <c r="E624" s="50" t="n">
        <f aca="false">D624*C624</f>
        <v>157511.829036797</v>
      </c>
      <c r="F624" s="46" t="n">
        <v>616</v>
      </c>
      <c r="G624" s="47" t="n">
        <f aca="false">(F624-1)*$H$6</f>
        <v>1.11027968788267</v>
      </c>
      <c r="H624" s="48" t="n">
        <f aca="false">$H$7*G624</f>
        <v>8.54166666666667</v>
      </c>
      <c r="I624" s="49" t="n">
        <f aca="false">0.5*c_rho*'P3 Energie'!F8*'P3 Energie'!F7*(H624-c_Vv)^2+'P3 Energie'!F13+'P3 Energie'!F15+'P3 Energie'!F6*$H$7</f>
        <v>19264.4554741262</v>
      </c>
      <c r="J624" s="50" t="n">
        <f aca="false">I624*H624</f>
        <v>164550.557174828</v>
      </c>
    </row>
    <row r="625" customFormat="false" ht="15" hidden="false" customHeight="false" outlineLevel="0" collapsed="false">
      <c r="A625" s="46" t="n">
        <v>617</v>
      </c>
      <c r="B625" s="47" t="n">
        <f aca="false">(A625-1)*$C$6</f>
        <v>1.11287978868279</v>
      </c>
      <c r="C625" s="48" t="n">
        <f aca="false">$C$7*B625</f>
        <v>8.55555555555556</v>
      </c>
      <c r="D625" s="49" t="n">
        <f aca="false">0.5*c_rho*'P3 Energie'!E8*'P3 Energie'!E7*(C625-c_Vv)^2+'P3 Energie'!E13+'P3 Energie'!E15+'P3 Energie'!E6*$C$7</f>
        <v>18440.5041043769</v>
      </c>
      <c r="E625" s="50" t="n">
        <f aca="false">D625*C625</f>
        <v>157768.757337447</v>
      </c>
      <c r="F625" s="46" t="n">
        <v>617</v>
      </c>
      <c r="G625" s="47" t="n">
        <f aca="false">(F625-1)*$H$6</f>
        <v>1.11208502070849</v>
      </c>
      <c r="H625" s="48" t="n">
        <f aca="false">$H$7*G625</f>
        <v>8.55555555555556</v>
      </c>
      <c r="I625" s="49" t="n">
        <f aca="false">0.5*c_rho*'P3 Energie'!F8*'P3 Energie'!F7*(H625-c_Vv)^2+'P3 Energie'!F13+'P3 Energie'!F15+'P3 Energie'!F6*$H$7</f>
        <v>19264.5378830222</v>
      </c>
      <c r="J625" s="50" t="n">
        <f aca="false">I625*H625</f>
        <v>164818.824110301</v>
      </c>
    </row>
    <row r="626" customFormat="false" ht="15" hidden="false" customHeight="false" outlineLevel="0" collapsed="false">
      <c r="A626" s="46" t="n">
        <v>618</v>
      </c>
      <c r="B626" s="47" t="n">
        <f aca="false">(A626-1)*$C$6</f>
        <v>1.11468641171636</v>
      </c>
      <c r="C626" s="48" t="n">
        <f aca="false">$C$7*B626</f>
        <v>8.56944444444444</v>
      </c>
      <c r="D626" s="49" t="n">
        <f aca="false">0.5*c_rho*'P3 Energie'!E8*'P3 Energie'!E7*(C626-c_Vv)^2+'P3 Energie'!E13+'P3 Energie'!E15+'P3 Energie'!E6*$C$7</f>
        <v>18440.5991097697</v>
      </c>
      <c r="E626" s="50" t="n">
        <f aca="false">D626*C626</f>
        <v>158025.689593444</v>
      </c>
      <c r="F626" s="46" t="n">
        <v>618</v>
      </c>
      <c r="G626" s="47" t="n">
        <f aca="false">(F626-1)*$H$6</f>
        <v>1.11389035353432</v>
      </c>
      <c r="H626" s="48" t="n">
        <f aca="false">$H$7*G626</f>
        <v>8.56944444444445</v>
      </c>
      <c r="I626" s="49" t="n">
        <f aca="false">0.5*c_rho*'P3 Energie'!F8*'P3 Energie'!F7*(H626-c_Vv)^2+'P3 Energie'!F13+'P3 Energie'!F15+'P3 Energie'!F6*$H$7</f>
        <v>19264.6204258076</v>
      </c>
      <c r="J626" s="50" t="n">
        <f aca="false">I626*H626</f>
        <v>165087.094482268</v>
      </c>
    </row>
    <row r="627" customFormat="false" ht="15" hidden="false" customHeight="false" outlineLevel="0" collapsed="false">
      <c r="A627" s="46" t="n">
        <v>619</v>
      </c>
      <c r="B627" s="47" t="n">
        <f aca="false">(A627-1)*$C$6</f>
        <v>1.11649303474994</v>
      </c>
      <c r="C627" s="48" t="n">
        <f aca="false">$C$7*B627</f>
        <v>8.58333333333333</v>
      </c>
      <c r="D627" s="49" t="n">
        <f aca="false">0.5*c_rho*'P3 Energie'!E8*'P3 Energie'!E7*(C627-c_Vv)^2+'P3 Energie'!E13+'P3 Energie'!E15+'P3 Energie'!E6*$C$7</f>
        <v>18440.6942692671</v>
      </c>
      <c r="E627" s="50" t="n">
        <f aca="false">D627*C627</f>
        <v>158282.625811209</v>
      </c>
      <c r="F627" s="46" t="n">
        <v>619</v>
      </c>
      <c r="G627" s="47" t="n">
        <f aca="false">(F627-1)*$H$6</f>
        <v>1.11569568636014</v>
      </c>
      <c r="H627" s="48" t="n">
        <f aca="false">$H$7*G627</f>
        <v>8.58333333333333</v>
      </c>
      <c r="I627" s="49" t="n">
        <f aca="false">0.5*c_rho*'P3 Energie'!F8*'P3 Energie'!F7*(H627-c_Vv)^2+'P3 Energie'!F13+'P3 Energie'!F15+'P3 Energie'!F6*$H$7</f>
        <v>19264.7031024824</v>
      </c>
      <c r="J627" s="50" t="n">
        <f aca="false">I627*H627</f>
        <v>165355.368296307</v>
      </c>
    </row>
    <row r="628" customFormat="false" ht="15" hidden="false" customHeight="false" outlineLevel="0" collapsed="false">
      <c r="A628" s="46" t="n">
        <v>620</v>
      </c>
      <c r="B628" s="47" t="n">
        <f aca="false">(A628-1)*$C$6</f>
        <v>1.11829965778352</v>
      </c>
      <c r="C628" s="48" t="n">
        <f aca="false">$C$7*B628</f>
        <v>8.59722222222222</v>
      </c>
      <c r="D628" s="49" t="n">
        <f aca="false">0.5*c_rho*'P3 Energie'!E8*'P3 Energie'!E7*(C628-c_Vv)^2+'P3 Energie'!E13+'P3 Energie'!E15+'P3 Energie'!E6*$C$7</f>
        <v>18440.7895828688</v>
      </c>
      <c r="E628" s="50" t="n">
        <f aca="false">D628*C628</f>
        <v>158539.565997164</v>
      </c>
      <c r="F628" s="46" t="n">
        <v>620</v>
      </c>
      <c r="G628" s="47" t="n">
        <f aca="false">(F628-1)*$H$6</f>
        <v>1.11750101918597</v>
      </c>
      <c r="H628" s="48" t="n">
        <f aca="false">$H$7*G628</f>
        <v>8.59722222222222</v>
      </c>
      <c r="I628" s="49" t="n">
        <f aca="false">0.5*c_rho*'P3 Energie'!F8*'P3 Energie'!F7*(H628-c_Vv)^2+'P3 Energie'!F13+'P3 Energie'!F15+'P3 Energie'!F6*$H$7</f>
        <v>19264.7859130465</v>
      </c>
      <c r="J628" s="50" t="n">
        <f aca="false">I628*H628</f>
        <v>165623.645557997</v>
      </c>
    </row>
    <row r="629" customFormat="false" ht="15" hidden="false" customHeight="false" outlineLevel="0" collapsed="false">
      <c r="A629" s="46" t="n">
        <v>621</v>
      </c>
      <c r="B629" s="47" t="n">
        <f aca="false">(A629-1)*$C$6</f>
        <v>1.12010628081709</v>
      </c>
      <c r="C629" s="48" t="n">
        <f aca="false">$C$7*B629</f>
        <v>8.61111111111111</v>
      </c>
      <c r="D629" s="49" t="n">
        <f aca="false">0.5*c_rho*'P3 Energie'!E8*'P3 Energie'!E7*(C629-c_Vv)^2+'P3 Energie'!E13+'P3 Energie'!E15+'P3 Energie'!E6*$C$7</f>
        <v>18440.885050575</v>
      </c>
      <c r="E629" s="50" t="n">
        <f aca="false">D629*C629</f>
        <v>158796.510157729</v>
      </c>
      <c r="F629" s="46" t="n">
        <v>621</v>
      </c>
      <c r="G629" s="47" t="n">
        <f aca="false">(F629-1)*$H$6</f>
        <v>1.11930635201179</v>
      </c>
      <c r="H629" s="48" t="n">
        <f aca="false">$H$7*G629</f>
        <v>8.61111111111111</v>
      </c>
      <c r="I629" s="49" t="n">
        <f aca="false">0.5*c_rho*'P3 Energie'!F8*'P3 Energie'!F7*(H629-c_Vv)^2+'P3 Energie'!F13+'P3 Energie'!F15+'P3 Energie'!F6*$H$7</f>
        <v>19264.8688575</v>
      </c>
      <c r="J629" s="50" t="n">
        <f aca="false">I629*H629</f>
        <v>165891.926272917</v>
      </c>
    </row>
    <row r="630" customFormat="false" ht="15" hidden="false" customHeight="false" outlineLevel="0" collapsed="false">
      <c r="A630" s="46" t="n">
        <v>622</v>
      </c>
      <c r="B630" s="47" t="n">
        <f aca="false">(A630-1)*$C$6</f>
        <v>1.12191290385067</v>
      </c>
      <c r="C630" s="48" t="n">
        <f aca="false">$C$7*B630</f>
        <v>8.625</v>
      </c>
      <c r="D630" s="49" t="n">
        <f aca="false">0.5*c_rho*'P3 Energie'!E8*'P3 Energie'!E7*(C630-c_Vv)^2+'P3 Energie'!E13+'P3 Energie'!E15+'P3 Energie'!E6*$C$7</f>
        <v>18440.9806723857</v>
      </c>
      <c r="E630" s="50" t="n">
        <f aca="false">D630*C630</f>
        <v>159053.458299326</v>
      </c>
      <c r="F630" s="46" t="n">
        <v>622</v>
      </c>
      <c r="G630" s="47" t="n">
        <f aca="false">(F630-1)*$H$6</f>
        <v>1.12111168483762</v>
      </c>
      <c r="H630" s="48" t="n">
        <f aca="false">$H$7*G630</f>
        <v>8.625</v>
      </c>
      <c r="I630" s="49" t="n">
        <f aca="false">0.5*c_rho*'P3 Energie'!F8*'P3 Energie'!F7*(H630-c_Vv)^2+'P3 Energie'!F13+'P3 Energie'!F15+'P3 Energie'!F6*$H$7</f>
        <v>19264.9519358428</v>
      </c>
      <c r="J630" s="50" t="n">
        <f aca="false">I630*H630</f>
        <v>166160.210446644</v>
      </c>
    </row>
    <row r="631" customFormat="false" ht="15" hidden="false" customHeight="false" outlineLevel="0" collapsed="false">
      <c r="A631" s="46" t="n">
        <v>623</v>
      </c>
      <c r="B631" s="47" t="n">
        <f aca="false">(A631-1)*$C$6</f>
        <v>1.12371952688424</v>
      </c>
      <c r="C631" s="48" t="n">
        <f aca="false">$C$7*B631</f>
        <v>8.63888888888889</v>
      </c>
      <c r="D631" s="49" t="n">
        <f aca="false">0.5*c_rho*'P3 Energie'!E8*'P3 Energie'!E7*(C631-c_Vv)^2+'P3 Energie'!E13+'P3 Energie'!E15+'P3 Energie'!E6*$C$7</f>
        <v>18441.0764483008</v>
      </c>
      <c r="E631" s="50" t="n">
        <f aca="false">D631*C631</f>
        <v>159310.410428376</v>
      </c>
      <c r="F631" s="46" t="n">
        <v>623</v>
      </c>
      <c r="G631" s="47" t="n">
        <f aca="false">(F631-1)*$H$6</f>
        <v>1.12291701766345</v>
      </c>
      <c r="H631" s="48" t="n">
        <f aca="false">$H$7*G631</f>
        <v>8.63888888888889</v>
      </c>
      <c r="I631" s="49" t="n">
        <f aca="false">0.5*c_rho*'P3 Energie'!F8*'P3 Energie'!F7*(H631-c_Vv)^2+'P3 Energie'!F13+'P3 Energie'!F15+'P3 Energie'!F6*$H$7</f>
        <v>19265.035148075</v>
      </c>
      <c r="J631" s="50" t="n">
        <f aca="false">I631*H631</f>
        <v>166428.498084759</v>
      </c>
    </row>
    <row r="632" customFormat="false" ht="15" hidden="false" customHeight="false" outlineLevel="0" collapsed="false">
      <c r="A632" s="46" t="n">
        <v>624</v>
      </c>
      <c r="B632" s="47" t="n">
        <f aca="false">(A632-1)*$C$6</f>
        <v>1.12552614991782</v>
      </c>
      <c r="C632" s="48" t="n">
        <f aca="false">$C$7*B632</f>
        <v>8.65277777777778</v>
      </c>
      <c r="D632" s="49" t="n">
        <f aca="false">0.5*c_rho*'P3 Energie'!E8*'P3 Energie'!E7*(C632-c_Vv)^2+'P3 Energie'!E13+'P3 Energie'!E15+'P3 Energie'!E6*$C$7</f>
        <v>18441.1723783203</v>
      </c>
      <c r="E632" s="50" t="n">
        <f aca="false">D632*C632</f>
        <v>159567.366551299</v>
      </c>
      <c r="F632" s="46" t="n">
        <v>624</v>
      </c>
      <c r="G632" s="47" t="n">
        <f aca="false">(F632-1)*$H$6</f>
        <v>1.12472235048927</v>
      </c>
      <c r="H632" s="48" t="n">
        <f aca="false">$H$7*G632</f>
        <v>8.65277777777778</v>
      </c>
      <c r="I632" s="49" t="n">
        <f aca="false">0.5*c_rho*'P3 Energie'!F8*'P3 Energie'!F7*(H632-c_Vv)^2+'P3 Energie'!F13+'P3 Energie'!F15+'P3 Energie'!F6*$H$7</f>
        <v>19265.1184941965</v>
      </c>
      <c r="J632" s="50" t="n">
        <f aca="false">I632*H632</f>
        <v>166696.789192839</v>
      </c>
    </row>
    <row r="633" customFormat="false" ht="15" hidden="false" customHeight="false" outlineLevel="0" collapsed="false">
      <c r="A633" s="46" t="n">
        <v>625</v>
      </c>
      <c r="B633" s="47" t="n">
        <f aca="false">(A633-1)*$C$6</f>
        <v>1.1273327729514</v>
      </c>
      <c r="C633" s="48" t="n">
        <f aca="false">$C$7*B633</f>
        <v>8.66666666666667</v>
      </c>
      <c r="D633" s="49" t="n">
        <f aca="false">0.5*c_rho*'P3 Energie'!E8*'P3 Energie'!E7*(C633-c_Vv)^2+'P3 Energie'!E13+'P3 Energie'!E15+'P3 Energie'!E6*$C$7</f>
        <v>18441.2684624443</v>
      </c>
      <c r="E633" s="50" t="n">
        <f aca="false">D633*C633</f>
        <v>159824.326674517</v>
      </c>
      <c r="F633" s="46" t="n">
        <v>625</v>
      </c>
      <c r="G633" s="47" t="n">
        <f aca="false">(F633-1)*$H$6</f>
        <v>1.1265276833151</v>
      </c>
      <c r="H633" s="48" t="n">
        <f aca="false">$H$7*G633</f>
        <v>8.66666666666667</v>
      </c>
      <c r="I633" s="49" t="n">
        <f aca="false">0.5*c_rho*'P3 Energie'!F8*'P3 Energie'!F7*(H633-c_Vv)^2+'P3 Energie'!F13+'P3 Energie'!F15+'P3 Energie'!F6*$H$7</f>
        <v>19265.2019742074</v>
      </c>
      <c r="J633" s="50" t="n">
        <f aca="false">I633*H633</f>
        <v>166965.083776464</v>
      </c>
    </row>
    <row r="634" customFormat="false" ht="15" hidden="false" customHeight="false" outlineLevel="0" collapsed="false">
      <c r="A634" s="46" t="n">
        <v>626</v>
      </c>
      <c r="B634" s="47" t="n">
        <f aca="false">(A634-1)*$C$6</f>
        <v>1.12913939598497</v>
      </c>
      <c r="C634" s="48" t="n">
        <f aca="false">$C$7*B634</f>
        <v>8.68055555555556</v>
      </c>
      <c r="D634" s="49" t="n">
        <f aca="false">0.5*c_rho*'P3 Energie'!E8*'P3 Energie'!E7*(C634-c_Vv)^2+'P3 Energie'!E13+'P3 Energie'!E15+'P3 Energie'!E6*$C$7</f>
        <v>18441.3647006727</v>
      </c>
      <c r="E634" s="50" t="n">
        <f aca="false">D634*C634</f>
        <v>160081.290804451</v>
      </c>
      <c r="F634" s="46" t="n">
        <v>626</v>
      </c>
      <c r="G634" s="47" t="n">
        <f aca="false">(F634-1)*$H$6</f>
        <v>1.12833301614092</v>
      </c>
      <c r="H634" s="48" t="n">
        <f aca="false">$H$7*G634</f>
        <v>8.68055555555556</v>
      </c>
      <c r="I634" s="49" t="n">
        <f aca="false">0.5*c_rho*'P3 Energie'!F8*'P3 Energie'!F7*(H634-c_Vv)^2+'P3 Energie'!F13+'P3 Energie'!F15+'P3 Energie'!F6*$H$7</f>
        <v>19265.2855881076</v>
      </c>
      <c r="J634" s="50" t="n">
        <f aca="false">I634*H634</f>
        <v>167233.381841212</v>
      </c>
    </row>
    <row r="635" customFormat="false" ht="15" hidden="false" customHeight="false" outlineLevel="0" collapsed="false">
      <c r="A635" s="46" t="n">
        <v>627</v>
      </c>
      <c r="B635" s="47" t="n">
        <f aca="false">(A635-1)*$C$6</f>
        <v>1.13094601901855</v>
      </c>
      <c r="C635" s="48" t="n">
        <f aca="false">$C$7*B635</f>
        <v>8.69444444444445</v>
      </c>
      <c r="D635" s="49" t="n">
        <f aca="false">0.5*c_rho*'P3 Energie'!E8*'P3 Energie'!E7*(C635-c_Vv)^2+'P3 Energie'!E13+'P3 Energie'!E15+'P3 Energie'!E6*$C$7</f>
        <v>18441.4610930056</v>
      </c>
      <c r="E635" s="50" t="n">
        <f aca="false">D635*C635</f>
        <v>160338.258947521</v>
      </c>
      <c r="F635" s="46" t="n">
        <v>627</v>
      </c>
      <c r="G635" s="47" t="n">
        <f aca="false">(F635-1)*$H$6</f>
        <v>1.13013834896675</v>
      </c>
      <c r="H635" s="48" t="n">
        <f aca="false">$H$7*G635</f>
        <v>8.69444444444445</v>
      </c>
      <c r="I635" s="49" t="n">
        <f aca="false">0.5*c_rho*'P3 Energie'!F8*'P3 Energie'!F7*(H635-c_Vv)^2+'P3 Energie'!F13+'P3 Energie'!F15+'P3 Energie'!F6*$H$7</f>
        <v>19265.3693358972</v>
      </c>
      <c r="J635" s="50" t="n">
        <f aca="false">I635*H635</f>
        <v>167501.683392662</v>
      </c>
    </row>
    <row r="636" customFormat="false" ht="15" hidden="false" customHeight="false" outlineLevel="0" collapsed="false">
      <c r="A636" s="46" t="n">
        <v>628</v>
      </c>
      <c r="B636" s="47" t="n">
        <f aca="false">(A636-1)*$C$6</f>
        <v>1.13275264205212</v>
      </c>
      <c r="C636" s="48" t="n">
        <f aca="false">$C$7*B636</f>
        <v>8.70833333333333</v>
      </c>
      <c r="D636" s="49" t="n">
        <f aca="false">0.5*c_rho*'P3 Energie'!E8*'P3 Energie'!E7*(C636-c_Vv)^2+'P3 Energie'!E13+'P3 Energie'!E15+'P3 Energie'!E6*$C$7</f>
        <v>18441.557639443</v>
      </c>
      <c r="E636" s="50" t="n">
        <f aca="false">D636*C636</f>
        <v>160595.231110149</v>
      </c>
      <c r="F636" s="46" t="n">
        <v>628</v>
      </c>
      <c r="G636" s="47" t="n">
        <f aca="false">(F636-1)*$H$6</f>
        <v>1.13194368179257</v>
      </c>
      <c r="H636" s="48" t="n">
        <f aca="false">$H$7*G636</f>
        <v>8.70833333333333</v>
      </c>
      <c r="I636" s="49" t="n">
        <f aca="false">0.5*c_rho*'P3 Energie'!F8*'P3 Energie'!F7*(H636-c_Vv)^2+'P3 Energie'!F13+'P3 Energie'!F15+'P3 Energie'!F6*$H$7</f>
        <v>19265.4532175762</v>
      </c>
      <c r="J636" s="50" t="n">
        <f aca="false">I636*H636</f>
        <v>167769.988436392</v>
      </c>
    </row>
    <row r="637" customFormat="false" ht="15" hidden="false" customHeight="false" outlineLevel="0" collapsed="false">
      <c r="A637" s="46" t="n">
        <v>629</v>
      </c>
      <c r="B637" s="47" t="n">
        <f aca="false">(A637-1)*$C$6</f>
        <v>1.1345592650857</v>
      </c>
      <c r="C637" s="48" t="n">
        <f aca="false">$C$7*B637</f>
        <v>8.72222222222222</v>
      </c>
      <c r="D637" s="49" t="n">
        <f aca="false">0.5*c_rho*'P3 Energie'!E8*'P3 Energie'!E7*(C637-c_Vv)^2+'P3 Energie'!E13+'P3 Energie'!E15+'P3 Energie'!E6*$C$7</f>
        <v>18441.6543399848</v>
      </c>
      <c r="E637" s="50" t="n">
        <f aca="false">D637*C637</f>
        <v>160852.207298756</v>
      </c>
      <c r="F637" s="46" t="n">
        <v>629</v>
      </c>
      <c r="G637" s="47" t="n">
        <f aca="false">(F637-1)*$H$6</f>
        <v>1.1337490146184</v>
      </c>
      <c r="H637" s="48" t="n">
        <f aca="false">$H$7*G637</f>
        <v>8.72222222222222</v>
      </c>
      <c r="I637" s="49" t="n">
        <f aca="false">0.5*c_rho*'P3 Energie'!F8*'P3 Energie'!F7*(H637-c_Vv)^2+'P3 Energie'!F13+'P3 Energie'!F15+'P3 Energie'!F6*$H$7</f>
        <v>19265.5372331444</v>
      </c>
      <c r="J637" s="50" t="n">
        <f aca="false">I637*H637</f>
        <v>168038.296977982</v>
      </c>
    </row>
    <row r="638" customFormat="false" ht="15" hidden="false" customHeight="false" outlineLevel="0" collapsed="false">
      <c r="A638" s="46" t="n">
        <v>630</v>
      </c>
      <c r="B638" s="47" t="n">
        <f aca="false">(A638-1)*$C$6</f>
        <v>1.13636588811927</v>
      </c>
      <c r="C638" s="48" t="n">
        <f aca="false">$C$7*B638</f>
        <v>8.73611111111111</v>
      </c>
      <c r="D638" s="49" t="n">
        <f aca="false">0.5*c_rho*'P3 Energie'!E8*'P3 Energie'!E7*(C638-c_Vv)^2+'P3 Energie'!E13+'P3 Energie'!E15+'P3 Energie'!E6*$C$7</f>
        <v>18441.751194631</v>
      </c>
      <c r="E638" s="50" t="n">
        <f aca="false">D638*C638</f>
        <v>161109.187519763</v>
      </c>
      <c r="F638" s="46" t="n">
        <v>630</v>
      </c>
      <c r="G638" s="47" t="n">
        <f aca="false">(F638-1)*$H$6</f>
        <v>1.13555434744422</v>
      </c>
      <c r="H638" s="48" t="n">
        <f aca="false">$H$7*G638</f>
        <v>8.73611111111111</v>
      </c>
      <c r="I638" s="49" t="n">
        <f aca="false">0.5*c_rho*'P3 Energie'!F8*'P3 Energie'!F7*(H638-c_Vv)^2+'P3 Energie'!F13+'P3 Energie'!F15+'P3 Energie'!F6*$H$7</f>
        <v>19265.6213826021</v>
      </c>
      <c r="J638" s="50" t="n">
        <f aca="false">I638*H638</f>
        <v>168306.60902301</v>
      </c>
    </row>
    <row r="639" customFormat="false" ht="15" hidden="false" customHeight="false" outlineLevel="0" collapsed="false">
      <c r="A639" s="46" t="n">
        <v>631</v>
      </c>
      <c r="B639" s="47" t="n">
        <f aca="false">(A639-1)*$C$6</f>
        <v>1.13817251115285</v>
      </c>
      <c r="C639" s="48" t="n">
        <f aca="false">$C$7*B639</f>
        <v>8.75</v>
      </c>
      <c r="D639" s="49" t="n">
        <f aca="false">0.5*c_rho*'P3 Energie'!E8*'P3 Energie'!E7*(C639-c_Vv)^2+'P3 Energie'!E13+'P3 Energie'!E15+'P3 Energie'!E6*$C$7</f>
        <v>18441.8482033817</v>
      </c>
      <c r="E639" s="50" t="n">
        <f aca="false">D639*C639</f>
        <v>161366.17177959</v>
      </c>
      <c r="F639" s="46" t="n">
        <v>631</v>
      </c>
      <c r="G639" s="47" t="n">
        <f aca="false">(F639-1)*$H$6</f>
        <v>1.13735968027005</v>
      </c>
      <c r="H639" s="48" t="n">
        <f aca="false">$H$7*G639</f>
        <v>8.75</v>
      </c>
      <c r="I639" s="49" t="n">
        <f aca="false">0.5*c_rho*'P3 Energie'!F8*'P3 Energie'!F7*(H639-c_Vv)^2+'P3 Energie'!F13+'P3 Energie'!F15+'P3 Energie'!F6*$H$7</f>
        <v>19265.7056659491</v>
      </c>
      <c r="J639" s="50" t="n">
        <f aca="false">I639*H639</f>
        <v>168574.924577054</v>
      </c>
    </row>
    <row r="640" customFormat="false" ht="15" hidden="false" customHeight="false" outlineLevel="0" collapsed="false">
      <c r="A640" s="46" t="n">
        <v>632</v>
      </c>
      <c r="B640" s="47" t="n">
        <f aca="false">(A640-1)*$C$6</f>
        <v>1.13997913418643</v>
      </c>
      <c r="C640" s="48" t="n">
        <f aca="false">$C$7*B640</f>
        <v>8.76388888888889</v>
      </c>
      <c r="D640" s="49" t="n">
        <f aca="false">0.5*c_rho*'P3 Energie'!E8*'P3 Energie'!E7*(C640-c_Vv)^2+'P3 Energie'!E13+'P3 Energie'!E15+'P3 Energie'!E6*$C$7</f>
        <v>18441.9453662369</v>
      </c>
      <c r="E640" s="50" t="n">
        <f aca="false">D640*C640</f>
        <v>161623.160084659</v>
      </c>
      <c r="F640" s="46" t="n">
        <v>632</v>
      </c>
      <c r="G640" s="47" t="n">
        <f aca="false">(F640-1)*$H$6</f>
        <v>1.13916501309588</v>
      </c>
      <c r="H640" s="48" t="n">
        <f aca="false">$H$7*G640</f>
        <v>8.76388888888889</v>
      </c>
      <c r="I640" s="49" t="n">
        <f aca="false">0.5*c_rho*'P3 Energie'!F8*'P3 Energie'!F7*(H640-c_Vv)^2+'P3 Energie'!F13+'P3 Energie'!F15+'P3 Energie'!F6*$H$7</f>
        <v>19265.7900831854</v>
      </c>
      <c r="J640" s="50" t="n">
        <f aca="false">I640*H640</f>
        <v>168843.243645694</v>
      </c>
    </row>
    <row r="641" customFormat="false" ht="15" hidden="false" customHeight="false" outlineLevel="0" collapsed="false">
      <c r="A641" s="46" t="n">
        <v>633</v>
      </c>
      <c r="B641" s="47" t="n">
        <f aca="false">(A641-1)*$C$6</f>
        <v>1.14178575722</v>
      </c>
      <c r="C641" s="48" t="n">
        <f aca="false">$C$7*B641</f>
        <v>8.77777777777778</v>
      </c>
      <c r="D641" s="49" t="n">
        <f aca="false">0.5*c_rho*'P3 Energie'!E8*'P3 Energie'!E7*(C641-c_Vv)^2+'P3 Energie'!E13+'P3 Energie'!E15+'P3 Energie'!E6*$C$7</f>
        <v>18442.0426831965</v>
      </c>
      <c r="E641" s="50" t="n">
        <f aca="false">D641*C641</f>
        <v>161880.152441391</v>
      </c>
      <c r="F641" s="46" t="n">
        <v>633</v>
      </c>
      <c r="G641" s="47" t="n">
        <f aca="false">(F641-1)*$H$6</f>
        <v>1.1409703459217</v>
      </c>
      <c r="H641" s="48" t="n">
        <f aca="false">$H$7*G641</f>
        <v>8.77777777777778</v>
      </c>
      <c r="I641" s="49" t="n">
        <f aca="false">0.5*c_rho*'P3 Energie'!F8*'P3 Energie'!F7*(H641-c_Vv)^2+'P3 Energie'!F13+'P3 Energie'!F15+'P3 Energie'!F6*$H$7</f>
        <v>19265.8746343111</v>
      </c>
      <c r="J641" s="50" t="n">
        <f aca="false">I641*H641</f>
        <v>169111.566234509</v>
      </c>
    </row>
    <row r="642" customFormat="false" ht="15" hidden="false" customHeight="false" outlineLevel="0" collapsed="false">
      <c r="A642" s="46" t="n">
        <v>634</v>
      </c>
      <c r="B642" s="47" t="n">
        <f aca="false">(A642-1)*$C$6</f>
        <v>1.14359238025358</v>
      </c>
      <c r="C642" s="48" t="n">
        <f aca="false">$C$7*B642</f>
        <v>8.79166666666667</v>
      </c>
      <c r="D642" s="49" t="n">
        <f aca="false">0.5*c_rho*'P3 Energie'!E8*'P3 Energie'!E7*(C642-c_Vv)^2+'P3 Energie'!E13+'P3 Energie'!E15+'P3 Energie'!E6*$C$7</f>
        <v>18442.1401542605</v>
      </c>
      <c r="E642" s="50" t="n">
        <f aca="false">D642*C642</f>
        <v>162137.148856207</v>
      </c>
      <c r="F642" s="46" t="n">
        <v>634</v>
      </c>
      <c r="G642" s="47" t="n">
        <f aca="false">(F642-1)*$H$6</f>
        <v>1.14277567874753</v>
      </c>
      <c r="H642" s="48" t="n">
        <f aca="false">$H$7*G642</f>
        <v>8.79166666666667</v>
      </c>
      <c r="I642" s="49" t="n">
        <f aca="false">0.5*c_rho*'P3 Energie'!F8*'P3 Energie'!F7*(H642-c_Vv)^2+'P3 Energie'!F13+'P3 Energie'!F15+'P3 Energie'!F6*$H$7</f>
        <v>19265.9593193262</v>
      </c>
      <c r="J642" s="50" t="n">
        <f aca="false">I642*H642</f>
        <v>169379.892349076</v>
      </c>
    </row>
    <row r="643" customFormat="false" ht="15" hidden="false" customHeight="false" outlineLevel="0" collapsed="false">
      <c r="A643" s="46" t="n">
        <v>635</v>
      </c>
      <c r="B643" s="47" t="n">
        <f aca="false">(A643-1)*$C$6</f>
        <v>1.14539900328715</v>
      </c>
      <c r="C643" s="48" t="n">
        <f aca="false">$C$7*B643</f>
        <v>8.80555555555556</v>
      </c>
      <c r="D643" s="49" t="n">
        <f aca="false">0.5*c_rho*'P3 Energie'!E8*'P3 Energie'!E7*(C643-c_Vv)^2+'P3 Energie'!E13+'P3 Energie'!E15+'P3 Energie'!E6*$C$7</f>
        <v>18442.237779429</v>
      </c>
      <c r="E643" s="50" t="n">
        <f aca="false">D643*C643</f>
        <v>162394.149335527</v>
      </c>
      <c r="F643" s="46" t="n">
        <v>635</v>
      </c>
      <c r="G643" s="47" t="n">
        <f aca="false">(F643-1)*$H$6</f>
        <v>1.14458101157335</v>
      </c>
      <c r="H643" s="48" t="n">
        <f aca="false">$H$7*G643</f>
        <v>8.80555555555556</v>
      </c>
      <c r="I643" s="49" t="n">
        <f aca="false">0.5*c_rho*'P3 Energie'!F8*'P3 Energie'!F7*(H643-c_Vv)^2+'P3 Energie'!F13+'P3 Energie'!F15+'P3 Energie'!F6*$H$7</f>
        <v>19266.0441382306</v>
      </c>
      <c r="J643" s="50" t="n">
        <f aca="false">I643*H643</f>
        <v>169648.221994975</v>
      </c>
    </row>
    <row r="644" customFormat="false" ht="15" hidden="false" customHeight="false" outlineLevel="0" collapsed="false">
      <c r="A644" s="46" t="n">
        <v>636</v>
      </c>
      <c r="B644" s="47" t="n">
        <f aca="false">(A644-1)*$C$6</f>
        <v>1.14720562632073</v>
      </c>
      <c r="C644" s="48" t="n">
        <f aca="false">$C$7*B644</f>
        <v>8.81944444444445</v>
      </c>
      <c r="D644" s="49" t="n">
        <f aca="false">0.5*c_rho*'P3 Energie'!E8*'P3 Energie'!E7*(C644-c_Vv)^2+'P3 Energie'!E13+'P3 Energie'!E15+'P3 Energie'!E6*$C$7</f>
        <v>18442.3355587019</v>
      </c>
      <c r="E644" s="50" t="n">
        <f aca="false">D644*C644</f>
        <v>162651.153885774</v>
      </c>
      <c r="F644" s="46" t="n">
        <v>636</v>
      </c>
      <c r="G644" s="47" t="n">
        <f aca="false">(F644-1)*$H$6</f>
        <v>1.14638634439918</v>
      </c>
      <c r="H644" s="48" t="n">
        <f aca="false">$H$7*G644</f>
        <v>8.81944444444445</v>
      </c>
      <c r="I644" s="49" t="n">
        <f aca="false">0.5*c_rho*'P3 Energie'!F8*'P3 Energie'!F7*(H644-c_Vv)^2+'P3 Energie'!F13+'P3 Energie'!F15+'P3 Energie'!F6*$H$7</f>
        <v>19266.1290910243</v>
      </c>
      <c r="J644" s="50" t="n">
        <f aca="false">I644*H644</f>
        <v>169916.555177784</v>
      </c>
    </row>
    <row r="645" customFormat="false" ht="15" hidden="false" customHeight="false" outlineLevel="0" collapsed="false">
      <c r="A645" s="46" t="n">
        <v>637</v>
      </c>
      <c r="B645" s="47" t="n">
        <f aca="false">(A645-1)*$C$6</f>
        <v>1.14901224935431</v>
      </c>
      <c r="C645" s="48" t="n">
        <f aca="false">$C$7*B645</f>
        <v>8.83333333333333</v>
      </c>
      <c r="D645" s="49" t="n">
        <f aca="false">0.5*c_rho*'P3 Energie'!E8*'P3 Energie'!E7*(C645-c_Vv)^2+'P3 Energie'!E13+'P3 Energie'!E15+'P3 Energie'!E6*$C$7</f>
        <v>18442.4334920793</v>
      </c>
      <c r="E645" s="50" t="n">
        <f aca="false">D645*C645</f>
        <v>162908.162513367</v>
      </c>
      <c r="F645" s="46" t="n">
        <v>637</v>
      </c>
      <c r="G645" s="47" t="n">
        <f aca="false">(F645-1)*$H$6</f>
        <v>1.148191677225</v>
      </c>
      <c r="H645" s="48" t="n">
        <f aca="false">$H$7*G645</f>
        <v>8.83333333333333</v>
      </c>
      <c r="I645" s="49" t="n">
        <f aca="false">0.5*c_rho*'P3 Energie'!F8*'P3 Energie'!F7*(H645-c_Vv)^2+'P3 Energie'!F13+'P3 Energie'!F15+'P3 Energie'!F6*$H$7</f>
        <v>19266.2141777074</v>
      </c>
      <c r="J645" s="50" t="n">
        <f aca="false">I645*H645</f>
        <v>170184.891903082</v>
      </c>
    </row>
    <row r="646" customFormat="false" ht="15" hidden="false" customHeight="false" outlineLevel="0" collapsed="false">
      <c r="A646" s="46" t="n">
        <v>638</v>
      </c>
      <c r="B646" s="47" t="n">
        <f aca="false">(A646-1)*$C$6</f>
        <v>1.15081887238788</v>
      </c>
      <c r="C646" s="48" t="n">
        <f aca="false">$C$7*B646</f>
        <v>8.84722222222222</v>
      </c>
      <c r="D646" s="49" t="n">
        <f aca="false">0.5*c_rho*'P3 Energie'!E8*'P3 Energie'!E7*(C646-c_Vv)^2+'P3 Energie'!E13+'P3 Energie'!E15+'P3 Energie'!E6*$C$7</f>
        <v>18442.5315795611</v>
      </c>
      <c r="E646" s="50" t="n">
        <f aca="false">D646*C646</f>
        <v>163165.175224728</v>
      </c>
      <c r="F646" s="46" t="n">
        <v>638</v>
      </c>
      <c r="G646" s="47" t="n">
        <f aca="false">(F646-1)*$H$6</f>
        <v>1.14999701005083</v>
      </c>
      <c r="H646" s="48" t="n">
        <f aca="false">$H$7*G646</f>
        <v>8.84722222222222</v>
      </c>
      <c r="I646" s="49" t="n">
        <f aca="false">0.5*c_rho*'P3 Energie'!F8*'P3 Energie'!F7*(H646-c_Vv)^2+'P3 Energie'!F13+'P3 Energie'!F15+'P3 Energie'!F6*$H$7</f>
        <v>19266.2993982799</v>
      </c>
      <c r="J646" s="50" t="n">
        <f aca="false">I646*H646</f>
        <v>170453.232176448</v>
      </c>
    </row>
    <row r="647" customFormat="false" ht="15" hidden="false" customHeight="false" outlineLevel="0" collapsed="false">
      <c r="A647" s="46" t="n">
        <v>639</v>
      </c>
      <c r="B647" s="47" t="n">
        <f aca="false">(A647-1)*$C$6</f>
        <v>1.15262549542146</v>
      </c>
      <c r="C647" s="48" t="n">
        <f aca="false">$C$7*B647</f>
        <v>8.86111111111111</v>
      </c>
      <c r="D647" s="49" t="n">
        <f aca="false">0.5*c_rho*'P3 Energie'!E8*'P3 Energie'!E7*(C647-c_Vv)^2+'P3 Energie'!E13+'P3 Energie'!E15+'P3 Energie'!E6*$C$7</f>
        <v>18442.6298211474</v>
      </c>
      <c r="E647" s="50" t="n">
        <f aca="false">D647*C647</f>
        <v>163422.192026279</v>
      </c>
      <c r="F647" s="46" t="n">
        <v>639</v>
      </c>
      <c r="G647" s="47" t="n">
        <f aca="false">(F647-1)*$H$6</f>
        <v>1.15180234287665</v>
      </c>
      <c r="H647" s="48" t="n">
        <f aca="false">$H$7*G647</f>
        <v>8.86111111111111</v>
      </c>
      <c r="I647" s="49" t="n">
        <f aca="false">0.5*c_rho*'P3 Energie'!F8*'P3 Energie'!F7*(H647-c_Vv)^2+'P3 Energie'!F13+'P3 Energie'!F15+'P3 Energie'!F6*$H$7</f>
        <v>19266.3847527417</v>
      </c>
      <c r="J647" s="50" t="n">
        <f aca="false">I647*H647</f>
        <v>170721.576003461</v>
      </c>
    </row>
    <row r="648" customFormat="false" ht="15" hidden="false" customHeight="false" outlineLevel="0" collapsed="false">
      <c r="A648" s="46" t="n">
        <v>640</v>
      </c>
      <c r="B648" s="47" t="n">
        <f aca="false">(A648-1)*$C$6</f>
        <v>1.15443211845503</v>
      </c>
      <c r="C648" s="48" t="n">
        <f aca="false">$C$7*B648</f>
        <v>8.875</v>
      </c>
      <c r="D648" s="49" t="n">
        <f aca="false">0.5*c_rho*'P3 Energie'!E8*'P3 Energie'!E7*(C648-c_Vv)^2+'P3 Energie'!E13+'P3 Energie'!E15+'P3 Energie'!E6*$C$7</f>
        <v>18442.7282168382</v>
      </c>
      <c r="E648" s="50" t="n">
        <f aca="false">D648*C648</f>
        <v>163679.212924439</v>
      </c>
      <c r="F648" s="46" t="n">
        <v>640</v>
      </c>
      <c r="G648" s="47" t="n">
        <f aca="false">(F648-1)*$H$6</f>
        <v>1.15360767570248</v>
      </c>
      <c r="H648" s="48" t="n">
        <f aca="false">$H$7*G648</f>
        <v>8.875</v>
      </c>
      <c r="I648" s="49" t="n">
        <f aca="false">0.5*c_rho*'P3 Energie'!F8*'P3 Energie'!F7*(H648-c_Vv)^2+'P3 Energie'!F13+'P3 Energie'!F15+'P3 Energie'!F6*$H$7</f>
        <v>19266.4702410928</v>
      </c>
      <c r="J648" s="50" t="n">
        <f aca="false">I648*H648</f>
        <v>170989.923389699</v>
      </c>
    </row>
    <row r="649" customFormat="false" ht="15" hidden="false" customHeight="false" outlineLevel="0" collapsed="false">
      <c r="A649" s="46" t="n">
        <v>641</v>
      </c>
      <c r="B649" s="47" t="n">
        <f aca="false">(A649-1)*$C$6</f>
        <v>1.15623874148861</v>
      </c>
      <c r="C649" s="48" t="n">
        <f aca="false">$C$7*B649</f>
        <v>8.88888888888889</v>
      </c>
      <c r="D649" s="49" t="n">
        <f aca="false">0.5*c_rho*'P3 Energie'!E8*'P3 Energie'!E7*(C649-c_Vv)^2+'P3 Energie'!E13+'P3 Energie'!E15+'P3 Energie'!E6*$C$7</f>
        <v>18442.8267666333</v>
      </c>
      <c r="E649" s="50" t="n">
        <f aca="false">D649*C649</f>
        <v>163936.23792563</v>
      </c>
      <c r="F649" s="46" t="n">
        <v>641</v>
      </c>
      <c r="G649" s="47" t="n">
        <f aca="false">(F649-1)*$H$6</f>
        <v>1.1554130085283</v>
      </c>
      <c r="H649" s="48" t="n">
        <f aca="false">$H$7*G649</f>
        <v>8.88888888888889</v>
      </c>
      <c r="I649" s="49" t="n">
        <f aca="false">0.5*c_rho*'P3 Energie'!F8*'P3 Energie'!F7*(H649-c_Vv)^2+'P3 Energie'!F13+'P3 Energie'!F15+'P3 Energie'!F6*$H$7</f>
        <v>19266.5558633333</v>
      </c>
      <c r="J649" s="50" t="n">
        <f aca="false">I649*H649</f>
        <v>171258.274340741</v>
      </c>
    </row>
    <row r="650" customFormat="false" ht="15" hidden="false" customHeight="false" outlineLevel="0" collapsed="false">
      <c r="A650" s="46" t="n">
        <v>642</v>
      </c>
      <c r="B650" s="47" t="n">
        <f aca="false">(A650-1)*$C$6</f>
        <v>1.15804536452219</v>
      </c>
      <c r="C650" s="48" t="n">
        <f aca="false">$C$7*B650</f>
        <v>8.90277777777778</v>
      </c>
      <c r="D650" s="49" t="n">
        <f aca="false">0.5*c_rho*'P3 Energie'!E8*'P3 Energie'!E7*(C650-c_Vv)^2+'P3 Energie'!E13+'P3 Energie'!E15+'P3 Energie'!E6*$C$7</f>
        <v>18442.925470533</v>
      </c>
      <c r="E650" s="50" t="n">
        <f aca="false">D650*C650</f>
        <v>164193.267036273</v>
      </c>
      <c r="F650" s="46" t="n">
        <v>642</v>
      </c>
      <c r="G650" s="47" t="n">
        <f aca="false">(F650-1)*$H$6</f>
        <v>1.15721834135413</v>
      </c>
      <c r="H650" s="48" t="n">
        <f aca="false">$H$7*G650</f>
        <v>8.90277777777778</v>
      </c>
      <c r="I650" s="49" t="n">
        <f aca="false">0.5*c_rho*'P3 Energie'!F8*'P3 Energie'!F7*(H650-c_Vv)^2+'P3 Energie'!F13+'P3 Energie'!F15+'P3 Energie'!F6*$H$7</f>
        <v>19266.6416194632</v>
      </c>
      <c r="J650" s="50" t="n">
        <f aca="false">I650*H650</f>
        <v>171526.628862165</v>
      </c>
    </row>
    <row r="651" customFormat="false" ht="15" hidden="false" customHeight="false" outlineLevel="0" collapsed="false">
      <c r="A651" s="46" t="n">
        <v>643</v>
      </c>
      <c r="B651" s="47" t="n">
        <f aca="false">(A651-1)*$C$6</f>
        <v>1.15985198755576</v>
      </c>
      <c r="C651" s="48" t="n">
        <f aca="false">$C$7*B651</f>
        <v>8.91666666666667</v>
      </c>
      <c r="D651" s="49" t="n">
        <f aca="false">0.5*c_rho*'P3 Energie'!E8*'P3 Energie'!E7*(C651-c_Vv)^2+'P3 Energie'!E13+'P3 Energie'!E15+'P3 Energie'!E6*$C$7</f>
        <v>18443.0243285371</v>
      </c>
      <c r="E651" s="50" t="n">
        <f aca="false">D651*C651</f>
        <v>164450.300262789</v>
      </c>
      <c r="F651" s="46" t="n">
        <v>643</v>
      </c>
      <c r="G651" s="47" t="n">
        <f aca="false">(F651-1)*$H$6</f>
        <v>1.15902367417996</v>
      </c>
      <c r="H651" s="48" t="n">
        <f aca="false">$H$7*G651</f>
        <v>8.91666666666667</v>
      </c>
      <c r="I651" s="49" t="n">
        <f aca="false">0.5*c_rho*'P3 Energie'!F8*'P3 Energie'!F7*(H651-c_Vv)^2+'P3 Energie'!F13+'P3 Energie'!F15+'P3 Energie'!F6*$H$7</f>
        <v>19266.7275094824</v>
      </c>
      <c r="J651" s="50" t="n">
        <f aca="false">I651*H651</f>
        <v>171794.986959552</v>
      </c>
    </row>
    <row r="652" customFormat="false" ht="15" hidden="false" customHeight="false" outlineLevel="0" collapsed="false">
      <c r="A652" s="46" t="n">
        <v>644</v>
      </c>
      <c r="B652" s="47" t="n">
        <f aca="false">(A652-1)*$C$6</f>
        <v>1.16165861058934</v>
      </c>
      <c r="C652" s="48" t="n">
        <f aca="false">$C$7*B652</f>
        <v>8.93055555555556</v>
      </c>
      <c r="D652" s="49" t="n">
        <f aca="false">0.5*c_rho*'P3 Energie'!E8*'P3 Energie'!E7*(C652-c_Vv)^2+'P3 Energie'!E13+'P3 Energie'!E15+'P3 Energie'!E6*$C$7</f>
        <v>18443.1233406456</v>
      </c>
      <c r="E652" s="50" t="n">
        <f aca="false">D652*C652</f>
        <v>164707.337611599</v>
      </c>
      <c r="F652" s="46" t="n">
        <v>644</v>
      </c>
      <c r="G652" s="47" t="n">
        <f aca="false">(F652-1)*$H$6</f>
        <v>1.16082900700578</v>
      </c>
      <c r="H652" s="48" t="n">
        <f aca="false">$H$7*G652</f>
        <v>8.93055555555556</v>
      </c>
      <c r="I652" s="49" t="n">
        <f aca="false">0.5*c_rho*'P3 Energie'!F8*'P3 Energie'!F7*(H652-c_Vv)^2+'P3 Energie'!F13+'P3 Energie'!F15+'P3 Energie'!F6*$H$7</f>
        <v>19266.813533391</v>
      </c>
      <c r="J652" s="50" t="n">
        <f aca="false">I652*H652</f>
        <v>172063.348638478</v>
      </c>
    </row>
    <row r="653" customFormat="false" ht="15" hidden="false" customHeight="false" outlineLevel="0" collapsed="false">
      <c r="A653" s="46" t="n">
        <v>645</v>
      </c>
      <c r="B653" s="47" t="n">
        <f aca="false">(A653-1)*$C$6</f>
        <v>1.16346523362291</v>
      </c>
      <c r="C653" s="48" t="n">
        <f aca="false">$C$7*B653</f>
        <v>8.94444444444445</v>
      </c>
      <c r="D653" s="49" t="n">
        <f aca="false">0.5*c_rho*'P3 Energie'!E8*'P3 Energie'!E7*(C653-c_Vv)^2+'P3 Energie'!E13+'P3 Energie'!E15+'P3 Energie'!E6*$C$7</f>
        <v>18443.2225068586</v>
      </c>
      <c r="E653" s="50" t="n">
        <f aca="false">D653*C653</f>
        <v>164964.379089124</v>
      </c>
      <c r="F653" s="46" t="n">
        <v>645</v>
      </c>
      <c r="G653" s="47" t="n">
        <f aca="false">(F653-1)*$H$6</f>
        <v>1.16263433983161</v>
      </c>
      <c r="H653" s="48" t="n">
        <f aca="false">$H$7*G653</f>
        <v>8.94444444444445</v>
      </c>
      <c r="I653" s="49" t="n">
        <f aca="false">0.5*c_rho*'P3 Energie'!F8*'P3 Energie'!F7*(H653-c_Vv)^2+'P3 Energie'!F13+'P3 Energie'!F15+'P3 Energie'!F6*$H$7</f>
        <v>19266.8996911889</v>
      </c>
      <c r="J653" s="50" t="n">
        <f aca="false">I653*H653</f>
        <v>172331.713904523</v>
      </c>
    </row>
    <row r="654" customFormat="false" ht="15" hidden="false" customHeight="false" outlineLevel="0" collapsed="false">
      <c r="A654" s="46" t="n">
        <v>646</v>
      </c>
      <c r="B654" s="47" t="n">
        <f aca="false">(A654-1)*$C$6</f>
        <v>1.16527185665649</v>
      </c>
      <c r="C654" s="48" t="n">
        <f aca="false">$C$7*B654</f>
        <v>8.95833333333333</v>
      </c>
      <c r="D654" s="49" t="n">
        <f aca="false">0.5*c_rho*'P3 Energie'!E8*'P3 Energie'!E7*(C654-c_Vv)^2+'P3 Energie'!E13+'P3 Energie'!E15+'P3 Energie'!E6*$C$7</f>
        <v>18443.321827176</v>
      </c>
      <c r="E654" s="50" t="n">
        <f aca="false">D654*C654</f>
        <v>165221.424701785</v>
      </c>
      <c r="F654" s="46" t="n">
        <v>646</v>
      </c>
      <c r="G654" s="47" t="n">
        <f aca="false">(F654-1)*$H$6</f>
        <v>1.16443967265743</v>
      </c>
      <c r="H654" s="48" t="n">
        <f aca="false">$H$7*G654</f>
        <v>8.95833333333333</v>
      </c>
      <c r="I654" s="49" t="n">
        <f aca="false">0.5*c_rho*'P3 Energie'!F8*'P3 Energie'!F7*(H654-c_Vv)^2+'P3 Energie'!F13+'P3 Energie'!F15+'P3 Energie'!F6*$H$7</f>
        <v>19266.9859828762</v>
      </c>
      <c r="J654" s="50" t="n">
        <f aca="false">I654*H654</f>
        <v>172600.082763266</v>
      </c>
    </row>
    <row r="655" customFormat="false" ht="15" hidden="false" customHeight="false" outlineLevel="0" collapsed="false">
      <c r="A655" s="46" t="n">
        <v>647</v>
      </c>
      <c r="B655" s="47" t="n">
        <f aca="false">(A655-1)*$C$6</f>
        <v>1.16707847969007</v>
      </c>
      <c r="C655" s="48" t="n">
        <f aca="false">$C$7*B655</f>
        <v>8.97222222222222</v>
      </c>
      <c r="D655" s="49" t="n">
        <f aca="false">0.5*c_rho*'P3 Energie'!E8*'P3 Energie'!E7*(C655-c_Vv)^2+'P3 Energie'!E13+'P3 Energie'!E15+'P3 Energie'!E6*$C$7</f>
        <v>18443.4213015979</v>
      </c>
      <c r="E655" s="50" t="n">
        <f aca="false">D655*C655</f>
        <v>165478.474456003</v>
      </c>
      <c r="F655" s="46" t="n">
        <v>647</v>
      </c>
      <c r="G655" s="47" t="n">
        <f aca="false">(F655-1)*$H$6</f>
        <v>1.16624500548326</v>
      </c>
      <c r="H655" s="48" t="n">
        <f aca="false">$H$7*G655</f>
        <v>8.97222222222222</v>
      </c>
      <c r="I655" s="49" t="n">
        <f aca="false">0.5*c_rho*'P3 Energie'!F8*'P3 Energie'!F7*(H655-c_Vv)^2+'P3 Energie'!F13+'P3 Energie'!F15+'P3 Energie'!F6*$H$7</f>
        <v>19267.0724084528</v>
      </c>
      <c r="J655" s="50" t="n">
        <f aca="false">I655*H655</f>
        <v>172868.455220285</v>
      </c>
    </row>
    <row r="656" customFormat="false" ht="15" hidden="false" customHeight="false" outlineLevel="0" collapsed="false">
      <c r="A656" s="46" t="n">
        <v>648</v>
      </c>
      <c r="B656" s="47" t="n">
        <f aca="false">(A656-1)*$C$6</f>
        <v>1.16888510272364</v>
      </c>
      <c r="C656" s="48" t="n">
        <f aca="false">$C$7*B656</f>
        <v>8.98611111111111</v>
      </c>
      <c r="D656" s="49" t="n">
        <f aca="false">0.5*c_rho*'P3 Energie'!E8*'P3 Energie'!E7*(C656-c_Vv)^2+'P3 Energie'!E13+'P3 Energie'!E15+'P3 Energie'!E6*$C$7</f>
        <v>18443.5209301242</v>
      </c>
      <c r="E656" s="50" t="n">
        <f aca="false">D656*C656</f>
        <v>165735.528358199</v>
      </c>
      <c r="F656" s="46" t="n">
        <v>648</v>
      </c>
      <c r="G656" s="47" t="n">
        <f aca="false">(F656-1)*$H$6</f>
        <v>1.16805033830908</v>
      </c>
      <c r="H656" s="48" t="n">
        <f aca="false">$H$7*G656</f>
        <v>8.98611111111111</v>
      </c>
      <c r="I656" s="49" t="n">
        <f aca="false">0.5*c_rho*'P3 Energie'!F8*'P3 Energie'!F7*(H656-c_Vv)^2+'P3 Energie'!F13+'P3 Energie'!F15+'P3 Energie'!F6*$H$7</f>
        <v>19267.1589679188</v>
      </c>
      <c r="J656" s="50" t="n">
        <f aca="false">I656*H656</f>
        <v>173136.831281159</v>
      </c>
    </row>
    <row r="657" customFormat="false" ht="15" hidden="false" customHeight="false" outlineLevel="0" collapsed="false">
      <c r="A657" s="46" t="n">
        <v>649</v>
      </c>
      <c r="B657" s="47" t="n">
        <f aca="false">(A657-1)*$C$6</f>
        <v>1.17069172575722</v>
      </c>
      <c r="C657" s="48" t="n">
        <f aca="false">$C$7*B657</f>
        <v>9</v>
      </c>
      <c r="D657" s="49" t="n">
        <f aca="false">0.5*c_rho*'P3 Energie'!E8*'P3 Energie'!E7*(C657-c_Vv)^2+'P3 Energie'!E13+'P3 Energie'!E15+'P3 Energie'!E6*$C$7</f>
        <v>18443.620712755</v>
      </c>
      <c r="E657" s="50" t="n">
        <f aca="false">D657*C657</f>
        <v>165992.586414795</v>
      </c>
      <c r="F657" s="46" t="n">
        <v>649</v>
      </c>
      <c r="G657" s="47" t="n">
        <f aca="false">(F657-1)*$H$6</f>
        <v>1.16985567113491</v>
      </c>
      <c r="H657" s="48" t="n">
        <f aca="false">$H$7*G657</f>
        <v>9</v>
      </c>
      <c r="I657" s="49" t="n">
        <f aca="false">0.5*c_rho*'P3 Energie'!F8*'P3 Energie'!F7*(H657-c_Vv)^2+'P3 Energie'!F13+'P3 Energie'!F15+'P3 Energie'!F6*$H$7</f>
        <v>19267.2456612741</v>
      </c>
      <c r="J657" s="50" t="n">
        <f aca="false">I657*H657</f>
        <v>173405.210951467</v>
      </c>
    </row>
    <row r="658" customFormat="false" ht="15" hidden="false" customHeight="false" outlineLevel="0" collapsed="false">
      <c r="A658" s="46" t="n">
        <v>650</v>
      </c>
      <c r="B658" s="47" t="n">
        <f aca="false">(A658-1)*$C$6</f>
        <v>1.17249834879079</v>
      </c>
      <c r="C658" s="48" t="n">
        <f aca="false">$C$7*B658</f>
        <v>9.01388888888889</v>
      </c>
      <c r="D658" s="49" t="n">
        <f aca="false">0.5*c_rho*'P3 Energie'!E8*'P3 Energie'!E7*(C658-c_Vv)^2+'P3 Energie'!E13+'P3 Energie'!E15+'P3 Energie'!E6*$C$7</f>
        <v>18443.7206494902</v>
      </c>
      <c r="E658" s="50" t="n">
        <f aca="false">D658*C658</f>
        <v>166249.64863221</v>
      </c>
      <c r="F658" s="46" t="n">
        <v>650</v>
      </c>
      <c r="G658" s="47" t="n">
        <f aca="false">(F658-1)*$H$6</f>
        <v>1.17166100396073</v>
      </c>
      <c r="H658" s="48" t="n">
        <f aca="false">$H$7*G658</f>
        <v>9.01388888888889</v>
      </c>
      <c r="I658" s="49" t="n">
        <f aca="false">0.5*c_rho*'P3 Energie'!F8*'P3 Energie'!F7*(H658-c_Vv)^2+'P3 Energie'!F13+'P3 Energie'!F15+'P3 Energie'!F6*$H$7</f>
        <v>19267.3324885188</v>
      </c>
      <c r="J658" s="50" t="n">
        <f aca="false">I658*H658</f>
        <v>173673.594236787</v>
      </c>
    </row>
    <row r="659" customFormat="false" ht="15" hidden="false" customHeight="false" outlineLevel="0" collapsed="false">
      <c r="A659" s="46" t="n">
        <v>651</v>
      </c>
      <c r="B659" s="47" t="n">
        <f aca="false">(A659-1)*$C$6</f>
        <v>1.17430497182437</v>
      </c>
      <c r="C659" s="48" t="n">
        <f aca="false">$C$7*B659</f>
        <v>9.02777777777778</v>
      </c>
      <c r="D659" s="49" t="n">
        <f aca="false">0.5*c_rho*'P3 Energie'!E8*'P3 Energie'!E7*(C659-c_Vv)^2+'P3 Energie'!E13+'P3 Energie'!E15+'P3 Energie'!E6*$C$7</f>
        <v>18443.8207403299</v>
      </c>
      <c r="E659" s="50" t="n">
        <f aca="false">D659*C659</f>
        <v>166506.715016867</v>
      </c>
      <c r="F659" s="46" t="n">
        <v>651</v>
      </c>
      <c r="G659" s="47" t="n">
        <f aca="false">(F659-1)*$H$6</f>
        <v>1.17346633678656</v>
      </c>
      <c r="H659" s="48" t="n">
        <f aca="false">$H$7*G659</f>
        <v>9.02777777777778</v>
      </c>
      <c r="I659" s="49" t="n">
        <f aca="false">0.5*c_rho*'P3 Energie'!F8*'P3 Energie'!F7*(H659-c_Vv)^2+'P3 Energie'!F13+'P3 Energie'!F15+'P3 Energie'!F6*$H$7</f>
        <v>19267.4194496528</v>
      </c>
      <c r="J659" s="50" t="n">
        <f aca="false">I659*H659</f>
        <v>173941.981142699</v>
      </c>
    </row>
    <row r="660" customFormat="false" ht="15" hidden="false" customHeight="false" outlineLevel="0" collapsed="false">
      <c r="A660" s="46" t="n">
        <v>652</v>
      </c>
      <c r="B660" s="47" t="n">
        <f aca="false">(A660-1)*$C$6</f>
        <v>1.17611159485795</v>
      </c>
      <c r="C660" s="48" t="n">
        <f aca="false">$C$7*B660</f>
        <v>9.04166666666667</v>
      </c>
      <c r="D660" s="49" t="n">
        <f aca="false">0.5*c_rho*'P3 Energie'!E8*'P3 Energie'!E7*(C660-c_Vv)^2+'P3 Energie'!E13+'P3 Energie'!E15+'P3 Energie'!E6*$C$7</f>
        <v>18443.920985274</v>
      </c>
      <c r="E660" s="50" t="n">
        <f aca="false">D660*C660</f>
        <v>166763.785575186</v>
      </c>
      <c r="F660" s="46" t="n">
        <v>652</v>
      </c>
      <c r="G660" s="47" t="n">
        <f aca="false">(F660-1)*$H$6</f>
        <v>1.17527166961238</v>
      </c>
      <c r="H660" s="48" t="n">
        <f aca="false">$H$7*G660</f>
        <v>9.04166666666667</v>
      </c>
      <c r="I660" s="49" t="n">
        <f aca="false">0.5*c_rho*'P3 Energie'!F8*'P3 Energie'!F7*(H660-c_Vv)^2+'P3 Energie'!F13+'P3 Energie'!F15+'P3 Energie'!F6*$H$7</f>
        <v>19267.5065446762</v>
      </c>
      <c r="J660" s="50" t="n">
        <f aca="false">I660*H660</f>
        <v>174210.37167478</v>
      </c>
    </row>
    <row r="661" customFormat="false" ht="15" hidden="false" customHeight="false" outlineLevel="0" collapsed="false">
      <c r="A661" s="46" t="n">
        <v>653</v>
      </c>
      <c r="B661" s="47" t="n">
        <f aca="false">(A661-1)*$C$6</f>
        <v>1.17791821789152</v>
      </c>
      <c r="C661" s="48" t="n">
        <f aca="false">$C$7*B661</f>
        <v>9.05555555555556</v>
      </c>
      <c r="D661" s="49" t="n">
        <f aca="false">0.5*c_rho*'P3 Energie'!E8*'P3 Energie'!E7*(C661-c_Vv)^2+'P3 Energie'!E13+'P3 Energie'!E15+'P3 Energie'!E6*$C$7</f>
        <v>18444.0213843226</v>
      </c>
      <c r="E661" s="50" t="n">
        <f aca="false">D661*C661</f>
        <v>167020.860313588</v>
      </c>
      <c r="F661" s="46" t="n">
        <v>653</v>
      </c>
      <c r="G661" s="47" t="n">
        <f aca="false">(F661-1)*$H$6</f>
        <v>1.17707700243821</v>
      </c>
      <c r="H661" s="48" t="n">
        <f aca="false">$H$7*G661</f>
        <v>9.05555555555556</v>
      </c>
      <c r="I661" s="49" t="n">
        <f aca="false">0.5*c_rho*'P3 Energie'!F8*'P3 Energie'!F7*(H661-c_Vv)^2+'P3 Energie'!F13+'P3 Energie'!F15+'P3 Energie'!F6*$H$7</f>
        <v>19267.5937735889</v>
      </c>
      <c r="J661" s="50" t="n">
        <f aca="false">I661*H661</f>
        <v>174478.765838611</v>
      </c>
    </row>
    <row r="662" customFormat="false" ht="15" hidden="false" customHeight="false" outlineLevel="0" collapsed="false">
      <c r="A662" s="46" t="n">
        <v>654</v>
      </c>
      <c r="B662" s="47" t="n">
        <f aca="false">(A662-1)*$C$6</f>
        <v>1.1797248409251</v>
      </c>
      <c r="C662" s="48" t="n">
        <f aca="false">$C$7*B662</f>
        <v>9.06944444444445</v>
      </c>
      <c r="D662" s="49" t="n">
        <f aca="false">0.5*c_rho*'P3 Energie'!E8*'P3 Energie'!E7*(C662-c_Vv)^2+'P3 Energie'!E13+'P3 Energie'!E15+'P3 Energie'!E6*$C$7</f>
        <v>18444.1219374756</v>
      </c>
      <c r="E662" s="50" t="n">
        <f aca="false">D662*C662</f>
        <v>167277.939238494</v>
      </c>
      <c r="F662" s="46" t="n">
        <v>654</v>
      </c>
      <c r="G662" s="47" t="n">
        <f aca="false">(F662-1)*$H$6</f>
        <v>1.17888233526404</v>
      </c>
      <c r="H662" s="48" t="n">
        <f aca="false">$H$7*G662</f>
        <v>9.06944444444445</v>
      </c>
      <c r="I662" s="49" t="n">
        <f aca="false">0.5*c_rho*'P3 Energie'!F8*'P3 Energie'!F7*(H662-c_Vv)^2+'P3 Energie'!F13+'P3 Energie'!F15+'P3 Energie'!F6*$H$7</f>
        <v>19267.681136391</v>
      </c>
      <c r="J662" s="50" t="n">
        <f aca="false">I662*H662</f>
        <v>174747.163639768</v>
      </c>
    </row>
    <row r="663" customFormat="false" ht="15" hidden="false" customHeight="false" outlineLevel="0" collapsed="false">
      <c r="A663" s="46" t="n">
        <v>655</v>
      </c>
      <c r="B663" s="47" t="n">
        <f aca="false">(A663-1)*$C$6</f>
        <v>1.18153146395867</v>
      </c>
      <c r="C663" s="48" t="n">
        <f aca="false">$C$7*B663</f>
        <v>9.08333333333333</v>
      </c>
      <c r="D663" s="49" t="n">
        <f aca="false">0.5*c_rho*'P3 Energie'!E8*'P3 Energie'!E7*(C663-c_Vv)^2+'P3 Energie'!E13+'P3 Energie'!E15+'P3 Energie'!E6*$C$7</f>
        <v>18444.2226447331</v>
      </c>
      <c r="E663" s="50" t="n">
        <f aca="false">D663*C663</f>
        <v>167535.022356325</v>
      </c>
      <c r="F663" s="46" t="n">
        <v>655</v>
      </c>
      <c r="G663" s="47" t="n">
        <f aca="false">(F663-1)*$H$6</f>
        <v>1.18068766808986</v>
      </c>
      <c r="H663" s="48" t="n">
        <f aca="false">$H$7*G663</f>
        <v>9.08333333333333</v>
      </c>
      <c r="I663" s="49" t="n">
        <f aca="false">0.5*c_rho*'P3 Energie'!F8*'P3 Energie'!F7*(H663-c_Vv)^2+'P3 Energie'!F13+'P3 Energie'!F15+'P3 Energie'!F6*$H$7</f>
        <v>19267.7686330824</v>
      </c>
      <c r="J663" s="50" t="n">
        <f aca="false">I663*H663</f>
        <v>175015.565083832</v>
      </c>
    </row>
    <row r="664" customFormat="false" ht="15" hidden="false" customHeight="false" outlineLevel="0" collapsed="false">
      <c r="A664" s="46" t="n">
        <v>656</v>
      </c>
      <c r="B664" s="47" t="n">
        <f aca="false">(A664-1)*$C$6</f>
        <v>1.18333808699225</v>
      </c>
      <c r="C664" s="48" t="n">
        <f aca="false">$C$7*B664</f>
        <v>9.09722222222222</v>
      </c>
      <c r="D664" s="49" t="n">
        <f aca="false">0.5*c_rho*'P3 Energie'!E8*'P3 Energie'!E7*(C664-c_Vv)^2+'P3 Energie'!E13+'P3 Energie'!E15+'P3 Energie'!E6*$C$7</f>
        <v>18444.323506095</v>
      </c>
      <c r="E664" s="50" t="n">
        <f aca="false">D664*C664</f>
        <v>167792.109673503</v>
      </c>
      <c r="F664" s="46" t="n">
        <v>656</v>
      </c>
      <c r="G664" s="47" t="n">
        <f aca="false">(F664-1)*$H$6</f>
        <v>1.18249300091569</v>
      </c>
      <c r="H664" s="48" t="n">
        <f aca="false">$H$7*G664</f>
        <v>9.09722222222222</v>
      </c>
      <c r="I664" s="49" t="n">
        <f aca="false">0.5*c_rho*'P3 Energie'!F8*'P3 Energie'!F7*(H664-c_Vv)^2+'P3 Energie'!F13+'P3 Energie'!F15+'P3 Energie'!F6*$H$7</f>
        <v>19267.8562636632</v>
      </c>
      <c r="J664" s="50" t="n">
        <f aca="false">I664*H664</f>
        <v>175283.970176381</v>
      </c>
    </row>
    <row r="665" customFormat="false" ht="15" hidden="false" customHeight="false" outlineLevel="0" collapsed="false">
      <c r="A665" s="46" t="n">
        <v>657</v>
      </c>
      <c r="B665" s="47" t="n">
        <f aca="false">(A665-1)*$C$6</f>
        <v>1.18514471002583</v>
      </c>
      <c r="C665" s="48" t="n">
        <f aca="false">$C$7*B665</f>
        <v>9.11111111111111</v>
      </c>
      <c r="D665" s="49" t="n">
        <f aca="false">0.5*c_rho*'P3 Energie'!E8*'P3 Energie'!E7*(C665-c_Vv)^2+'P3 Energie'!E13+'P3 Energie'!E15+'P3 Energie'!E6*$C$7</f>
        <v>18444.4245215613</v>
      </c>
      <c r="E665" s="50" t="n">
        <f aca="false">D665*C665</f>
        <v>168049.201196448</v>
      </c>
      <c r="F665" s="46" t="n">
        <v>657</v>
      </c>
      <c r="G665" s="47" t="n">
        <f aca="false">(F665-1)*$H$6</f>
        <v>1.18429833374151</v>
      </c>
      <c r="H665" s="48" t="n">
        <f aca="false">$H$7*G665</f>
        <v>9.11111111111111</v>
      </c>
      <c r="I665" s="49" t="n">
        <f aca="false">0.5*c_rho*'P3 Energie'!F8*'P3 Energie'!F7*(H665-c_Vv)^2+'P3 Energie'!F13+'P3 Energie'!F15+'P3 Energie'!F6*$H$7</f>
        <v>19267.9440281333</v>
      </c>
      <c r="J665" s="50" t="n">
        <f aca="false">I665*H665</f>
        <v>175552.378922993</v>
      </c>
    </row>
    <row r="666" customFormat="false" ht="15" hidden="false" customHeight="false" outlineLevel="0" collapsed="false">
      <c r="A666" s="46" t="n">
        <v>658</v>
      </c>
      <c r="B666" s="47" t="n">
        <f aca="false">(A666-1)*$C$6</f>
        <v>1.1869513330594</v>
      </c>
      <c r="C666" s="48" t="n">
        <f aca="false">$C$7*B666</f>
        <v>9.125</v>
      </c>
      <c r="D666" s="49" t="n">
        <f aca="false">0.5*c_rho*'P3 Energie'!E8*'P3 Energie'!E7*(C666-c_Vv)^2+'P3 Energie'!E13+'P3 Energie'!E15+'P3 Energie'!E6*$C$7</f>
        <v>18444.5256911322</v>
      </c>
      <c r="E666" s="50" t="n">
        <f aca="false">D666*C666</f>
        <v>168306.296931581</v>
      </c>
      <c r="F666" s="46" t="n">
        <v>658</v>
      </c>
      <c r="G666" s="47" t="n">
        <f aca="false">(F666-1)*$H$6</f>
        <v>1.18610366656734</v>
      </c>
      <c r="H666" s="48" t="n">
        <f aca="false">$H$7*G666</f>
        <v>9.125</v>
      </c>
      <c r="I666" s="49" t="n">
        <f aca="false">0.5*c_rho*'P3 Energie'!F8*'P3 Energie'!F7*(H666-c_Vv)^2+'P3 Energie'!F13+'P3 Energie'!F15+'P3 Energie'!F6*$H$7</f>
        <v>19268.0319264928</v>
      </c>
      <c r="J666" s="50" t="n">
        <f aca="false">I666*H666</f>
        <v>175820.791329247</v>
      </c>
    </row>
    <row r="667" customFormat="false" ht="15" hidden="false" customHeight="false" outlineLevel="0" collapsed="false">
      <c r="A667" s="46" t="n">
        <v>659</v>
      </c>
      <c r="B667" s="47" t="n">
        <f aca="false">(A667-1)*$C$6</f>
        <v>1.18875795609298</v>
      </c>
      <c r="C667" s="48" t="n">
        <f aca="false">$C$7*B667</f>
        <v>9.13888888888889</v>
      </c>
      <c r="D667" s="49" t="n">
        <f aca="false">0.5*c_rho*'P3 Energie'!E8*'P3 Energie'!E7*(C667-c_Vv)^2+'P3 Energie'!E13+'P3 Energie'!E15+'P3 Energie'!E6*$C$7</f>
        <v>18444.6270148074</v>
      </c>
      <c r="E667" s="50" t="n">
        <f aca="false">D667*C667</f>
        <v>168563.396885323</v>
      </c>
      <c r="F667" s="46" t="n">
        <v>659</v>
      </c>
      <c r="G667" s="47" t="n">
        <f aca="false">(F667-1)*$H$6</f>
        <v>1.18790899939316</v>
      </c>
      <c r="H667" s="48" t="n">
        <f aca="false">$H$7*G667</f>
        <v>9.13888888888889</v>
      </c>
      <c r="I667" s="49" t="n">
        <f aca="false">0.5*c_rho*'P3 Energie'!F8*'P3 Energie'!F7*(H667-c_Vv)^2+'P3 Energie'!F13+'P3 Energie'!F15+'P3 Energie'!F6*$H$7</f>
        <v>19268.1199587417</v>
      </c>
      <c r="J667" s="50" t="n">
        <f aca="false">I667*H667</f>
        <v>176089.207400722</v>
      </c>
    </row>
    <row r="668" customFormat="false" ht="15" hidden="false" customHeight="false" outlineLevel="0" collapsed="false">
      <c r="A668" s="46" t="n">
        <v>660</v>
      </c>
      <c r="B668" s="47" t="n">
        <f aca="false">(A668-1)*$C$6</f>
        <v>1.19056457912655</v>
      </c>
      <c r="C668" s="48" t="n">
        <f aca="false">$C$7*B668</f>
        <v>9.15277777777778</v>
      </c>
      <c r="D668" s="49" t="n">
        <f aca="false">0.5*c_rho*'P3 Energie'!E8*'P3 Energie'!E7*(C668-c_Vv)^2+'P3 Energie'!E13+'P3 Energie'!E15+'P3 Energie'!E6*$C$7</f>
        <v>18444.7284925871</v>
      </c>
      <c r="E668" s="50" t="n">
        <f aca="false">D668*C668</f>
        <v>168820.501064096</v>
      </c>
      <c r="F668" s="46" t="n">
        <v>660</v>
      </c>
      <c r="G668" s="47" t="n">
        <f aca="false">(F668-1)*$H$6</f>
        <v>1.18971433221899</v>
      </c>
      <c r="H668" s="48" t="n">
        <f aca="false">$H$7*G668</f>
        <v>9.15277777777778</v>
      </c>
      <c r="I668" s="49" t="n">
        <f aca="false">0.5*c_rho*'P3 Energie'!F8*'P3 Energie'!F7*(H668-c_Vv)^2+'P3 Energie'!F13+'P3 Energie'!F15+'P3 Energie'!F6*$H$7</f>
        <v>19268.2081248799</v>
      </c>
      <c r="J668" s="50" t="n">
        <f aca="false">I668*H668</f>
        <v>176357.627142998</v>
      </c>
    </row>
    <row r="669" customFormat="false" ht="15" hidden="false" customHeight="false" outlineLevel="0" collapsed="false">
      <c r="A669" s="46" t="n">
        <v>661</v>
      </c>
      <c r="B669" s="47" t="n">
        <f aca="false">(A669-1)*$C$6</f>
        <v>1.19237120216013</v>
      </c>
      <c r="C669" s="48" t="n">
        <f aca="false">$C$7*B669</f>
        <v>9.16666666666667</v>
      </c>
      <c r="D669" s="49" t="n">
        <f aca="false">0.5*c_rho*'P3 Energie'!E8*'P3 Energie'!E7*(C669-c_Vv)^2+'P3 Energie'!E13+'P3 Energie'!E15+'P3 Energie'!E6*$C$7</f>
        <v>18444.8301244713</v>
      </c>
      <c r="E669" s="50" t="n">
        <f aca="false">D669*C669</f>
        <v>169077.60947432</v>
      </c>
      <c r="F669" s="46" t="n">
        <v>661</v>
      </c>
      <c r="G669" s="47" t="n">
        <f aca="false">(F669-1)*$H$6</f>
        <v>1.19151966504481</v>
      </c>
      <c r="H669" s="48" t="n">
        <f aca="false">$H$7*G669</f>
        <v>9.16666666666667</v>
      </c>
      <c r="I669" s="49" t="n">
        <f aca="false">0.5*c_rho*'P3 Energie'!F8*'P3 Energie'!F7*(H669-c_Vv)^2+'P3 Energie'!F13+'P3 Energie'!F15+'P3 Energie'!F6*$H$7</f>
        <v>19268.2964249074</v>
      </c>
      <c r="J669" s="50" t="n">
        <f aca="false">I669*H669</f>
        <v>176626.050561651</v>
      </c>
    </row>
    <row r="670" customFormat="false" ht="15" hidden="false" customHeight="false" outlineLevel="0" collapsed="false">
      <c r="A670" s="46" t="n">
        <v>662</v>
      </c>
      <c r="B670" s="47" t="n">
        <f aca="false">(A670-1)*$C$6</f>
        <v>1.19417782519371</v>
      </c>
      <c r="C670" s="48" t="n">
        <f aca="false">$C$7*B670</f>
        <v>9.18055555555556</v>
      </c>
      <c r="D670" s="49" t="n">
        <f aca="false">0.5*c_rho*'P3 Energie'!E8*'P3 Energie'!E7*(C670-c_Vv)^2+'P3 Energie'!E13+'P3 Energie'!E15+'P3 Energie'!E6*$C$7</f>
        <v>18444.9319104599</v>
      </c>
      <c r="E670" s="50" t="n">
        <f aca="false">D670*C670</f>
        <v>169334.722122417</v>
      </c>
      <c r="F670" s="46" t="n">
        <v>662</v>
      </c>
      <c r="G670" s="47" t="n">
        <f aca="false">(F670-1)*$H$6</f>
        <v>1.19332499787064</v>
      </c>
      <c r="H670" s="48" t="n">
        <f aca="false">$H$7*G670</f>
        <v>9.18055555555556</v>
      </c>
      <c r="I670" s="49" t="n">
        <f aca="false">0.5*c_rho*'P3 Energie'!F8*'P3 Energie'!F7*(H670-c_Vv)^2+'P3 Energie'!F13+'P3 Energie'!F15+'P3 Energie'!F6*$H$7</f>
        <v>19268.3848588243</v>
      </c>
      <c r="J670" s="50" t="n">
        <f aca="false">I670*H670</f>
        <v>176894.477662262</v>
      </c>
    </row>
    <row r="671" customFormat="false" ht="15" hidden="false" customHeight="false" outlineLevel="0" collapsed="false">
      <c r="A671" s="46" t="n">
        <v>663</v>
      </c>
      <c r="B671" s="47" t="n">
        <f aca="false">(A671-1)*$C$6</f>
        <v>1.19598444822728</v>
      </c>
      <c r="C671" s="48" t="n">
        <f aca="false">$C$7*B671</f>
        <v>9.19444444444445</v>
      </c>
      <c r="D671" s="49" t="n">
        <f aca="false">0.5*c_rho*'P3 Energie'!E8*'P3 Energie'!E7*(C671-c_Vv)^2+'P3 Energie'!E13+'P3 Energie'!E15+'P3 Energie'!E6*$C$7</f>
        <v>18445.033850553</v>
      </c>
      <c r="E671" s="50" t="n">
        <f aca="false">D671*C671</f>
        <v>169591.839014807</v>
      </c>
      <c r="F671" s="46" t="n">
        <v>663</v>
      </c>
      <c r="G671" s="47" t="n">
        <f aca="false">(F671-1)*$H$6</f>
        <v>1.19513033069646</v>
      </c>
      <c r="H671" s="48" t="n">
        <f aca="false">$H$7*G671</f>
        <v>9.19444444444445</v>
      </c>
      <c r="I671" s="49" t="n">
        <f aca="false">0.5*c_rho*'P3 Energie'!F8*'P3 Energie'!F7*(H671-c_Vv)^2+'P3 Energie'!F13+'P3 Energie'!F15+'P3 Energie'!F6*$H$7</f>
        <v>19268.4734266306</v>
      </c>
      <c r="J671" s="50" t="n">
        <f aca="false">I671*H671</f>
        <v>177162.908450409</v>
      </c>
    </row>
    <row r="672" customFormat="false" ht="15" hidden="false" customHeight="false" outlineLevel="0" collapsed="false">
      <c r="A672" s="46" t="n">
        <v>664</v>
      </c>
      <c r="B672" s="47" t="n">
        <f aca="false">(A672-1)*$C$6</f>
        <v>1.19779107126086</v>
      </c>
      <c r="C672" s="48" t="n">
        <f aca="false">$C$7*B672</f>
        <v>9.20833333333333</v>
      </c>
      <c r="D672" s="49" t="n">
        <f aca="false">0.5*c_rho*'P3 Energie'!E8*'P3 Energie'!E7*(C672-c_Vv)^2+'P3 Energie'!E13+'P3 Energie'!E15+'P3 Energie'!E6*$C$7</f>
        <v>18445.1359447505</v>
      </c>
      <c r="E672" s="50" t="n">
        <f aca="false">D672*C672</f>
        <v>169848.960157911</v>
      </c>
      <c r="F672" s="46" t="n">
        <v>664</v>
      </c>
      <c r="G672" s="47" t="n">
        <f aca="false">(F672-1)*$H$6</f>
        <v>1.19693566352229</v>
      </c>
      <c r="H672" s="48" t="n">
        <f aca="false">$H$7*G672</f>
        <v>9.20833333333333</v>
      </c>
      <c r="I672" s="49" t="n">
        <f aca="false">0.5*c_rho*'P3 Energie'!F8*'P3 Energie'!F7*(H672-c_Vv)^2+'P3 Energie'!F13+'P3 Energie'!F15+'P3 Energie'!F6*$H$7</f>
        <v>19268.5621283262</v>
      </c>
      <c r="J672" s="50" t="n">
        <f aca="false">I672*H672</f>
        <v>177431.34293167</v>
      </c>
    </row>
    <row r="673" customFormat="false" ht="15" hidden="false" customHeight="false" outlineLevel="0" collapsed="false">
      <c r="A673" s="46" t="n">
        <v>665</v>
      </c>
      <c r="B673" s="47" t="n">
        <f aca="false">(A673-1)*$C$6</f>
        <v>1.19959769429443</v>
      </c>
      <c r="C673" s="48" t="n">
        <f aca="false">$C$7*B673</f>
        <v>9.22222222222222</v>
      </c>
      <c r="D673" s="49" t="n">
        <f aca="false">0.5*c_rho*'P3 Energie'!E8*'P3 Energie'!E7*(C673-c_Vv)^2+'P3 Energie'!E13+'P3 Energie'!E15+'P3 Energie'!E6*$C$7</f>
        <v>18445.2381930525</v>
      </c>
      <c r="E673" s="50" t="n">
        <f aca="false">D673*C673</f>
        <v>170106.08555815</v>
      </c>
      <c r="F673" s="46" t="n">
        <v>665</v>
      </c>
      <c r="G673" s="47" t="n">
        <f aca="false">(F673-1)*$H$6</f>
        <v>1.19874099634812</v>
      </c>
      <c r="H673" s="48" t="n">
        <f aca="false">$H$7*G673</f>
        <v>9.22222222222222</v>
      </c>
      <c r="I673" s="49" t="n">
        <f aca="false">0.5*c_rho*'P3 Energie'!F8*'P3 Energie'!F7*(H673-c_Vv)^2+'P3 Energie'!F13+'P3 Energie'!F15+'P3 Energie'!F6*$H$7</f>
        <v>19268.6509639111</v>
      </c>
      <c r="J673" s="50" t="n">
        <f aca="false">I673*H673</f>
        <v>177699.781111625</v>
      </c>
    </row>
    <row r="674" customFormat="false" ht="15" hidden="false" customHeight="false" outlineLevel="0" collapsed="false">
      <c r="A674" s="46" t="n">
        <v>666</v>
      </c>
      <c r="B674" s="47" t="n">
        <f aca="false">(A674-1)*$C$6</f>
        <v>1.20140431732801</v>
      </c>
      <c r="C674" s="48" t="n">
        <f aca="false">$C$7*B674</f>
        <v>9.23611111111111</v>
      </c>
      <c r="D674" s="49" t="n">
        <f aca="false">0.5*c_rho*'P3 Energie'!E8*'P3 Energie'!E7*(C674-c_Vv)^2+'P3 Energie'!E13+'P3 Energie'!E15+'P3 Energie'!E6*$C$7</f>
        <v>18445.3405954589</v>
      </c>
      <c r="E674" s="50" t="n">
        <f aca="false">D674*C674</f>
        <v>170363.215221946</v>
      </c>
      <c r="F674" s="46" t="n">
        <v>666</v>
      </c>
      <c r="G674" s="47" t="n">
        <f aca="false">(F674-1)*$H$6</f>
        <v>1.20054632917394</v>
      </c>
      <c r="H674" s="48" t="n">
        <f aca="false">$H$7*G674</f>
        <v>9.23611111111111</v>
      </c>
      <c r="I674" s="49" t="n">
        <f aca="false">0.5*c_rho*'P3 Energie'!F8*'P3 Energie'!F7*(H674-c_Vv)^2+'P3 Energie'!F13+'P3 Energie'!F15+'P3 Energie'!F6*$H$7</f>
        <v>19268.7399333854</v>
      </c>
      <c r="J674" s="50" t="n">
        <f aca="false">I674*H674</f>
        <v>177968.222995851</v>
      </c>
    </row>
    <row r="675" customFormat="false" ht="15" hidden="false" customHeight="false" outlineLevel="0" collapsed="false">
      <c r="A675" s="46" t="n">
        <v>667</v>
      </c>
      <c r="B675" s="47" t="n">
        <f aca="false">(A675-1)*$C$6</f>
        <v>1.20321094036159</v>
      </c>
      <c r="C675" s="48" t="n">
        <f aca="false">$C$7*B675</f>
        <v>9.25</v>
      </c>
      <c r="D675" s="49" t="n">
        <f aca="false">0.5*c_rho*'P3 Energie'!E8*'P3 Energie'!E7*(C675-c_Vv)^2+'P3 Energie'!E13+'P3 Energie'!E15+'P3 Energie'!E6*$C$7</f>
        <v>18445.4431519697</v>
      </c>
      <c r="E675" s="50" t="n">
        <f aca="false">D675*C675</f>
        <v>170620.34915572</v>
      </c>
      <c r="F675" s="46" t="n">
        <v>667</v>
      </c>
      <c r="G675" s="47" t="n">
        <f aca="false">(F675-1)*$H$6</f>
        <v>1.20235166199977</v>
      </c>
      <c r="H675" s="48" t="n">
        <f aca="false">$H$7*G675</f>
        <v>9.25</v>
      </c>
      <c r="I675" s="49" t="n">
        <f aca="false">0.5*c_rho*'P3 Energie'!F8*'P3 Energie'!F7*(H675-c_Vv)^2+'P3 Energie'!F13+'P3 Energie'!F15+'P3 Energie'!F6*$H$7</f>
        <v>19268.8290367491</v>
      </c>
      <c r="J675" s="50" t="n">
        <f aca="false">I675*H675</f>
        <v>178236.668589929</v>
      </c>
    </row>
    <row r="676" customFormat="false" ht="15" hidden="false" customHeight="false" outlineLevel="0" collapsed="false">
      <c r="A676" s="46" t="n">
        <v>668</v>
      </c>
      <c r="B676" s="47" t="n">
        <f aca="false">(A676-1)*$C$6</f>
        <v>1.20501756339516</v>
      </c>
      <c r="C676" s="48" t="n">
        <f aca="false">$C$7*B676</f>
        <v>9.26388888888889</v>
      </c>
      <c r="D676" s="49" t="n">
        <f aca="false">0.5*c_rho*'P3 Energie'!E8*'P3 Energie'!E7*(C676-c_Vv)^2+'P3 Energie'!E13+'P3 Energie'!E15+'P3 Energie'!E6*$C$7</f>
        <v>18445.545862585</v>
      </c>
      <c r="E676" s="50" t="n">
        <f aca="false">D676*C676</f>
        <v>170877.487365892</v>
      </c>
      <c r="F676" s="46" t="n">
        <v>668</v>
      </c>
      <c r="G676" s="47" t="n">
        <f aca="false">(F676-1)*$H$6</f>
        <v>1.20415699482559</v>
      </c>
      <c r="H676" s="48" t="n">
        <f aca="false">$H$7*G676</f>
        <v>9.26388888888889</v>
      </c>
      <c r="I676" s="49" t="n">
        <f aca="false">0.5*c_rho*'P3 Energie'!F8*'P3 Energie'!F7*(H676-c_Vv)^2+'P3 Energie'!F13+'P3 Energie'!F15+'P3 Energie'!F6*$H$7</f>
        <v>19268.9182740021</v>
      </c>
      <c r="J676" s="50" t="n">
        <f aca="false">I676*H676</f>
        <v>178505.117899436</v>
      </c>
    </row>
    <row r="677" customFormat="false" ht="15" hidden="false" customHeight="false" outlineLevel="0" collapsed="false">
      <c r="A677" s="46" t="n">
        <v>669</v>
      </c>
      <c r="B677" s="47" t="n">
        <f aca="false">(A677-1)*$C$6</f>
        <v>1.20682418642874</v>
      </c>
      <c r="C677" s="48" t="n">
        <f aca="false">$C$7*B677</f>
        <v>9.27777777777778</v>
      </c>
      <c r="D677" s="49" t="n">
        <f aca="false">0.5*c_rho*'P3 Energie'!E8*'P3 Energie'!E7*(C677-c_Vv)^2+'P3 Energie'!E13+'P3 Energie'!E15+'P3 Energie'!E6*$C$7</f>
        <v>18445.6487273048</v>
      </c>
      <c r="E677" s="50" t="n">
        <f aca="false">D677*C677</f>
        <v>171134.629858883</v>
      </c>
      <c r="F677" s="46" t="n">
        <v>669</v>
      </c>
      <c r="G677" s="47" t="n">
        <f aca="false">(F677-1)*$H$6</f>
        <v>1.20596232765142</v>
      </c>
      <c r="H677" s="48" t="n">
        <f aca="false">$H$7*G677</f>
        <v>9.27777777777778</v>
      </c>
      <c r="I677" s="49" t="n">
        <f aca="false">0.5*c_rho*'P3 Energie'!F8*'P3 Energie'!F7*(H677-c_Vv)^2+'P3 Energie'!F13+'P3 Energie'!F15+'P3 Energie'!F6*$H$7</f>
        <v>19269.0076451444</v>
      </c>
      <c r="J677" s="50" t="n">
        <f aca="false">I677*H677</f>
        <v>178773.570929951</v>
      </c>
    </row>
    <row r="678" customFormat="false" ht="15" hidden="false" customHeight="false" outlineLevel="0" collapsed="false">
      <c r="A678" s="46" t="n">
        <v>670</v>
      </c>
      <c r="B678" s="47" t="n">
        <f aca="false">(A678-1)*$C$6</f>
        <v>1.20863080946231</v>
      </c>
      <c r="C678" s="48" t="n">
        <f aca="false">$C$7*B678</f>
        <v>9.29166666666667</v>
      </c>
      <c r="D678" s="49" t="n">
        <f aca="false">0.5*c_rho*'P3 Energie'!E8*'P3 Energie'!E7*(C678-c_Vv)^2+'P3 Energie'!E13+'P3 Energie'!E15+'P3 Energie'!E6*$C$7</f>
        <v>18445.751746129</v>
      </c>
      <c r="E678" s="50" t="n">
        <f aca="false">D678*C678</f>
        <v>171391.776641115</v>
      </c>
      <c r="F678" s="46" t="n">
        <v>670</v>
      </c>
      <c r="G678" s="47" t="n">
        <f aca="false">(F678-1)*$H$6</f>
        <v>1.20776766047724</v>
      </c>
      <c r="H678" s="48" t="n">
        <f aca="false">$H$7*G678</f>
        <v>9.29166666666667</v>
      </c>
      <c r="I678" s="49" t="n">
        <f aca="false">0.5*c_rho*'P3 Energie'!F8*'P3 Energie'!F7*(H678-c_Vv)^2+'P3 Energie'!F13+'P3 Energie'!F15+'P3 Energie'!F6*$H$7</f>
        <v>19269.0971501762</v>
      </c>
      <c r="J678" s="50" t="n">
        <f aca="false">I678*H678</f>
        <v>179042.027687054</v>
      </c>
    </row>
    <row r="679" customFormat="false" ht="15" hidden="false" customHeight="false" outlineLevel="0" collapsed="false">
      <c r="A679" s="46" t="n">
        <v>671</v>
      </c>
      <c r="B679" s="47" t="n">
        <f aca="false">(A679-1)*$C$6</f>
        <v>1.21043743249589</v>
      </c>
      <c r="C679" s="48" t="n">
        <f aca="false">$C$7*B679</f>
        <v>9.30555555555556</v>
      </c>
      <c r="D679" s="49" t="n">
        <f aca="false">0.5*c_rho*'P3 Energie'!E8*'P3 Energie'!E7*(C679-c_Vv)^2+'P3 Energie'!E13+'P3 Energie'!E15+'P3 Energie'!E6*$C$7</f>
        <v>18445.8549190576</v>
      </c>
      <c r="E679" s="50" t="n">
        <f aca="false">D679*C679</f>
        <v>171648.927719009</v>
      </c>
      <c r="F679" s="46" t="n">
        <v>671</v>
      </c>
      <c r="G679" s="47" t="n">
        <f aca="false">(F679-1)*$H$6</f>
        <v>1.20957299330307</v>
      </c>
      <c r="H679" s="48" t="n">
        <f aca="false">$H$7*G679</f>
        <v>9.30555555555556</v>
      </c>
      <c r="I679" s="49" t="n">
        <f aca="false">0.5*c_rho*'P3 Energie'!F8*'P3 Energie'!F7*(H679-c_Vv)^2+'P3 Energie'!F13+'P3 Energie'!F15+'P3 Energie'!F6*$H$7</f>
        <v>19269.1867890972</v>
      </c>
      <c r="J679" s="50" t="n">
        <f aca="false">I679*H679</f>
        <v>179310.488176321</v>
      </c>
    </row>
    <row r="680" customFormat="false" ht="15" hidden="false" customHeight="false" outlineLevel="0" collapsed="false">
      <c r="A680" s="46" t="n">
        <v>672</v>
      </c>
      <c r="B680" s="47" t="n">
        <f aca="false">(A680-1)*$C$6</f>
        <v>1.21224405552946</v>
      </c>
      <c r="C680" s="48" t="n">
        <f aca="false">$C$7*B680</f>
        <v>9.31944444444445</v>
      </c>
      <c r="D680" s="49" t="n">
        <f aca="false">0.5*c_rho*'P3 Energie'!E8*'P3 Energie'!E7*(C680-c_Vv)^2+'P3 Energie'!E13+'P3 Energie'!E15+'P3 Energie'!E6*$C$7</f>
        <v>18445.9582460907</v>
      </c>
      <c r="E680" s="50" t="n">
        <f aca="false">D680*C680</f>
        <v>171906.083098985</v>
      </c>
      <c r="F680" s="46" t="n">
        <v>672</v>
      </c>
      <c r="G680" s="47" t="n">
        <f aca="false">(F680-1)*$H$6</f>
        <v>1.21137832612889</v>
      </c>
      <c r="H680" s="48" t="n">
        <f aca="false">$H$7*G680</f>
        <v>9.31944444444445</v>
      </c>
      <c r="I680" s="49" t="n">
        <f aca="false">0.5*c_rho*'P3 Energie'!F8*'P3 Energie'!F7*(H680-c_Vv)^2+'P3 Energie'!F13+'P3 Energie'!F15+'P3 Energie'!F6*$H$7</f>
        <v>19269.2765619076</v>
      </c>
      <c r="J680" s="50" t="n">
        <f aca="false">I680*H680</f>
        <v>179578.952403334</v>
      </c>
    </row>
    <row r="681" customFormat="false" ht="15" hidden="false" customHeight="false" outlineLevel="0" collapsed="false">
      <c r="A681" s="46" t="n">
        <v>673</v>
      </c>
      <c r="B681" s="47" t="n">
        <f aca="false">(A681-1)*$C$6</f>
        <v>1.21405067856304</v>
      </c>
      <c r="C681" s="48" t="n">
        <f aca="false">$C$7*B681</f>
        <v>9.33333333333333</v>
      </c>
      <c r="D681" s="49" t="n">
        <f aca="false">0.5*c_rho*'P3 Energie'!E8*'P3 Energie'!E7*(C681-c_Vv)^2+'P3 Energie'!E13+'P3 Energie'!E15+'P3 Energie'!E6*$C$7</f>
        <v>18446.0617272283</v>
      </c>
      <c r="E681" s="50" t="n">
        <f aca="false">D681*C681</f>
        <v>172163.242787464</v>
      </c>
      <c r="F681" s="46" t="n">
        <v>673</v>
      </c>
      <c r="G681" s="47" t="n">
        <f aca="false">(F681-1)*$H$6</f>
        <v>1.21318365895472</v>
      </c>
      <c r="H681" s="48" t="n">
        <f aca="false">$H$7*G681</f>
        <v>9.33333333333333</v>
      </c>
      <c r="I681" s="49" t="n">
        <f aca="false">0.5*c_rho*'P3 Energie'!F8*'P3 Energie'!F7*(H681-c_Vv)^2+'P3 Energie'!F13+'P3 Energie'!F15+'P3 Energie'!F6*$H$7</f>
        <v>19269.3664686074</v>
      </c>
      <c r="J681" s="50" t="n">
        <f aca="false">I681*H681</f>
        <v>179847.420373669</v>
      </c>
    </row>
    <row r="682" customFormat="false" ht="15" hidden="false" customHeight="false" outlineLevel="0" collapsed="false">
      <c r="A682" s="46" t="n">
        <v>674</v>
      </c>
      <c r="B682" s="47" t="n">
        <f aca="false">(A682-1)*$C$6</f>
        <v>1.21585730159662</v>
      </c>
      <c r="C682" s="48" t="n">
        <f aca="false">$C$7*B682</f>
        <v>9.34722222222222</v>
      </c>
      <c r="D682" s="49" t="n">
        <f aca="false">0.5*c_rho*'P3 Energie'!E8*'P3 Energie'!E7*(C682-c_Vv)^2+'P3 Energie'!E13+'P3 Energie'!E15+'P3 Energie'!E6*$C$7</f>
        <v>18446.1653624703</v>
      </c>
      <c r="E682" s="50" t="n">
        <f aca="false">D682*C682</f>
        <v>172420.406790868</v>
      </c>
      <c r="F682" s="46" t="n">
        <v>674</v>
      </c>
      <c r="G682" s="47" t="n">
        <f aca="false">(F682-1)*$H$6</f>
        <v>1.21498899178055</v>
      </c>
      <c r="H682" s="48" t="n">
        <f aca="false">$H$7*G682</f>
        <v>9.34722222222222</v>
      </c>
      <c r="I682" s="49" t="n">
        <f aca="false">0.5*c_rho*'P3 Energie'!F8*'P3 Energie'!F7*(H682-c_Vv)^2+'P3 Energie'!F13+'P3 Energie'!F15+'P3 Energie'!F6*$H$7</f>
        <v>19269.4565091965</v>
      </c>
      <c r="J682" s="50" t="n">
        <f aca="false">I682*H682</f>
        <v>180115.892092907</v>
      </c>
    </row>
    <row r="683" customFormat="false" ht="15" hidden="false" customHeight="false" outlineLevel="0" collapsed="false">
      <c r="A683" s="46" t="n">
        <v>675</v>
      </c>
      <c r="B683" s="47" t="n">
        <f aca="false">(A683-1)*$C$6</f>
        <v>1.21766392463019</v>
      </c>
      <c r="C683" s="48" t="n">
        <f aca="false">$C$7*B683</f>
        <v>9.36111111111111</v>
      </c>
      <c r="D683" s="49" t="n">
        <f aca="false">0.5*c_rho*'P3 Energie'!E8*'P3 Energie'!E7*(C683-c_Vv)^2+'P3 Energie'!E13+'P3 Energie'!E15+'P3 Energie'!E6*$C$7</f>
        <v>18446.2691518168</v>
      </c>
      <c r="E683" s="50" t="n">
        <f aca="false">D683*C683</f>
        <v>172677.575115618</v>
      </c>
      <c r="F683" s="46" t="n">
        <v>675</v>
      </c>
      <c r="G683" s="47" t="n">
        <f aca="false">(F683-1)*$H$6</f>
        <v>1.21679432460637</v>
      </c>
      <c r="H683" s="48" t="n">
        <f aca="false">$H$7*G683</f>
        <v>9.36111111111111</v>
      </c>
      <c r="I683" s="49" t="n">
        <f aca="false">0.5*c_rho*'P3 Energie'!F8*'P3 Energie'!F7*(H683-c_Vv)^2+'P3 Energie'!F13+'P3 Energie'!F15+'P3 Energie'!F6*$H$7</f>
        <v>19269.546683675</v>
      </c>
      <c r="J683" s="50" t="n">
        <f aca="false">I683*H683</f>
        <v>180384.367566624</v>
      </c>
    </row>
    <row r="684" customFormat="false" ht="15" hidden="false" customHeight="false" outlineLevel="0" collapsed="false">
      <c r="A684" s="46" t="n">
        <v>676</v>
      </c>
      <c r="B684" s="47" t="n">
        <f aca="false">(A684-1)*$C$6</f>
        <v>1.21947054766377</v>
      </c>
      <c r="C684" s="48" t="n">
        <f aca="false">$C$7*B684</f>
        <v>9.375</v>
      </c>
      <c r="D684" s="49" t="n">
        <f aca="false">0.5*c_rho*'P3 Energie'!E8*'P3 Energie'!E7*(C684-c_Vv)^2+'P3 Energie'!E13+'P3 Energie'!E15+'P3 Energie'!E6*$C$7</f>
        <v>18446.3730952677</v>
      </c>
      <c r="E684" s="50" t="n">
        <f aca="false">D684*C684</f>
        <v>172934.747768134</v>
      </c>
      <c r="F684" s="46" t="n">
        <v>676</v>
      </c>
      <c r="G684" s="47" t="n">
        <f aca="false">(F684-1)*$H$6</f>
        <v>1.2185996574322</v>
      </c>
      <c r="H684" s="48" t="n">
        <f aca="false">$H$7*G684</f>
        <v>9.375</v>
      </c>
      <c r="I684" s="49" t="n">
        <f aca="false">0.5*c_rho*'P3 Energie'!F8*'P3 Energie'!F7*(H684-c_Vv)^2+'P3 Energie'!F13+'P3 Energie'!F15+'P3 Energie'!F6*$H$7</f>
        <v>19269.6369920428</v>
      </c>
      <c r="J684" s="50" t="n">
        <f aca="false">I684*H684</f>
        <v>180652.846800402</v>
      </c>
    </row>
    <row r="685" customFormat="false" ht="15" hidden="false" customHeight="false" outlineLevel="0" collapsed="false">
      <c r="A685" s="46" t="n">
        <v>677</v>
      </c>
      <c r="B685" s="47" t="n">
        <f aca="false">(A685-1)*$C$6</f>
        <v>1.22127717069734</v>
      </c>
      <c r="C685" s="48" t="n">
        <f aca="false">$C$7*B685</f>
        <v>9.38888888888889</v>
      </c>
      <c r="D685" s="49" t="n">
        <f aca="false">0.5*c_rho*'P3 Energie'!E8*'P3 Energie'!E7*(C685-c_Vv)^2+'P3 Energie'!E13+'P3 Energie'!E15+'P3 Energie'!E6*$C$7</f>
        <v>18446.477192823</v>
      </c>
      <c r="E685" s="50" t="n">
        <f aca="false">D685*C685</f>
        <v>173191.924754838</v>
      </c>
      <c r="F685" s="46" t="n">
        <v>677</v>
      </c>
      <c r="G685" s="47" t="n">
        <f aca="false">(F685-1)*$H$6</f>
        <v>1.22040499025802</v>
      </c>
      <c r="H685" s="48" t="n">
        <f aca="false">$H$7*G685</f>
        <v>9.38888888888889</v>
      </c>
      <c r="I685" s="49" t="n">
        <f aca="false">0.5*c_rho*'P3 Energie'!F8*'P3 Energie'!F7*(H685-c_Vv)^2+'P3 Energie'!F13+'P3 Energie'!F15+'P3 Energie'!F6*$H$7</f>
        <v>19269.7274343</v>
      </c>
      <c r="J685" s="50" t="n">
        <f aca="false">I685*H685</f>
        <v>180921.329799817</v>
      </c>
    </row>
    <row r="686" customFormat="false" ht="15" hidden="false" customHeight="false" outlineLevel="0" collapsed="false">
      <c r="A686" s="46" t="n">
        <v>678</v>
      </c>
      <c r="B686" s="47" t="n">
        <f aca="false">(A686-1)*$C$6</f>
        <v>1.22308379373092</v>
      </c>
      <c r="C686" s="48" t="n">
        <f aca="false">$C$7*B686</f>
        <v>9.40277777777778</v>
      </c>
      <c r="D686" s="49" t="n">
        <f aca="false">0.5*c_rho*'P3 Energie'!E8*'P3 Energie'!E7*(C686-c_Vv)^2+'P3 Energie'!E13+'P3 Energie'!E15+'P3 Energie'!E6*$C$7</f>
        <v>18446.5814444828</v>
      </c>
      <c r="E686" s="50" t="n">
        <f aca="false">D686*C686</f>
        <v>173449.106082151</v>
      </c>
      <c r="F686" s="46" t="n">
        <v>678</v>
      </c>
      <c r="G686" s="47" t="n">
        <f aca="false">(F686-1)*$H$6</f>
        <v>1.22221032308385</v>
      </c>
      <c r="H686" s="48" t="n">
        <f aca="false">$H$7*G686</f>
        <v>9.40277777777778</v>
      </c>
      <c r="I686" s="49" t="n">
        <f aca="false">0.5*c_rho*'P3 Energie'!F8*'P3 Energie'!F7*(H686-c_Vv)^2+'P3 Energie'!F13+'P3 Energie'!F15+'P3 Energie'!F6*$H$7</f>
        <v>19269.8180104465</v>
      </c>
      <c r="J686" s="50" t="n">
        <f aca="false">I686*H686</f>
        <v>181189.816570449</v>
      </c>
    </row>
    <row r="687" customFormat="false" ht="15" hidden="false" customHeight="false" outlineLevel="0" collapsed="false">
      <c r="A687" s="46" t="n">
        <v>679</v>
      </c>
      <c r="B687" s="47" t="n">
        <f aca="false">(A687-1)*$C$6</f>
        <v>1.2248904167645</v>
      </c>
      <c r="C687" s="48" t="n">
        <f aca="false">$C$7*B687</f>
        <v>9.41666666666667</v>
      </c>
      <c r="D687" s="49" t="n">
        <f aca="false">0.5*c_rho*'P3 Energie'!E8*'P3 Energie'!E7*(C687-c_Vv)^2+'P3 Energie'!E13+'P3 Energie'!E15+'P3 Energie'!E6*$C$7</f>
        <v>18446.6858502471</v>
      </c>
      <c r="E687" s="50" t="n">
        <f aca="false">D687*C687</f>
        <v>173706.291756493</v>
      </c>
      <c r="F687" s="46" t="n">
        <v>679</v>
      </c>
      <c r="G687" s="47" t="n">
        <f aca="false">(F687-1)*$H$6</f>
        <v>1.22401565590967</v>
      </c>
      <c r="H687" s="48" t="n">
        <f aca="false">$H$7*G687</f>
        <v>9.41666666666667</v>
      </c>
      <c r="I687" s="49" t="n">
        <f aca="false">0.5*c_rho*'P3 Energie'!F8*'P3 Energie'!F7*(H687-c_Vv)^2+'P3 Energie'!F13+'P3 Energie'!F15+'P3 Energie'!F6*$H$7</f>
        <v>19269.9087204824</v>
      </c>
      <c r="J687" s="50" t="n">
        <f aca="false">I687*H687</f>
        <v>181458.307117876</v>
      </c>
    </row>
    <row r="688" customFormat="false" ht="15" hidden="false" customHeight="false" outlineLevel="0" collapsed="false">
      <c r="A688" s="46" t="n">
        <v>680</v>
      </c>
      <c r="B688" s="47" t="n">
        <f aca="false">(A688-1)*$C$6</f>
        <v>1.22669703979807</v>
      </c>
      <c r="C688" s="48" t="n">
        <f aca="false">$C$7*B688</f>
        <v>9.43055555555556</v>
      </c>
      <c r="D688" s="49" t="n">
        <f aca="false">0.5*c_rho*'P3 Energie'!E8*'P3 Energie'!E7*(C688-c_Vv)^2+'P3 Energie'!E13+'P3 Energie'!E15+'P3 Energie'!E6*$C$7</f>
        <v>18446.7904101157</v>
      </c>
      <c r="E688" s="50" t="n">
        <f aca="false">D688*C688</f>
        <v>173963.481784286</v>
      </c>
      <c r="F688" s="46" t="n">
        <v>680</v>
      </c>
      <c r="G688" s="47" t="n">
        <f aca="false">(F688-1)*$H$6</f>
        <v>1.2258209887355</v>
      </c>
      <c r="H688" s="48" t="n">
        <f aca="false">$H$7*G688</f>
        <v>9.43055555555556</v>
      </c>
      <c r="I688" s="49" t="n">
        <f aca="false">0.5*c_rho*'P3 Energie'!F8*'P3 Energie'!F7*(H688-c_Vv)^2+'P3 Energie'!F13+'P3 Energie'!F15+'P3 Energie'!F6*$H$7</f>
        <v>19269.9995644076</v>
      </c>
      <c r="J688" s="50" t="n">
        <f aca="false">I688*H688</f>
        <v>181726.801447678</v>
      </c>
    </row>
    <row r="689" customFormat="false" ht="15" hidden="false" customHeight="false" outlineLevel="0" collapsed="false">
      <c r="A689" s="46" t="n">
        <v>681</v>
      </c>
      <c r="B689" s="47" t="n">
        <f aca="false">(A689-1)*$C$6</f>
        <v>1.22850366283165</v>
      </c>
      <c r="C689" s="48" t="n">
        <f aca="false">$C$7*B689</f>
        <v>9.44444444444445</v>
      </c>
      <c r="D689" s="49" t="n">
        <f aca="false">0.5*c_rho*'P3 Energie'!E8*'P3 Energie'!E7*(C689-c_Vv)^2+'P3 Energie'!E13+'P3 Energie'!E15+'P3 Energie'!E6*$C$7</f>
        <v>18446.8951240889</v>
      </c>
      <c r="E689" s="50" t="n">
        <f aca="false">D689*C689</f>
        <v>174220.676171951</v>
      </c>
      <c r="F689" s="46" t="n">
        <v>681</v>
      </c>
      <c r="G689" s="47" t="n">
        <f aca="false">(F689-1)*$H$6</f>
        <v>1.22762632156132</v>
      </c>
      <c r="H689" s="48" t="n">
        <f aca="false">$H$7*G689</f>
        <v>9.44444444444445</v>
      </c>
      <c r="I689" s="49" t="n">
        <f aca="false">0.5*c_rho*'P3 Energie'!F8*'P3 Energie'!F7*(H689-c_Vv)^2+'P3 Energie'!F13+'P3 Energie'!F15+'P3 Energie'!F6*$H$7</f>
        <v>19270.0905422222</v>
      </c>
      <c r="J689" s="50" t="n">
        <f aca="false">I689*H689</f>
        <v>181995.299565432</v>
      </c>
    </row>
    <row r="690" customFormat="false" ht="15" hidden="false" customHeight="false" outlineLevel="0" collapsed="false">
      <c r="A690" s="46" t="n">
        <v>682</v>
      </c>
      <c r="B690" s="47" t="n">
        <f aca="false">(A690-1)*$C$6</f>
        <v>1.23031028586522</v>
      </c>
      <c r="C690" s="48" t="n">
        <f aca="false">$C$7*B690</f>
        <v>9.45833333333333</v>
      </c>
      <c r="D690" s="49" t="n">
        <f aca="false">0.5*c_rho*'P3 Energie'!E8*'P3 Energie'!E7*(C690-c_Vv)^2+'P3 Energie'!E13+'P3 Energie'!E15+'P3 Energie'!E6*$C$7</f>
        <v>18446.9999921665</v>
      </c>
      <c r="E690" s="50" t="n">
        <f aca="false">D690*C690</f>
        <v>174477.874925908</v>
      </c>
      <c r="F690" s="46" t="n">
        <v>682</v>
      </c>
      <c r="G690" s="47" t="n">
        <f aca="false">(F690-1)*$H$6</f>
        <v>1.22943165438715</v>
      </c>
      <c r="H690" s="48" t="n">
        <f aca="false">$H$7*G690</f>
        <v>9.45833333333333</v>
      </c>
      <c r="I690" s="49" t="n">
        <f aca="false">0.5*c_rho*'P3 Energie'!F8*'P3 Energie'!F7*(H690-c_Vv)^2+'P3 Energie'!F13+'P3 Energie'!F15+'P3 Energie'!F6*$H$7</f>
        <v>19270.1816539262</v>
      </c>
      <c r="J690" s="50" t="n">
        <f aca="false">I690*H690</f>
        <v>182263.801476718</v>
      </c>
    </row>
    <row r="691" customFormat="false" ht="15" hidden="false" customHeight="false" outlineLevel="0" collapsed="false">
      <c r="A691" s="46" t="n">
        <v>683</v>
      </c>
      <c r="B691" s="47" t="n">
        <f aca="false">(A691-1)*$C$6</f>
        <v>1.2321169088988</v>
      </c>
      <c r="C691" s="48" t="n">
        <f aca="false">$C$7*B691</f>
        <v>9.47222222222222</v>
      </c>
      <c r="D691" s="49" t="n">
        <f aca="false">0.5*c_rho*'P3 Energie'!E8*'P3 Energie'!E7*(C691-c_Vv)^2+'P3 Energie'!E13+'P3 Energie'!E15+'P3 Energie'!E6*$C$7</f>
        <v>18447.1050143485</v>
      </c>
      <c r="E691" s="50" t="n">
        <f aca="false">D691*C691</f>
        <v>174735.078052579</v>
      </c>
      <c r="F691" s="46" t="n">
        <v>683</v>
      </c>
      <c r="G691" s="47" t="n">
        <f aca="false">(F691-1)*$H$6</f>
        <v>1.23123698721297</v>
      </c>
      <c r="H691" s="48" t="n">
        <f aca="false">$H$7*G691</f>
        <v>9.47222222222222</v>
      </c>
      <c r="I691" s="49" t="n">
        <f aca="false">0.5*c_rho*'P3 Energie'!F8*'P3 Energie'!F7*(H691-c_Vv)^2+'P3 Energie'!F13+'P3 Energie'!F15+'P3 Energie'!F6*$H$7</f>
        <v>19270.2728995194</v>
      </c>
      <c r="J691" s="50" t="n">
        <f aca="false">I691*H691</f>
        <v>182532.307187115</v>
      </c>
    </row>
    <row r="692" customFormat="false" ht="15" hidden="false" customHeight="false" outlineLevel="0" collapsed="false">
      <c r="A692" s="46" t="n">
        <v>684</v>
      </c>
      <c r="B692" s="47" t="n">
        <f aca="false">(A692-1)*$C$6</f>
        <v>1.23392353193238</v>
      </c>
      <c r="C692" s="48" t="n">
        <f aca="false">$C$7*B692</f>
        <v>9.48611111111111</v>
      </c>
      <c r="D692" s="49" t="n">
        <f aca="false">0.5*c_rho*'P3 Energie'!E8*'P3 Energie'!E7*(C692-c_Vv)^2+'P3 Energie'!E13+'P3 Energie'!E15+'P3 Energie'!E6*$C$7</f>
        <v>18447.210190635</v>
      </c>
      <c r="E692" s="50" t="n">
        <f aca="false">D692*C692</f>
        <v>174992.285558385</v>
      </c>
      <c r="F692" s="46" t="n">
        <v>684</v>
      </c>
      <c r="G692" s="47" t="n">
        <f aca="false">(F692-1)*$H$6</f>
        <v>1.2330423200388</v>
      </c>
      <c r="H692" s="48" t="n">
        <f aca="false">$H$7*G692</f>
        <v>9.48611111111111</v>
      </c>
      <c r="I692" s="49" t="n">
        <f aca="false">0.5*c_rho*'P3 Energie'!F8*'P3 Energie'!F7*(H692-c_Vv)^2+'P3 Energie'!F13+'P3 Energie'!F15+'P3 Energie'!F6*$H$7</f>
        <v>19270.3642790021</v>
      </c>
      <c r="J692" s="50" t="n">
        <f aca="false">I692*H692</f>
        <v>182800.8167022</v>
      </c>
    </row>
    <row r="693" customFormat="false" ht="15" hidden="false" customHeight="false" outlineLevel="0" collapsed="false">
      <c r="A693" s="46" t="n">
        <v>685</v>
      </c>
      <c r="B693" s="47" t="n">
        <f aca="false">(A693-1)*$C$6</f>
        <v>1.23573015496595</v>
      </c>
      <c r="C693" s="48" t="n">
        <f aca="false">$C$7*B693</f>
        <v>9.5</v>
      </c>
      <c r="D693" s="49" t="n">
        <f aca="false">0.5*c_rho*'P3 Energie'!E8*'P3 Energie'!E7*(C693-c_Vv)^2+'P3 Energie'!E13+'P3 Energie'!E15+'P3 Energie'!E6*$C$7</f>
        <v>18447.315521026</v>
      </c>
      <c r="E693" s="50" t="n">
        <f aca="false">D693*C693</f>
        <v>175249.497449747</v>
      </c>
      <c r="F693" s="46" t="n">
        <v>685</v>
      </c>
      <c r="G693" s="47" t="n">
        <f aca="false">(F693-1)*$H$6</f>
        <v>1.23484765286463</v>
      </c>
      <c r="H693" s="48" t="n">
        <f aca="false">$H$7*G693</f>
        <v>9.5</v>
      </c>
      <c r="I693" s="49" t="n">
        <f aca="false">0.5*c_rho*'P3 Energie'!F8*'P3 Energie'!F7*(H693-c_Vv)^2+'P3 Energie'!F13+'P3 Energie'!F15+'P3 Energie'!F6*$H$7</f>
        <v>19270.4557923741</v>
      </c>
      <c r="J693" s="50" t="n">
        <f aca="false">I693*H693</f>
        <v>183069.330027554</v>
      </c>
    </row>
    <row r="694" customFormat="false" ht="15" hidden="false" customHeight="false" outlineLevel="0" collapsed="false">
      <c r="A694" s="46" t="n">
        <v>686</v>
      </c>
      <c r="B694" s="47" t="n">
        <f aca="false">(A694-1)*$C$6</f>
        <v>1.23753677799953</v>
      </c>
      <c r="C694" s="48" t="n">
        <f aca="false">$C$7*B694</f>
        <v>9.51388888888889</v>
      </c>
      <c r="D694" s="49" t="n">
        <f aca="false">0.5*c_rho*'P3 Energie'!E8*'P3 Energie'!E7*(C694-c_Vv)^2+'P3 Energie'!E13+'P3 Energie'!E15+'P3 Energie'!E6*$C$7</f>
        <v>18447.4210055214</v>
      </c>
      <c r="E694" s="50" t="n">
        <f aca="false">D694*C694</f>
        <v>175506.713733085</v>
      </c>
      <c r="F694" s="46" t="n">
        <v>686</v>
      </c>
      <c r="G694" s="47" t="n">
        <f aca="false">(F694-1)*$H$6</f>
        <v>1.23665298569045</v>
      </c>
      <c r="H694" s="48" t="n">
        <f aca="false">$H$7*G694</f>
        <v>9.51388888888889</v>
      </c>
      <c r="I694" s="49" t="n">
        <f aca="false">0.5*c_rho*'P3 Energie'!F8*'P3 Energie'!F7*(H694-c_Vv)^2+'P3 Energie'!F13+'P3 Energie'!F15+'P3 Energie'!F6*$H$7</f>
        <v>19270.5474396354</v>
      </c>
      <c r="J694" s="50" t="n">
        <f aca="false">I694*H694</f>
        <v>183337.847168754</v>
      </c>
    </row>
    <row r="695" customFormat="false" ht="15" hidden="false" customHeight="false" outlineLevel="0" collapsed="false">
      <c r="A695" s="46" t="n">
        <v>687</v>
      </c>
      <c r="B695" s="47" t="n">
        <f aca="false">(A695-1)*$C$6</f>
        <v>1.2393434010331</v>
      </c>
      <c r="C695" s="48" t="n">
        <f aca="false">$C$7*B695</f>
        <v>9.52777777777778</v>
      </c>
      <c r="D695" s="49" t="n">
        <f aca="false">0.5*c_rho*'P3 Energie'!E8*'P3 Energie'!E7*(C695-c_Vv)^2+'P3 Energie'!E13+'P3 Energie'!E15+'P3 Energie'!E6*$C$7</f>
        <v>18447.5266441212</v>
      </c>
      <c r="E695" s="50" t="n">
        <f aca="false">D695*C695</f>
        <v>175763.934414821</v>
      </c>
      <c r="F695" s="46" t="n">
        <v>687</v>
      </c>
      <c r="G695" s="47" t="n">
        <f aca="false">(F695-1)*$H$6</f>
        <v>1.23845831851628</v>
      </c>
      <c r="H695" s="48" t="n">
        <f aca="false">$H$7*G695</f>
        <v>9.52777777777778</v>
      </c>
      <c r="I695" s="49" t="n">
        <f aca="false">0.5*c_rho*'P3 Energie'!F8*'P3 Energie'!F7*(H695-c_Vv)^2+'P3 Energie'!F13+'P3 Energie'!F15+'P3 Energie'!F6*$H$7</f>
        <v>19270.6392207861</v>
      </c>
      <c r="J695" s="50" t="n">
        <f aca="false">I695*H695</f>
        <v>183606.368131379</v>
      </c>
    </row>
    <row r="696" customFormat="false" ht="15" hidden="false" customHeight="false" outlineLevel="0" collapsed="false">
      <c r="A696" s="46" t="n">
        <v>688</v>
      </c>
      <c r="B696" s="47" t="n">
        <f aca="false">(A696-1)*$C$6</f>
        <v>1.24115002406668</v>
      </c>
      <c r="C696" s="48" t="n">
        <f aca="false">$C$7*B696</f>
        <v>9.54166666666667</v>
      </c>
      <c r="D696" s="49" t="n">
        <f aca="false">0.5*c_rho*'P3 Energie'!E8*'P3 Energie'!E7*(C696-c_Vv)^2+'P3 Energie'!E13+'P3 Energie'!E15+'P3 Energie'!E6*$C$7</f>
        <v>18447.6324368255</v>
      </c>
      <c r="E696" s="50" t="n">
        <f aca="false">D696*C696</f>
        <v>176021.159501377</v>
      </c>
      <c r="F696" s="46" t="n">
        <v>688</v>
      </c>
      <c r="G696" s="47" t="n">
        <f aca="false">(F696-1)*$H$6</f>
        <v>1.2402636513421</v>
      </c>
      <c r="H696" s="48" t="n">
        <f aca="false">$H$7*G696</f>
        <v>9.54166666666667</v>
      </c>
      <c r="I696" s="49" t="n">
        <f aca="false">0.5*c_rho*'P3 Energie'!F8*'P3 Energie'!F7*(H696-c_Vv)^2+'P3 Energie'!F13+'P3 Energie'!F15+'P3 Energie'!F6*$H$7</f>
        <v>19270.7311358262</v>
      </c>
      <c r="J696" s="50" t="n">
        <f aca="false">I696*H696</f>
        <v>183874.892921008</v>
      </c>
    </row>
    <row r="697" customFormat="false" ht="15" hidden="false" customHeight="false" outlineLevel="0" collapsed="false">
      <c r="A697" s="46" t="n">
        <v>689</v>
      </c>
      <c r="B697" s="47" t="n">
        <f aca="false">(A697-1)*$C$6</f>
        <v>1.24295664710026</v>
      </c>
      <c r="C697" s="48" t="n">
        <f aca="false">$C$7*B697</f>
        <v>9.55555555555556</v>
      </c>
      <c r="D697" s="49" t="n">
        <f aca="false">0.5*c_rho*'P3 Energie'!E8*'P3 Energie'!E7*(C697-c_Vv)^2+'P3 Energie'!E13+'P3 Energie'!E15+'P3 Energie'!E6*$C$7</f>
        <v>18447.7383836342</v>
      </c>
      <c r="E697" s="50" t="n">
        <f aca="false">D697*C697</f>
        <v>176278.388999172</v>
      </c>
      <c r="F697" s="46" t="n">
        <v>689</v>
      </c>
      <c r="G697" s="47" t="n">
        <f aca="false">(F697-1)*$H$6</f>
        <v>1.24206898416793</v>
      </c>
      <c r="H697" s="48" t="n">
        <f aca="false">$H$7*G697</f>
        <v>9.55555555555556</v>
      </c>
      <c r="I697" s="49" t="n">
        <f aca="false">0.5*c_rho*'P3 Energie'!F8*'P3 Energie'!F7*(H697-c_Vv)^2+'P3 Energie'!F13+'P3 Energie'!F15+'P3 Energie'!F6*$H$7</f>
        <v>19270.8231847556</v>
      </c>
      <c r="J697" s="50" t="n">
        <f aca="false">I697*H697</f>
        <v>184143.42154322</v>
      </c>
    </row>
    <row r="698" customFormat="false" ht="15" hidden="false" customHeight="false" outlineLevel="0" collapsed="false">
      <c r="A698" s="46" t="n">
        <v>690</v>
      </c>
      <c r="B698" s="47" t="n">
        <f aca="false">(A698-1)*$C$6</f>
        <v>1.24476327013383</v>
      </c>
      <c r="C698" s="48" t="n">
        <f aca="false">$C$7*B698</f>
        <v>9.56944444444445</v>
      </c>
      <c r="D698" s="49" t="n">
        <f aca="false">0.5*c_rho*'P3 Energie'!E8*'P3 Energie'!E7*(C698-c_Vv)^2+'P3 Energie'!E13+'P3 Energie'!E15+'P3 Energie'!E6*$C$7</f>
        <v>18447.8444845474</v>
      </c>
      <c r="E698" s="50" t="n">
        <f aca="false">D698*C698</f>
        <v>176535.622914627</v>
      </c>
      <c r="F698" s="46" t="n">
        <v>690</v>
      </c>
      <c r="G698" s="47" t="n">
        <f aca="false">(F698-1)*$H$6</f>
        <v>1.24387431699375</v>
      </c>
      <c r="H698" s="48" t="n">
        <f aca="false">$H$7*G698</f>
        <v>9.56944444444445</v>
      </c>
      <c r="I698" s="49" t="n">
        <f aca="false">0.5*c_rho*'P3 Energie'!F8*'P3 Energie'!F7*(H698-c_Vv)^2+'P3 Energie'!F13+'P3 Energie'!F15+'P3 Energie'!F6*$H$7</f>
        <v>19270.9153675743</v>
      </c>
      <c r="J698" s="50" t="n">
        <f aca="false">I698*H698</f>
        <v>184411.954003593</v>
      </c>
    </row>
    <row r="699" customFormat="false" ht="15" hidden="false" customHeight="false" outlineLevel="0" collapsed="false">
      <c r="A699" s="46" t="n">
        <v>691</v>
      </c>
      <c r="B699" s="47" t="n">
        <f aca="false">(A699-1)*$C$6</f>
        <v>1.24656989316741</v>
      </c>
      <c r="C699" s="48" t="n">
        <f aca="false">$C$7*B699</f>
        <v>9.58333333333333</v>
      </c>
      <c r="D699" s="49" t="n">
        <f aca="false">0.5*c_rho*'P3 Energie'!E8*'P3 Energie'!E7*(C699-c_Vv)^2+'P3 Energie'!E13+'P3 Energie'!E15+'P3 Energie'!E6*$C$7</f>
        <v>18447.9507395651</v>
      </c>
      <c r="E699" s="50" t="n">
        <f aca="false">D699*C699</f>
        <v>176792.861254165</v>
      </c>
      <c r="F699" s="46" t="n">
        <v>691</v>
      </c>
      <c r="G699" s="47" t="n">
        <f aca="false">(F699-1)*$H$6</f>
        <v>1.24567964981958</v>
      </c>
      <c r="H699" s="48" t="n">
        <f aca="false">$H$7*G699</f>
        <v>9.58333333333333</v>
      </c>
      <c r="I699" s="49" t="n">
        <f aca="false">0.5*c_rho*'P3 Energie'!F8*'P3 Energie'!F7*(H699-c_Vv)^2+'P3 Energie'!F13+'P3 Energie'!F15+'P3 Energie'!F6*$H$7</f>
        <v>19271.0076842824</v>
      </c>
      <c r="J699" s="50" t="n">
        <f aca="false">I699*H699</f>
        <v>184680.490307706</v>
      </c>
    </row>
    <row r="700" customFormat="false" ht="15" hidden="false" customHeight="false" outlineLevel="0" collapsed="false">
      <c r="A700" s="46" t="n">
        <v>692</v>
      </c>
      <c r="B700" s="47" t="n">
        <f aca="false">(A700-1)*$C$6</f>
        <v>1.24837651620098</v>
      </c>
      <c r="C700" s="48" t="n">
        <f aca="false">$C$7*B700</f>
        <v>9.59722222222222</v>
      </c>
      <c r="D700" s="49" t="n">
        <f aca="false">0.5*c_rho*'P3 Energie'!E8*'P3 Energie'!E7*(C700-c_Vv)^2+'P3 Energie'!E13+'P3 Energie'!E15+'P3 Energie'!E6*$C$7</f>
        <v>18448.0571486871</v>
      </c>
      <c r="E700" s="50" t="n">
        <f aca="false">D700*C700</f>
        <v>177050.104024206</v>
      </c>
      <c r="F700" s="46" t="n">
        <v>692</v>
      </c>
      <c r="G700" s="47" t="n">
        <f aca="false">(F700-1)*$H$6</f>
        <v>1.2474849826454</v>
      </c>
      <c r="H700" s="48" t="n">
        <f aca="false">$H$7*G700</f>
        <v>9.59722222222222</v>
      </c>
      <c r="I700" s="49" t="n">
        <f aca="false">0.5*c_rho*'P3 Energie'!F8*'P3 Energie'!F7*(H700-c_Vv)^2+'P3 Energie'!F13+'P3 Energie'!F15+'P3 Energie'!F6*$H$7</f>
        <v>19271.1001348799</v>
      </c>
      <c r="J700" s="50" t="n">
        <f aca="false">I700*H700</f>
        <v>184949.030461139</v>
      </c>
    </row>
    <row r="701" customFormat="false" ht="15" hidden="false" customHeight="false" outlineLevel="0" collapsed="false">
      <c r="A701" s="46" t="n">
        <v>693</v>
      </c>
      <c r="B701" s="47" t="n">
        <f aca="false">(A701-1)*$C$6</f>
        <v>1.25018313923456</v>
      </c>
      <c r="C701" s="48" t="n">
        <f aca="false">$C$7*B701</f>
        <v>9.61111111111111</v>
      </c>
      <c r="D701" s="49" t="n">
        <f aca="false">0.5*c_rho*'P3 Energie'!E8*'P3 Energie'!E7*(C701-c_Vv)^2+'P3 Energie'!E13+'P3 Energie'!E15+'P3 Energie'!E6*$C$7</f>
        <v>18448.1637119137</v>
      </c>
      <c r="E701" s="50" t="n">
        <f aca="false">D701*C701</f>
        <v>177307.35123117</v>
      </c>
      <c r="F701" s="46" t="n">
        <v>693</v>
      </c>
      <c r="G701" s="47" t="n">
        <f aca="false">(F701-1)*$H$6</f>
        <v>1.24929031547123</v>
      </c>
      <c r="H701" s="48" t="n">
        <f aca="false">$H$7*G701</f>
        <v>9.61111111111111</v>
      </c>
      <c r="I701" s="49" t="n">
        <f aca="false">0.5*c_rho*'P3 Energie'!F8*'P3 Energie'!F7*(H701-c_Vv)^2+'P3 Energie'!F13+'P3 Energie'!F15+'P3 Energie'!F6*$H$7</f>
        <v>19271.1927193667</v>
      </c>
      <c r="J701" s="50" t="n">
        <f aca="false">I701*H701</f>
        <v>185217.574469469</v>
      </c>
    </row>
    <row r="702" customFormat="false" ht="15" hidden="false" customHeight="false" outlineLevel="0" collapsed="false">
      <c r="A702" s="46" t="n">
        <v>694</v>
      </c>
      <c r="B702" s="47" t="n">
        <f aca="false">(A702-1)*$C$6</f>
        <v>1.25198976226814</v>
      </c>
      <c r="C702" s="48" t="n">
        <f aca="false">$C$7*B702</f>
        <v>9.625</v>
      </c>
      <c r="D702" s="49" t="n">
        <f aca="false">0.5*c_rho*'P3 Energie'!E8*'P3 Energie'!E7*(C702-c_Vv)^2+'P3 Energie'!E13+'P3 Energie'!E15+'P3 Energie'!E6*$C$7</f>
        <v>18448.2704292447</v>
      </c>
      <c r="E702" s="50" t="n">
        <f aca="false">D702*C702</f>
        <v>177564.60288148</v>
      </c>
      <c r="F702" s="46" t="n">
        <v>694</v>
      </c>
      <c r="G702" s="47" t="n">
        <f aca="false">(F702-1)*$H$6</f>
        <v>1.25109564829705</v>
      </c>
      <c r="H702" s="48" t="n">
        <f aca="false">$H$7*G702</f>
        <v>9.625</v>
      </c>
      <c r="I702" s="49" t="n">
        <f aca="false">0.5*c_rho*'P3 Energie'!F8*'P3 Energie'!F7*(H702-c_Vv)^2+'P3 Energie'!F13+'P3 Energie'!F15+'P3 Energie'!F6*$H$7</f>
        <v>19271.2854377428</v>
      </c>
      <c r="J702" s="50" t="n">
        <f aca="false">I702*H702</f>
        <v>185486.122338275</v>
      </c>
    </row>
    <row r="703" customFormat="false" ht="15" hidden="false" customHeight="false" outlineLevel="0" collapsed="false">
      <c r="A703" s="46" t="n">
        <v>695</v>
      </c>
      <c r="B703" s="47" t="n">
        <f aca="false">(A703-1)*$C$6</f>
        <v>1.25379638530171</v>
      </c>
      <c r="C703" s="48" t="n">
        <f aca="false">$C$7*B703</f>
        <v>9.63888888888889</v>
      </c>
      <c r="D703" s="49" t="n">
        <f aca="false">0.5*c_rho*'P3 Energie'!E8*'P3 Energie'!E7*(C703-c_Vv)^2+'P3 Energie'!E13+'P3 Energie'!E15+'P3 Energie'!E6*$C$7</f>
        <v>18448.3773006801</v>
      </c>
      <c r="E703" s="50" t="n">
        <f aca="false">D703*C703</f>
        <v>177821.858981555</v>
      </c>
      <c r="F703" s="46" t="n">
        <v>695</v>
      </c>
      <c r="G703" s="47" t="n">
        <f aca="false">(F703-1)*$H$6</f>
        <v>1.25290098112288</v>
      </c>
      <c r="H703" s="48" t="n">
        <f aca="false">$H$7*G703</f>
        <v>9.63888888888889</v>
      </c>
      <c r="I703" s="49" t="n">
        <f aca="false">0.5*c_rho*'P3 Energie'!F8*'P3 Energie'!F7*(H703-c_Vv)^2+'P3 Energie'!F13+'P3 Energie'!F15+'P3 Energie'!F6*$H$7</f>
        <v>19271.3782900083</v>
      </c>
      <c r="J703" s="50" t="n">
        <f aca="false">I703*H703</f>
        <v>185754.674073136</v>
      </c>
    </row>
    <row r="704" customFormat="false" ht="15" hidden="false" customHeight="false" outlineLevel="0" collapsed="false">
      <c r="A704" s="46" t="n">
        <v>696</v>
      </c>
      <c r="B704" s="47" t="n">
        <f aca="false">(A704-1)*$C$6</f>
        <v>1.25560300833529</v>
      </c>
      <c r="C704" s="48" t="n">
        <f aca="false">$C$7*B704</f>
        <v>9.65277777777778</v>
      </c>
      <c r="D704" s="49" t="n">
        <f aca="false">0.5*c_rho*'P3 Energie'!E8*'P3 Energie'!E7*(C704-c_Vv)^2+'P3 Energie'!E13+'P3 Energie'!E15+'P3 Energie'!E6*$C$7</f>
        <v>18448.48432622</v>
      </c>
      <c r="E704" s="50" t="n">
        <f aca="false">D704*C704</f>
        <v>178079.119537818</v>
      </c>
      <c r="F704" s="46" t="n">
        <v>696</v>
      </c>
      <c r="G704" s="47" t="n">
        <f aca="false">(F704-1)*$H$6</f>
        <v>1.25470631394871</v>
      </c>
      <c r="H704" s="48" t="n">
        <f aca="false">$H$7*G704</f>
        <v>9.65277777777778</v>
      </c>
      <c r="I704" s="49" t="n">
        <f aca="false">0.5*c_rho*'P3 Energie'!F8*'P3 Energie'!F7*(H704-c_Vv)^2+'P3 Energie'!F13+'P3 Energie'!F15+'P3 Energie'!F6*$H$7</f>
        <v>19271.4712761632</v>
      </c>
      <c r="J704" s="50" t="n">
        <f aca="false">I704*H704</f>
        <v>186023.229679631</v>
      </c>
    </row>
    <row r="705" customFormat="false" ht="15" hidden="false" customHeight="false" outlineLevel="0" collapsed="false">
      <c r="A705" s="46" t="n">
        <v>697</v>
      </c>
      <c r="B705" s="47" t="n">
        <f aca="false">(A705-1)*$C$6</f>
        <v>1.25740963136886</v>
      </c>
      <c r="C705" s="48" t="n">
        <f aca="false">$C$7*B705</f>
        <v>9.66666666666667</v>
      </c>
      <c r="D705" s="49" t="n">
        <f aca="false">0.5*c_rho*'P3 Energie'!E8*'P3 Energie'!E7*(C705-c_Vv)^2+'P3 Energie'!E13+'P3 Energie'!E15+'P3 Energie'!E6*$C$7</f>
        <v>18448.5915058643</v>
      </c>
      <c r="E705" s="50" t="n">
        <f aca="false">D705*C705</f>
        <v>178336.384556688</v>
      </c>
      <c r="F705" s="46" t="n">
        <v>697</v>
      </c>
      <c r="G705" s="47" t="n">
        <f aca="false">(F705-1)*$H$6</f>
        <v>1.25651164677453</v>
      </c>
      <c r="H705" s="48" t="n">
        <f aca="false">$H$7*G705</f>
        <v>9.66666666666667</v>
      </c>
      <c r="I705" s="49" t="n">
        <f aca="false">0.5*c_rho*'P3 Energie'!F8*'P3 Energie'!F7*(H705-c_Vv)^2+'P3 Energie'!F13+'P3 Energie'!F15+'P3 Energie'!F6*$H$7</f>
        <v>19271.5643962074</v>
      </c>
      <c r="J705" s="50" t="n">
        <f aca="false">I705*H705</f>
        <v>186291.789163338</v>
      </c>
    </row>
    <row r="706" customFormat="false" ht="15" hidden="false" customHeight="false" outlineLevel="0" collapsed="false">
      <c r="A706" s="46" t="n">
        <v>698</v>
      </c>
      <c r="B706" s="47" t="n">
        <f aca="false">(A706-1)*$C$6</f>
        <v>1.25921625440244</v>
      </c>
      <c r="C706" s="48" t="n">
        <f aca="false">$C$7*B706</f>
        <v>9.68055555555556</v>
      </c>
      <c r="D706" s="49" t="n">
        <f aca="false">0.5*c_rho*'P3 Energie'!E8*'P3 Energie'!E7*(C706-c_Vv)^2+'P3 Energie'!E13+'P3 Energie'!E15+'P3 Energie'!E6*$C$7</f>
        <v>18448.6988396131</v>
      </c>
      <c r="E706" s="50" t="n">
        <f aca="false">D706*C706</f>
        <v>178593.654044588</v>
      </c>
      <c r="F706" s="46" t="n">
        <v>698</v>
      </c>
      <c r="G706" s="47" t="n">
        <f aca="false">(F706-1)*$H$6</f>
        <v>1.25831697960036</v>
      </c>
      <c r="H706" s="48" t="n">
        <f aca="false">$H$7*G706</f>
        <v>9.68055555555556</v>
      </c>
      <c r="I706" s="49" t="n">
        <f aca="false">0.5*c_rho*'P3 Energie'!F8*'P3 Energie'!F7*(H706-c_Vv)^2+'P3 Energie'!F13+'P3 Energie'!F15+'P3 Energie'!F6*$H$7</f>
        <v>19271.657650141</v>
      </c>
      <c r="J706" s="50" t="n">
        <f aca="false">I706*H706</f>
        <v>186560.352529837</v>
      </c>
    </row>
    <row r="707" customFormat="false" ht="15" hidden="false" customHeight="false" outlineLevel="0" collapsed="false">
      <c r="A707" s="46" t="n">
        <v>699</v>
      </c>
      <c r="B707" s="47" t="n">
        <f aca="false">(A707-1)*$C$6</f>
        <v>1.26102287743602</v>
      </c>
      <c r="C707" s="48" t="n">
        <f aca="false">$C$7*B707</f>
        <v>9.69444444444444</v>
      </c>
      <c r="D707" s="49" t="n">
        <f aca="false">0.5*c_rho*'P3 Energie'!E8*'P3 Energie'!E7*(C707-c_Vv)^2+'P3 Energie'!E13+'P3 Energie'!E15+'P3 Energie'!E6*$C$7</f>
        <v>18448.8063274663</v>
      </c>
      <c r="E707" s="50" t="n">
        <f aca="false">D707*C707</f>
        <v>178850.928007937</v>
      </c>
      <c r="F707" s="46" t="n">
        <v>699</v>
      </c>
      <c r="G707" s="47" t="n">
        <f aca="false">(F707-1)*$H$6</f>
        <v>1.26012231242618</v>
      </c>
      <c r="H707" s="48" t="n">
        <f aca="false">$H$7*G707</f>
        <v>9.69444444444445</v>
      </c>
      <c r="I707" s="49" t="n">
        <f aca="false">0.5*c_rho*'P3 Energie'!F8*'P3 Energie'!F7*(H707-c_Vv)^2+'P3 Energie'!F13+'P3 Energie'!F15+'P3 Energie'!F6*$H$7</f>
        <v>19271.7510379639</v>
      </c>
      <c r="J707" s="50" t="n">
        <f aca="false">I707*H707</f>
        <v>186828.919784706</v>
      </c>
    </row>
    <row r="708" customFormat="false" ht="15" hidden="false" customHeight="false" outlineLevel="0" collapsed="false">
      <c r="A708" s="46" t="n">
        <v>700</v>
      </c>
      <c r="B708" s="47" t="n">
        <f aca="false">(A708-1)*$C$6</f>
        <v>1.26282950046959</v>
      </c>
      <c r="C708" s="48" t="n">
        <f aca="false">$C$7*B708</f>
        <v>9.70833333333333</v>
      </c>
      <c r="D708" s="49" t="n">
        <f aca="false">0.5*c_rho*'P3 Energie'!E8*'P3 Energie'!E7*(C708-c_Vv)^2+'P3 Energie'!E13+'P3 Energie'!E15+'P3 Energie'!E6*$C$7</f>
        <v>18448.913969424</v>
      </c>
      <c r="E708" s="50" t="n">
        <f aca="false">D708*C708</f>
        <v>179108.206453158</v>
      </c>
      <c r="F708" s="46" t="n">
        <v>700</v>
      </c>
      <c r="G708" s="47" t="n">
        <f aca="false">(F708-1)*$H$6</f>
        <v>1.26192764525201</v>
      </c>
      <c r="H708" s="48" t="n">
        <f aca="false">$H$7*G708</f>
        <v>9.70833333333333</v>
      </c>
      <c r="I708" s="49" t="n">
        <f aca="false">0.5*c_rho*'P3 Energie'!F8*'P3 Energie'!F7*(H708-c_Vv)^2+'P3 Energie'!F13+'P3 Energie'!F15+'P3 Energie'!F6*$H$7</f>
        <v>19271.8445596762</v>
      </c>
      <c r="J708" s="50" t="n">
        <f aca="false">I708*H708</f>
        <v>187097.490933523</v>
      </c>
    </row>
    <row r="709" customFormat="false" ht="15" hidden="false" customHeight="false" outlineLevel="0" collapsed="false">
      <c r="A709" s="46" t="n">
        <v>701</v>
      </c>
      <c r="B709" s="47" t="n">
        <f aca="false">(A709-1)*$C$6</f>
        <v>1.26463612350317</v>
      </c>
      <c r="C709" s="48" t="n">
        <f aca="false">$C$7*B709</f>
        <v>9.72222222222222</v>
      </c>
      <c r="D709" s="49" t="n">
        <f aca="false">0.5*c_rho*'P3 Energie'!E8*'P3 Energie'!E7*(C709-c_Vv)^2+'P3 Energie'!E13+'P3 Energie'!E15+'P3 Energie'!E6*$C$7</f>
        <v>18449.0217654861</v>
      </c>
      <c r="E709" s="50" t="n">
        <f aca="false">D709*C709</f>
        <v>179365.489386671</v>
      </c>
      <c r="F709" s="46" t="n">
        <v>701</v>
      </c>
      <c r="G709" s="47" t="n">
        <f aca="false">(F709-1)*$H$6</f>
        <v>1.26373297807783</v>
      </c>
      <c r="H709" s="48" t="n">
        <f aca="false">$H$7*G709</f>
        <v>9.72222222222222</v>
      </c>
      <c r="I709" s="49" t="n">
        <f aca="false">0.5*c_rho*'P3 Energie'!F8*'P3 Energie'!F7*(H709-c_Vv)^2+'P3 Energie'!F13+'P3 Energie'!F15+'P3 Energie'!F6*$H$7</f>
        <v>19271.9382152778</v>
      </c>
      <c r="J709" s="50" t="n">
        <f aca="false">I709*H709</f>
        <v>187366.065981867</v>
      </c>
    </row>
    <row r="710" customFormat="false" ht="15" hidden="false" customHeight="false" outlineLevel="0" collapsed="false">
      <c r="A710" s="46" t="n">
        <v>702</v>
      </c>
      <c r="B710" s="47" t="n">
        <f aca="false">(A710-1)*$C$6</f>
        <v>1.26644274653674</v>
      </c>
      <c r="C710" s="48" t="n">
        <f aca="false">$C$7*B710</f>
        <v>9.73611111111111</v>
      </c>
      <c r="D710" s="49" t="n">
        <f aca="false">0.5*c_rho*'P3 Energie'!E8*'P3 Energie'!E7*(C710-c_Vv)^2+'P3 Energie'!E13+'P3 Energie'!E15+'P3 Energie'!E6*$C$7</f>
        <v>18449.1297156527</v>
      </c>
      <c r="E710" s="50" t="n">
        <f aca="false">D710*C710</f>
        <v>179622.776814896</v>
      </c>
      <c r="F710" s="46" t="n">
        <v>702</v>
      </c>
      <c r="G710" s="47" t="n">
        <f aca="false">(F710-1)*$H$6</f>
        <v>1.26553831090366</v>
      </c>
      <c r="H710" s="48" t="n">
        <f aca="false">$H$7*G710</f>
        <v>9.73611111111111</v>
      </c>
      <c r="I710" s="49" t="n">
        <f aca="false">0.5*c_rho*'P3 Energie'!F8*'P3 Energie'!F7*(H710-c_Vv)^2+'P3 Energie'!F13+'P3 Energie'!F15+'P3 Energie'!F6*$H$7</f>
        <v>19272.0320047688</v>
      </c>
      <c r="J710" s="50" t="n">
        <f aca="false">I710*H710</f>
        <v>187634.644935318</v>
      </c>
    </row>
    <row r="711" customFormat="false" ht="15" hidden="false" customHeight="false" outlineLevel="0" collapsed="false">
      <c r="A711" s="46" t="n">
        <v>703</v>
      </c>
      <c r="B711" s="47" t="n">
        <f aca="false">(A711-1)*$C$6</f>
        <v>1.26824936957032</v>
      </c>
      <c r="C711" s="48" t="n">
        <f aca="false">$C$7*B711</f>
        <v>9.75</v>
      </c>
      <c r="D711" s="49" t="n">
        <f aca="false">0.5*c_rho*'P3 Energie'!E8*'P3 Energie'!E7*(C711-c_Vv)^2+'P3 Energie'!E13+'P3 Energie'!E15+'P3 Energie'!E6*$C$7</f>
        <v>18449.2378199237</v>
      </c>
      <c r="E711" s="50" t="n">
        <f aca="false">D711*C711</f>
        <v>179880.068744256</v>
      </c>
      <c r="F711" s="46" t="n">
        <v>703</v>
      </c>
      <c r="G711" s="47" t="n">
        <f aca="false">(F711-1)*$H$6</f>
        <v>1.26734364372948</v>
      </c>
      <c r="H711" s="48" t="n">
        <f aca="false">$H$7*G711</f>
        <v>9.75</v>
      </c>
      <c r="I711" s="49" t="n">
        <f aca="false">0.5*c_rho*'P3 Energie'!F8*'P3 Energie'!F7*(H711-c_Vv)^2+'P3 Energie'!F13+'P3 Energie'!F15+'P3 Energie'!F6*$H$7</f>
        <v>19272.1259281491</v>
      </c>
      <c r="J711" s="50" t="n">
        <f aca="false">I711*H711</f>
        <v>187903.227799453</v>
      </c>
    </row>
    <row r="712" customFormat="false" ht="15" hidden="false" customHeight="false" outlineLevel="0" collapsed="false">
      <c r="A712" s="46" t="n">
        <v>704</v>
      </c>
      <c r="B712" s="47" t="n">
        <f aca="false">(A712-1)*$C$6</f>
        <v>1.2700559926039</v>
      </c>
      <c r="C712" s="48" t="n">
        <f aca="false">$C$7*B712</f>
        <v>9.76388888888889</v>
      </c>
      <c r="D712" s="49" t="n">
        <f aca="false">0.5*c_rho*'P3 Energie'!E8*'P3 Energie'!E7*(C712-c_Vv)^2+'P3 Energie'!E13+'P3 Energie'!E15+'P3 Energie'!E6*$C$7</f>
        <v>18449.3460782992</v>
      </c>
      <c r="E712" s="50" t="n">
        <f aca="false">D712*C712</f>
        <v>180137.365181171</v>
      </c>
      <c r="F712" s="46" t="n">
        <v>704</v>
      </c>
      <c r="G712" s="47" t="n">
        <f aca="false">(F712-1)*$H$6</f>
        <v>1.26914897655531</v>
      </c>
      <c r="H712" s="48" t="n">
        <f aca="false">$H$7*G712</f>
        <v>9.76388888888889</v>
      </c>
      <c r="I712" s="49" t="n">
        <f aca="false">0.5*c_rho*'P3 Energie'!F8*'P3 Energie'!F7*(H712-c_Vv)^2+'P3 Energie'!F13+'P3 Energie'!F15+'P3 Energie'!F6*$H$7</f>
        <v>19272.2199854188</v>
      </c>
      <c r="J712" s="50" t="n">
        <f aca="false">I712*H712</f>
        <v>188171.814579853</v>
      </c>
    </row>
    <row r="713" customFormat="false" ht="15" hidden="false" customHeight="false" outlineLevel="0" collapsed="false">
      <c r="A713" s="46" t="n">
        <v>705</v>
      </c>
      <c r="B713" s="47" t="n">
        <f aca="false">(A713-1)*$C$6</f>
        <v>1.27186261563747</v>
      </c>
      <c r="C713" s="48" t="n">
        <f aca="false">$C$7*B713</f>
        <v>9.77777777777778</v>
      </c>
      <c r="D713" s="49" t="n">
        <f aca="false">0.5*c_rho*'P3 Energie'!E8*'P3 Energie'!E7*(C713-c_Vv)^2+'P3 Energie'!E13+'P3 Energie'!E15+'P3 Energie'!E6*$C$7</f>
        <v>18449.4544907791</v>
      </c>
      <c r="E713" s="50" t="n">
        <f aca="false">D713*C713</f>
        <v>180394.666132062</v>
      </c>
      <c r="F713" s="46" t="n">
        <v>705</v>
      </c>
      <c r="G713" s="47" t="n">
        <f aca="false">(F713-1)*$H$6</f>
        <v>1.27095430938113</v>
      </c>
      <c r="H713" s="48" t="n">
        <f aca="false">$H$7*G713</f>
        <v>9.77777777777778</v>
      </c>
      <c r="I713" s="49" t="n">
        <f aca="false">0.5*c_rho*'P3 Energie'!F8*'P3 Energie'!F7*(H713-c_Vv)^2+'P3 Energie'!F13+'P3 Energie'!F15+'P3 Energie'!F6*$H$7</f>
        <v>19272.3141765778</v>
      </c>
      <c r="J713" s="50" t="n">
        <f aca="false">I713*H713</f>
        <v>188440.405282094</v>
      </c>
    </row>
    <row r="714" customFormat="false" ht="15" hidden="false" customHeight="false" outlineLevel="0" collapsed="false">
      <c r="A714" s="46" t="n">
        <v>706</v>
      </c>
      <c r="B714" s="47" t="n">
        <f aca="false">(A714-1)*$C$6</f>
        <v>1.27366923867105</v>
      </c>
      <c r="C714" s="48" t="n">
        <f aca="false">$C$7*B714</f>
        <v>9.79166666666667</v>
      </c>
      <c r="D714" s="49" t="n">
        <f aca="false">0.5*c_rho*'P3 Energie'!E8*'P3 Energie'!E7*(C714-c_Vv)^2+'P3 Energie'!E13+'P3 Energie'!E15+'P3 Energie'!E6*$C$7</f>
        <v>18449.5630573635</v>
      </c>
      <c r="E714" s="50" t="n">
        <f aca="false">D714*C714</f>
        <v>180651.971603351</v>
      </c>
      <c r="F714" s="46" t="n">
        <v>706</v>
      </c>
      <c r="G714" s="47" t="n">
        <f aca="false">(F714-1)*$H$6</f>
        <v>1.27275964220696</v>
      </c>
      <c r="H714" s="48" t="n">
        <f aca="false">$H$7*G714</f>
        <v>9.79166666666667</v>
      </c>
      <c r="I714" s="49" t="n">
        <f aca="false">0.5*c_rho*'P3 Energie'!F8*'P3 Energie'!F7*(H714-c_Vv)^2+'P3 Energie'!F13+'P3 Energie'!F15+'P3 Energie'!F6*$H$7</f>
        <v>19272.4085016262</v>
      </c>
      <c r="J714" s="50" t="n">
        <f aca="false">I714*H714</f>
        <v>188708.999911756</v>
      </c>
    </row>
    <row r="715" customFormat="false" ht="15" hidden="false" customHeight="false" outlineLevel="0" collapsed="false">
      <c r="A715" s="46" t="n">
        <v>707</v>
      </c>
      <c r="B715" s="47" t="n">
        <f aca="false">(A715-1)*$C$6</f>
        <v>1.27547586170462</v>
      </c>
      <c r="C715" s="48" t="n">
        <f aca="false">$C$7*B715</f>
        <v>9.80555555555556</v>
      </c>
      <c r="D715" s="49" t="n">
        <f aca="false">0.5*c_rho*'P3 Energie'!E8*'P3 Energie'!E7*(C715-c_Vv)^2+'P3 Energie'!E13+'P3 Energie'!E15+'P3 Energie'!E6*$C$7</f>
        <v>18449.6717780523</v>
      </c>
      <c r="E715" s="50" t="n">
        <f aca="false">D715*C715</f>
        <v>180909.281601457</v>
      </c>
      <c r="F715" s="46" t="n">
        <v>707</v>
      </c>
      <c r="G715" s="47" t="n">
        <f aca="false">(F715-1)*$H$6</f>
        <v>1.27456497503279</v>
      </c>
      <c r="H715" s="48" t="n">
        <f aca="false">$H$7*G715</f>
        <v>9.80555555555556</v>
      </c>
      <c r="I715" s="49" t="n">
        <f aca="false">0.5*c_rho*'P3 Energie'!F8*'P3 Energie'!F7*(H715-c_Vv)^2+'P3 Energie'!F13+'P3 Energie'!F15+'P3 Energie'!F6*$H$7</f>
        <v>19272.5029605639</v>
      </c>
      <c r="J715" s="50" t="n">
        <f aca="false">I715*H715</f>
        <v>188977.598474418</v>
      </c>
    </row>
    <row r="716" customFormat="false" ht="15" hidden="false" customHeight="false" outlineLevel="0" collapsed="false">
      <c r="A716" s="46" t="n">
        <v>708</v>
      </c>
      <c r="B716" s="47" t="n">
        <f aca="false">(A716-1)*$C$6</f>
        <v>1.2772824847382</v>
      </c>
      <c r="C716" s="48" t="n">
        <f aca="false">$C$7*B716</f>
        <v>9.81944444444445</v>
      </c>
      <c r="D716" s="49" t="n">
        <f aca="false">0.5*c_rho*'P3 Energie'!E8*'P3 Energie'!E7*(C716-c_Vv)^2+'P3 Energie'!E13+'P3 Energie'!E15+'P3 Energie'!E6*$C$7</f>
        <v>18449.7806528456</v>
      </c>
      <c r="E716" s="50" t="n">
        <f aca="false">D716*C716</f>
        <v>181166.596132803</v>
      </c>
      <c r="F716" s="46" t="n">
        <v>708</v>
      </c>
      <c r="G716" s="47" t="n">
        <f aca="false">(F716-1)*$H$6</f>
        <v>1.27637030785861</v>
      </c>
      <c r="H716" s="48" t="n">
        <f aca="false">$H$7*G716</f>
        <v>9.81944444444445</v>
      </c>
      <c r="I716" s="49" t="n">
        <f aca="false">0.5*c_rho*'P3 Energie'!F8*'P3 Energie'!F7*(H716-c_Vv)^2+'P3 Energie'!F13+'P3 Energie'!F15+'P3 Energie'!F6*$H$7</f>
        <v>19272.597553391</v>
      </c>
      <c r="J716" s="50" t="n">
        <f aca="false">I716*H716</f>
        <v>189246.200975659</v>
      </c>
    </row>
    <row r="717" customFormat="false" ht="15" hidden="false" customHeight="false" outlineLevel="0" collapsed="false">
      <c r="A717" s="46" t="n">
        <v>709</v>
      </c>
      <c r="B717" s="47" t="n">
        <f aca="false">(A717-1)*$C$6</f>
        <v>1.27908910777178</v>
      </c>
      <c r="C717" s="48" t="n">
        <f aca="false">$C$7*B717</f>
        <v>9.83333333333333</v>
      </c>
      <c r="D717" s="49" t="n">
        <f aca="false">0.5*c_rho*'P3 Energie'!E8*'P3 Energie'!E7*(C717-c_Vv)^2+'P3 Energie'!E13+'P3 Energie'!E15+'P3 Energie'!E6*$C$7</f>
        <v>18449.8896817433</v>
      </c>
      <c r="E717" s="50" t="n">
        <f aca="false">D717*C717</f>
        <v>181423.915203809</v>
      </c>
      <c r="F717" s="46" t="n">
        <v>709</v>
      </c>
      <c r="G717" s="47" t="n">
        <f aca="false">(F717-1)*$H$6</f>
        <v>1.27817564068444</v>
      </c>
      <c r="H717" s="48" t="n">
        <f aca="false">$H$7*G717</f>
        <v>9.83333333333333</v>
      </c>
      <c r="I717" s="49" t="n">
        <f aca="false">0.5*c_rho*'P3 Energie'!F8*'P3 Energie'!F7*(H717-c_Vv)^2+'P3 Energie'!F13+'P3 Energie'!F15+'P3 Energie'!F6*$H$7</f>
        <v>19272.6922801074</v>
      </c>
      <c r="J717" s="50" t="n">
        <f aca="false">I717*H717</f>
        <v>189514.807421056</v>
      </c>
    </row>
    <row r="718" customFormat="false" ht="15" hidden="false" customHeight="false" outlineLevel="0" collapsed="false">
      <c r="A718" s="46" t="n">
        <v>710</v>
      </c>
      <c r="B718" s="47" t="n">
        <f aca="false">(A718-1)*$C$6</f>
        <v>1.28089573080535</v>
      </c>
      <c r="C718" s="48" t="n">
        <f aca="false">$C$7*B718</f>
        <v>9.84722222222222</v>
      </c>
      <c r="D718" s="49" t="n">
        <f aca="false">0.5*c_rho*'P3 Energie'!E8*'P3 Energie'!E7*(C718-c_Vv)^2+'P3 Energie'!E13+'P3 Energie'!E15+'P3 Energie'!E6*$C$7</f>
        <v>18449.9988647455</v>
      </c>
      <c r="E718" s="50" t="n">
        <f aca="false">D718*C718</f>
        <v>181681.238820896</v>
      </c>
      <c r="F718" s="46" t="n">
        <v>710</v>
      </c>
      <c r="G718" s="47" t="n">
        <f aca="false">(F718-1)*$H$6</f>
        <v>1.27998097351026</v>
      </c>
      <c r="H718" s="48" t="n">
        <f aca="false">$H$7*G718</f>
        <v>9.84722222222222</v>
      </c>
      <c r="I718" s="49" t="n">
        <f aca="false">0.5*c_rho*'P3 Energie'!F8*'P3 Energie'!F7*(H718-c_Vv)^2+'P3 Energie'!F13+'P3 Energie'!F15+'P3 Energie'!F6*$H$7</f>
        <v>19272.7871407132</v>
      </c>
      <c r="J718" s="50" t="n">
        <f aca="false">I718*H718</f>
        <v>189783.41781619</v>
      </c>
    </row>
    <row r="719" customFormat="false" ht="15" hidden="false" customHeight="false" outlineLevel="0" collapsed="false">
      <c r="A719" s="46" t="n">
        <v>711</v>
      </c>
      <c r="B719" s="47" t="n">
        <f aca="false">(A719-1)*$C$6</f>
        <v>1.28270235383893</v>
      </c>
      <c r="C719" s="48" t="n">
        <f aca="false">$C$7*B719</f>
        <v>9.86111111111111</v>
      </c>
      <c r="D719" s="49" t="n">
        <f aca="false">0.5*c_rho*'P3 Energie'!E8*'P3 Energie'!E7*(C719-c_Vv)^2+'P3 Energie'!E13+'P3 Energie'!E15+'P3 Energie'!E6*$C$7</f>
        <v>18450.1082018521</v>
      </c>
      <c r="E719" s="50" t="n">
        <f aca="false">D719*C719</f>
        <v>181938.566990486</v>
      </c>
      <c r="F719" s="46" t="n">
        <v>711</v>
      </c>
      <c r="G719" s="47" t="n">
        <f aca="false">(F719-1)*$H$6</f>
        <v>1.28178630633609</v>
      </c>
      <c r="H719" s="48" t="n">
        <f aca="false">$H$7*G719</f>
        <v>9.86111111111111</v>
      </c>
      <c r="I719" s="49" t="n">
        <f aca="false">0.5*c_rho*'P3 Energie'!F8*'P3 Energie'!F7*(H719-c_Vv)^2+'P3 Energie'!F13+'P3 Energie'!F15+'P3 Energie'!F6*$H$7</f>
        <v>19272.8821352083</v>
      </c>
      <c r="J719" s="50" t="n">
        <f aca="false">I719*H719</f>
        <v>190052.032166638</v>
      </c>
    </row>
    <row r="720" customFormat="false" ht="15" hidden="false" customHeight="false" outlineLevel="0" collapsed="false">
      <c r="A720" s="46" t="n">
        <v>712</v>
      </c>
      <c r="B720" s="47" t="n">
        <f aca="false">(A720-1)*$C$6</f>
        <v>1.2845089768725</v>
      </c>
      <c r="C720" s="48" t="n">
        <f aca="false">$C$7*B720</f>
        <v>9.875</v>
      </c>
      <c r="D720" s="49" t="n">
        <f aca="false">0.5*c_rho*'P3 Energie'!E8*'P3 Energie'!E7*(C720-c_Vv)^2+'P3 Energie'!E13+'P3 Energie'!E15+'P3 Energie'!E6*$C$7</f>
        <v>18450.2176930632</v>
      </c>
      <c r="E720" s="50" t="n">
        <f aca="false">D720*C720</f>
        <v>182195.899718999</v>
      </c>
      <c r="F720" s="46" t="n">
        <v>712</v>
      </c>
      <c r="G720" s="47" t="n">
        <f aca="false">(F720-1)*$H$6</f>
        <v>1.28359163916191</v>
      </c>
      <c r="H720" s="48" t="n">
        <f aca="false">$H$7*G720</f>
        <v>9.875</v>
      </c>
      <c r="I720" s="49" t="n">
        <f aca="false">0.5*c_rho*'P3 Energie'!F8*'P3 Energie'!F7*(H720-c_Vv)^2+'P3 Energie'!F13+'P3 Energie'!F15+'P3 Energie'!F6*$H$7</f>
        <v>19272.9772635928</v>
      </c>
      <c r="J720" s="50" t="n">
        <f aca="false">I720*H720</f>
        <v>190320.650477979</v>
      </c>
    </row>
    <row r="721" customFormat="false" ht="15" hidden="false" customHeight="false" outlineLevel="0" collapsed="false">
      <c r="A721" s="46" t="n">
        <v>713</v>
      </c>
      <c r="B721" s="47" t="n">
        <f aca="false">(A721-1)*$C$6</f>
        <v>1.28631559990608</v>
      </c>
      <c r="C721" s="48" t="n">
        <f aca="false">$C$7*B721</f>
        <v>9.88888888888889</v>
      </c>
      <c r="D721" s="49" t="n">
        <f aca="false">0.5*c_rho*'P3 Energie'!E8*'P3 Energie'!E7*(C721-c_Vv)^2+'P3 Energie'!E13+'P3 Energie'!E15+'P3 Energie'!E6*$C$7</f>
        <v>18450.3273383787</v>
      </c>
      <c r="E721" s="50" t="n">
        <f aca="false">D721*C721</f>
        <v>182453.237012856</v>
      </c>
      <c r="F721" s="46" t="n">
        <v>713</v>
      </c>
      <c r="G721" s="47" t="n">
        <f aca="false">(F721-1)*$H$6</f>
        <v>1.28539697198774</v>
      </c>
      <c r="H721" s="48" t="n">
        <f aca="false">$H$7*G721</f>
        <v>9.88888888888889</v>
      </c>
      <c r="I721" s="49" t="n">
        <f aca="false">0.5*c_rho*'P3 Energie'!F8*'P3 Energie'!F7*(H721-c_Vv)^2+'P3 Energie'!F13+'P3 Energie'!F15+'P3 Energie'!F6*$H$7</f>
        <v>19273.0725258667</v>
      </c>
      <c r="J721" s="50" t="n">
        <f aca="false">I721*H721</f>
        <v>190589.272755793</v>
      </c>
    </row>
    <row r="722" customFormat="false" ht="15" hidden="false" customHeight="false" outlineLevel="0" collapsed="false">
      <c r="A722" s="46" t="n">
        <v>714</v>
      </c>
      <c r="B722" s="47" t="n">
        <f aca="false">(A722-1)*$C$6</f>
        <v>1.28812222293965</v>
      </c>
      <c r="C722" s="48" t="n">
        <f aca="false">$C$7*B722</f>
        <v>9.90277777777778</v>
      </c>
      <c r="D722" s="49" t="n">
        <f aca="false">0.5*c_rho*'P3 Energie'!E8*'P3 Energie'!E7*(C722-c_Vv)^2+'P3 Energie'!E13+'P3 Energie'!E15+'P3 Energie'!E6*$C$7</f>
        <v>18450.4371377986</v>
      </c>
      <c r="E722" s="50" t="n">
        <f aca="false">D722*C722</f>
        <v>182710.578878478</v>
      </c>
      <c r="F722" s="46" t="n">
        <v>714</v>
      </c>
      <c r="G722" s="47" t="n">
        <f aca="false">(F722-1)*$H$6</f>
        <v>1.28720230481356</v>
      </c>
      <c r="H722" s="48" t="n">
        <f aca="false">$H$7*G722</f>
        <v>9.90277777777778</v>
      </c>
      <c r="I722" s="49" t="n">
        <f aca="false">0.5*c_rho*'P3 Energie'!F8*'P3 Energie'!F7*(H722-c_Vv)^2+'P3 Energie'!F13+'P3 Energie'!F15+'P3 Energie'!F6*$H$7</f>
        <v>19273.1679220299</v>
      </c>
      <c r="J722" s="50" t="n">
        <f aca="false">I722*H722</f>
        <v>190857.899005657</v>
      </c>
    </row>
    <row r="723" customFormat="false" ht="15" hidden="false" customHeight="false" outlineLevel="0" collapsed="false">
      <c r="A723" s="46" t="n">
        <v>715</v>
      </c>
      <c r="B723" s="47" t="n">
        <f aca="false">(A723-1)*$C$6</f>
        <v>1.28992884597323</v>
      </c>
      <c r="C723" s="48" t="n">
        <f aca="false">$C$7*B723</f>
        <v>9.91666666666667</v>
      </c>
      <c r="D723" s="49" t="n">
        <f aca="false">0.5*c_rho*'P3 Energie'!E8*'P3 Energie'!E7*(C723-c_Vv)^2+'P3 Energie'!E13+'P3 Energie'!E15+'P3 Energie'!E6*$C$7</f>
        <v>18450.5470913231</v>
      </c>
      <c r="E723" s="50" t="n">
        <f aca="false">D723*C723</f>
        <v>182967.925322287</v>
      </c>
      <c r="F723" s="46" t="n">
        <v>715</v>
      </c>
      <c r="G723" s="47" t="n">
        <f aca="false">(F723-1)*$H$6</f>
        <v>1.28900763763939</v>
      </c>
      <c r="H723" s="48" t="n">
        <f aca="false">$H$7*G723</f>
        <v>9.91666666666667</v>
      </c>
      <c r="I723" s="49" t="n">
        <f aca="false">0.5*c_rho*'P3 Energie'!F8*'P3 Energie'!F7*(H723-c_Vv)^2+'P3 Energie'!F13+'P3 Energie'!F15+'P3 Energie'!F6*$H$7</f>
        <v>19273.2634520824</v>
      </c>
      <c r="J723" s="50" t="n">
        <f aca="false">I723*H723</f>
        <v>191126.529233151</v>
      </c>
    </row>
    <row r="724" customFormat="false" ht="15" hidden="false" customHeight="false" outlineLevel="0" collapsed="false">
      <c r="A724" s="46" t="n">
        <v>716</v>
      </c>
      <c r="B724" s="47" t="n">
        <f aca="false">(A724-1)*$C$6</f>
        <v>1.29173546900681</v>
      </c>
      <c r="C724" s="48" t="n">
        <f aca="false">$C$7*B724</f>
        <v>9.93055555555556</v>
      </c>
      <c r="D724" s="49" t="n">
        <f aca="false">0.5*c_rho*'P3 Energie'!E8*'P3 Energie'!E7*(C724-c_Vv)^2+'P3 Energie'!E13+'P3 Energie'!E15+'P3 Energie'!E6*$C$7</f>
        <v>18450.6571989519</v>
      </c>
      <c r="E724" s="50" t="n">
        <f aca="false">D724*C724</f>
        <v>183225.276350703</v>
      </c>
      <c r="F724" s="46" t="n">
        <v>716</v>
      </c>
      <c r="G724" s="47" t="n">
        <f aca="false">(F724-1)*$H$6</f>
        <v>1.29081297046522</v>
      </c>
      <c r="H724" s="48" t="n">
        <f aca="false">$H$7*G724</f>
        <v>9.93055555555556</v>
      </c>
      <c r="I724" s="49" t="n">
        <f aca="false">0.5*c_rho*'P3 Energie'!F8*'P3 Energie'!F7*(H724-c_Vv)^2+'P3 Energie'!F13+'P3 Energie'!F15+'P3 Energie'!F6*$H$7</f>
        <v>19273.3591160243</v>
      </c>
      <c r="J724" s="50" t="n">
        <f aca="false">I724*H724</f>
        <v>191395.163443853</v>
      </c>
    </row>
    <row r="725" customFormat="false" ht="15" hidden="false" customHeight="false" outlineLevel="0" collapsed="false">
      <c r="A725" s="46" t="n">
        <v>717</v>
      </c>
      <c r="B725" s="47" t="n">
        <f aca="false">(A725-1)*$C$6</f>
        <v>1.29354209204038</v>
      </c>
      <c r="C725" s="48" t="n">
        <f aca="false">$C$7*B725</f>
        <v>9.94444444444445</v>
      </c>
      <c r="D725" s="49" t="n">
        <f aca="false">0.5*c_rho*'P3 Energie'!E8*'P3 Energie'!E7*(C725-c_Vv)^2+'P3 Energie'!E13+'P3 Energie'!E15+'P3 Energie'!E6*$C$7</f>
        <v>18450.7674606852</v>
      </c>
      <c r="E725" s="50" t="n">
        <f aca="false">D725*C725</f>
        <v>183482.631970148</v>
      </c>
      <c r="F725" s="46" t="n">
        <v>717</v>
      </c>
      <c r="G725" s="47" t="n">
        <f aca="false">(F725-1)*$H$6</f>
        <v>1.29261830329104</v>
      </c>
      <c r="H725" s="48" t="n">
        <f aca="false">$H$7*G725</f>
        <v>9.94444444444445</v>
      </c>
      <c r="I725" s="49" t="n">
        <f aca="false">0.5*c_rho*'P3 Energie'!F8*'P3 Energie'!F7*(H725-c_Vv)^2+'P3 Energie'!F13+'P3 Energie'!F15+'P3 Energie'!F6*$H$7</f>
        <v>19273.4549138556</v>
      </c>
      <c r="J725" s="50" t="n">
        <f aca="false">I725*H725</f>
        <v>191663.801643341</v>
      </c>
    </row>
    <row r="726" customFormat="false" ht="15" hidden="false" customHeight="false" outlineLevel="0" collapsed="false">
      <c r="A726" s="46" t="n">
        <v>718</v>
      </c>
      <c r="B726" s="47" t="n">
        <f aca="false">(A726-1)*$C$6</f>
        <v>1.29534871507396</v>
      </c>
      <c r="C726" s="48" t="n">
        <f aca="false">$C$7*B726</f>
        <v>9.95833333333333</v>
      </c>
      <c r="D726" s="49" t="n">
        <f aca="false">0.5*c_rho*'P3 Energie'!E8*'P3 Energie'!E7*(C726-c_Vv)^2+'P3 Energie'!E13+'P3 Energie'!E15+'P3 Energie'!E6*$C$7</f>
        <v>18450.877876523</v>
      </c>
      <c r="E726" s="50" t="n">
        <f aca="false">D726*C726</f>
        <v>183739.992187041</v>
      </c>
      <c r="F726" s="46" t="n">
        <v>718</v>
      </c>
      <c r="G726" s="47" t="n">
        <f aca="false">(F726-1)*$H$6</f>
        <v>1.29442363611687</v>
      </c>
      <c r="H726" s="48" t="n">
        <f aca="false">$H$7*G726</f>
        <v>9.95833333333333</v>
      </c>
      <c r="I726" s="49" t="n">
        <f aca="false">0.5*c_rho*'P3 Energie'!F8*'P3 Energie'!F7*(H726-c_Vv)^2+'P3 Energie'!F13+'P3 Energie'!F15+'P3 Energie'!F6*$H$7</f>
        <v>19273.5508455762</v>
      </c>
      <c r="J726" s="50" t="n">
        <f aca="false">I726*H726</f>
        <v>191932.443837196</v>
      </c>
    </row>
    <row r="727" customFormat="false" ht="15" hidden="false" customHeight="false" outlineLevel="0" collapsed="false">
      <c r="A727" s="46" t="n">
        <v>719</v>
      </c>
      <c r="B727" s="47" t="n">
        <f aca="false">(A727-1)*$C$6</f>
        <v>1.29715533810753</v>
      </c>
      <c r="C727" s="48" t="n">
        <f aca="false">$C$7*B727</f>
        <v>9.97222222222222</v>
      </c>
      <c r="D727" s="49" t="n">
        <f aca="false">0.5*c_rho*'P3 Energie'!E8*'P3 Energie'!E7*(C727-c_Vv)^2+'P3 Energie'!E13+'P3 Energie'!E15+'P3 Energie'!E6*$C$7</f>
        <v>18450.9884464652</v>
      </c>
      <c r="E727" s="50" t="n">
        <f aca="false">D727*C727</f>
        <v>183997.357007806</v>
      </c>
      <c r="F727" s="46" t="n">
        <v>719</v>
      </c>
      <c r="G727" s="47" t="n">
        <f aca="false">(F727-1)*$H$6</f>
        <v>1.29622896894269</v>
      </c>
      <c r="H727" s="48" t="n">
        <f aca="false">$H$7*G727</f>
        <v>9.97222222222222</v>
      </c>
      <c r="I727" s="49" t="n">
        <f aca="false">0.5*c_rho*'P3 Energie'!F8*'P3 Energie'!F7*(H727-c_Vv)^2+'P3 Energie'!F13+'P3 Energie'!F15+'P3 Energie'!F6*$H$7</f>
        <v>19273.6469111861</v>
      </c>
      <c r="J727" s="50" t="n">
        <f aca="false">I727*H727</f>
        <v>192201.090030995</v>
      </c>
    </row>
    <row r="728" customFormat="false" ht="15" hidden="false" customHeight="false" outlineLevel="0" collapsed="false">
      <c r="A728" s="46" t="n">
        <v>720</v>
      </c>
      <c r="B728" s="47" t="n">
        <f aca="false">(A728-1)*$C$6</f>
        <v>1.29896196114111</v>
      </c>
      <c r="C728" s="48" t="n">
        <f aca="false">$C$7*B728</f>
        <v>9.98611111111111</v>
      </c>
      <c r="D728" s="49" t="n">
        <f aca="false">0.5*c_rho*'P3 Energie'!E8*'P3 Energie'!E7*(C728-c_Vv)^2+'P3 Energie'!E13+'P3 Energie'!E15+'P3 Energie'!E6*$C$7</f>
        <v>18451.0991705119</v>
      </c>
      <c r="E728" s="50" t="n">
        <f aca="false">D728*C728</f>
        <v>184254.726438861</v>
      </c>
      <c r="F728" s="46" t="n">
        <v>720</v>
      </c>
      <c r="G728" s="47" t="n">
        <f aca="false">(F728-1)*$H$6</f>
        <v>1.29803430176852</v>
      </c>
      <c r="H728" s="48" t="n">
        <f aca="false">$H$7*G728</f>
        <v>9.98611111111111</v>
      </c>
      <c r="I728" s="49" t="n">
        <f aca="false">0.5*c_rho*'P3 Energie'!F8*'P3 Energie'!F7*(H728-c_Vv)^2+'P3 Energie'!F13+'P3 Energie'!F15+'P3 Energie'!F6*$H$7</f>
        <v>19273.7431106854</v>
      </c>
      <c r="J728" s="50" t="n">
        <f aca="false">I728*H728</f>
        <v>192469.740230317</v>
      </c>
    </row>
    <row r="729" customFormat="false" ht="15" hidden="false" customHeight="false" outlineLevel="0" collapsed="false">
      <c r="A729" s="46" t="n">
        <v>721</v>
      </c>
      <c r="B729" s="47" t="n">
        <f aca="false">(A729-1)*$C$6</f>
        <v>1.30076858417469</v>
      </c>
      <c r="C729" s="48" t="n">
        <f aca="false">$C$7*B729</f>
        <v>10</v>
      </c>
      <c r="D729" s="49" t="n">
        <f aca="false">0.5*c_rho*'P3 Energie'!E8*'P3 Energie'!E7*(C729-c_Vv)^2+'P3 Energie'!E13+'P3 Energie'!E15+'P3 Energie'!E6*$C$7</f>
        <v>18451.210048663</v>
      </c>
      <c r="E729" s="50" t="n">
        <f aca="false">D729*C729</f>
        <v>184512.10048663</v>
      </c>
      <c r="F729" s="46" t="n">
        <v>721</v>
      </c>
      <c r="G729" s="47" t="n">
        <f aca="false">(F729-1)*$H$6</f>
        <v>1.29983963459434</v>
      </c>
      <c r="H729" s="48" t="n">
        <f aca="false">$H$7*G729</f>
        <v>10</v>
      </c>
      <c r="I729" s="49" t="n">
        <f aca="false">0.5*c_rho*'P3 Energie'!F8*'P3 Energie'!F7*(H729-c_Vv)^2+'P3 Energie'!F13+'P3 Energie'!F15+'P3 Energie'!F6*$H$7</f>
        <v>19273.8394440741</v>
      </c>
      <c r="J729" s="50" t="n">
        <f aca="false">I729*H729</f>
        <v>192738.394440741</v>
      </c>
    </row>
    <row r="730" customFormat="false" ht="15" hidden="false" customHeight="false" outlineLevel="0" collapsed="false">
      <c r="A730" s="46" t="n">
        <v>722</v>
      </c>
      <c r="B730" s="47" t="n">
        <f aca="false">(A730-1)*$C$6</f>
        <v>1.30257520720826</v>
      </c>
      <c r="C730" s="48" t="n">
        <f aca="false">$C$7*B730</f>
        <v>10.0138888888889</v>
      </c>
      <c r="D730" s="49" t="n">
        <f aca="false">0.5*c_rho*'P3 Energie'!E8*'P3 Energie'!E7*(C730-c_Vv)^2+'P3 Energie'!E13+'P3 Energie'!E15+'P3 Energie'!E6*$C$7</f>
        <v>18451.3210809185</v>
      </c>
      <c r="E730" s="50" t="n">
        <f aca="false">D730*C730</f>
        <v>184769.479157531</v>
      </c>
      <c r="F730" s="46" t="n">
        <v>722</v>
      </c>
      <c r="G730" s="47" t="n">
        <f aca="false">(F730-1)*$H$6</f>
        <v>1.30164496742017</v>
      </c>
      <c r="H730" s="48" t="n">
        <f aca="false">$H$7*G730</f>
        <v>10.0138888888889</v>
      </c>
      <c r="I730" s="49" t="n">
        <f aca="false">0.5*c_rho*'P3 Energie'!F8*'P3 Energie'!F7*(H730-c_Vv)^2+'P3 Energie'!F13+'P3 Energie'!F15+'P3 Energie'!F6*$H$7</f>
        <v>19273.9359113521</v>
      </c>
      <c r="J730" s="50" t="n">
        <f aca="false">I730*H730</f>
        <v>193007.052667845</v>
      </c>
    </row>
    <row r="731" customFormat="false" ht="15" hidden="false" customHeight="false" outlineLevel="0" collapsed="false">
      <c r="A731" s="46" t="n">
        <v>723</v>
      </c>
      <c r="B731" s="47" t="n">
        <f aca="false">(A731-1)*$C$6</f>
        <v>1.30438183024184</v>
      </c>
      <c r="C731" s="48" t="n">
        <f aca="false">$C$7*B731</f>
        <v>10.0277777777778</v>
      </c>
      <c r="D731" s="49" t="n">
        <f aca="false">0.5*c_rho*'P3 Energie'!E8*'P3 Energie'!E7*(C731-c_Vv)^2+'P3 Energie'!E13+'P3 Energie'!E15+'P3 Energie'!E6*$C$7</f>
        <v>18451.4322672785</v>
      </c>
      <c r="E731" s="50" t="n">
        <f aca="false">D731*C731</f>
        <v>185026.862457987</v>
      </c>
      <c r="F731" s="46" t="n">
        <v>723</v>
      </c>
      <c r="G731" s="47" t="n">
        <f aca="false">(F731-1)*$H$6</f>
        <v>1.30345030024599</v>
      </c>
      <c r="H731" s="48" t="n">
        <f aca="false">$H$7*G731</f>
        <v>10.0277777777778</v>
      </c>
      <c r="I731" s="49" t="n">
        <f aca="false">0.5*c_rho*'P3 Energie'!F8*'P3 Energie'!F7*(H731-c_Vv)^2+'P3 Energie'!F13+'P3 Energie'!F15+'P3 Energie'!F6*$H$7</f>
        <v>19274.0325125194</v>
      </c>
      <c r="J731" s="50" t="n">
        <f aca="false">I731*H731</f>
        <v>193275.714917209</v>
      </c>
    </row>
    <row r="732" customFormat="false" ht="15" hidden="false" customHeight="false" outlineLevel="0" collapsed="false">
      <c r="A732" s="46" t="n">
        <v>724</v>
      </c>
      <c r="B732" s="47" t="n">
        <f aca="false">(A732-1)*$C$6</f>
        <v>1.30618845327541</v>
      </c>
      <c r="C732" s="48" t="n">
        <f aca="false">$C$7*B732</f>
        <v>10.0416666666667</v>
      </c>
      <c r="D732" s="49" t="n">
        <f aca="false">0.5*c_rho*'P3 Energie'!E8*'P3 Energie'!E7*(C732-c_Vv)^2+'P3 Energie'!E13+'P3 Energie'!E15+'P3 Energie'!E6*$C$7</f>
        <v>18451.543607743</v>
      </c>
      <c r="E732" s="50" t="n">
        <f aca="false">D732*C732</f>
        <v>185284.250394419</v>
      </c>
      <c r="F732" s="46" t="n">
        <v>724</v>
      </c>
      <c r="G732" s="47" t="n">
        <f aca="false">(F732-1)*$H$6</f>
        <v>1.30525563307182</v>
      </c>
      <c r="H732" s="48" t="n">
        <f aca="false">$H$7*G732</f>
        <v>10.0416666666667</v>
      </c>
      <c r="I732" s="49" t="n">
        <f aca="false">0.5*c_rho*'P3 Energie'!F8*'P3 Energie'!F7*(H732-c_Vv)^2+'P3 Energie'!F13+'P3 Energie'!F15+'P3 Energie'!F6*$H$7</f>
        <v>19274.1292475762</v>
      </c>
      <c r="J732" s="50" t="n">
        <f aca="false">I732*H732</f>
        <v>193544.381194411</v>
      </c>
    </row>
    <row r="733" customFormat="false" ht="15" hidden="false" customHeight="false" outlineLevel="0" collapsed="false">
      <c r="A733" s="46" t="n">
        <v>725</v>
      </c>
      <c r="B733" s="47" t="n">
        <f aca="false">(A733-1)*$C$6</f>
        <v>1.30799507630899</v>
      </c>
      <c r="C733" s="48" t="n">
        <f aca="false">$C$7*B733</f>
        <v>10.0555555555556</v>
      </c>
      <c r="D733" s="49" t="n">
        <f aca="false">0.5*c_rho*'P3 Energie'!E8*'P3 Energie'!E7*(C733-c_Vv)^2+'P3 Energie'!E13+'P3 Energie'!E15+'P3 Energie'!E6*$C$7</f>
        <v>18451.6551023119</v>
      </c>
      <c r="E733" s="50" t="n">
        <f aca="false">D733*C733</f>
        <v>185541.642973247</v>
      </c>
      <c r="F733" s="46" t="n">
        <v>725</v>
      </c>
      <c r="G733" s="47" t="n">
        <f aca="false">(F733-1)*$H$6</f>
        <v>1.30706096589764</v>
      </c>
      <c r="H733" s="48" t="n">
        <f aca="false">$H$7*G733</f>
        <v>10.0555555555556</v>
      </c>
      <c r="I733" s="49" t="n">
        <f aca="false">0.5*c_rho*'P3 Energie'!F8*'P3 Energie'!F7*(H733-c_Vv)^2+'P3 Energie'!F13+'P3 Energie'!F15+'P3 Energie'!F6*$H$7</f>
        <v>19274.2261165222</v>
      </c>
      <c r="J733" s="50" t="n">
        <f aca="false">I733*H733</f>
        <v>193813.051505029</v>
      </c>
    </row>
    <row r="734" customFormat="false" ht="15" hidden="false" customHeight="false" outlineLevel="0" collapsed="false">
      <c r="A734" s="46" t="n">
        <v>726</v>
      </c>
      <c r="B734" s="47" t="n">
        <f aca="false">(A734-1)*$C$6</f>
        <v>1.30980169934257</v>
      </c>
      <c r="C734" s="48" t="n">
        <f aca="false">$C$7*B734</f>
        <v>10.0694444444444</v>
      </c>
      <c r="D734" s="49" t="n">
        <f aca="false">0.5*c_rho*'P3 Energie'!E8*'P3 Energie'!E7*(C734-c_Vv)^2+'P3 Energie'!E13+'P3 Energie'!E15+'P3 Energie'!E6*$C$7</f>
        <v>18451.7667509852</v>
      </c>
      <c r="E734" s="50" t="n">
        <f aca="false">D734*C734</f>
        <v>185799.040200893</v>
      </c>
      <c r="F734" s="46" t="n">
        <v>726</v>
      </c>
      <c r="G734" s="47" t="n">
        <f aca="false">(F734-1)*$H$6</f>
        <v>1.30886629872347</v>
      </c>
      <c r="H734" s="48" t="n">
        <f aca="false">$H$7*G734</f>
        <v>10.0694444444444</v>
      </c>
      <c r="I734" s="49" t="n">
        <f aca="false">0.5*c_rho*'P3 Energie'!F8*'P3 Energie'!F7*(H734-c_Vv)^2+'P3 Energie'!F13+'P3 Energie'!F15+'P3 Energie'!F6*$H$7</f>
        <v>19274.3231193576</v>
      </c>
      <c r="J734" s="50" t="n">
        <f aca="false">I734*H734</f>
        <v>194081.725854643</v>
      </c>
    </row>
    <row r="735" customFormat="false" ht="15" hidden="false" customHeight="false" outlineLevel="0" collapsed="false">
      <c r="A735" s="46" t="n">
        <v>727</v>
      </c>
      <c r="B735" s="47" t="n">
        <f aca="false">(A735-1)*$C$6</f>
        <v>1.31160832237614</v>
      </c>
      <c r="C735" s="48" t="n">
        <f aca="false">$C$7*B735</f>
        <v>10.0833333333333</v>
      </c>
      <c r="D735" s="49" t="n">
        <f aca="false">0.5*c_rho*'P3 Energie'!E8*'P3 Energie'!E7*(C735-c_Vv)^2+'P3 Energie'!E13+'P3 Energie'!E15+'P3 Energie'!E6*$C$7</f>
        <v>18451.8785537631</v>
      </c>
      <c r="E735" s="50" t="n">
        <f aca="false">D735*C735</f>
        <v>186056.442083777</v>
      </c>
      <c r="F735" s="46" t="n">
        <v>727</v>
      </c>
      <c r="G735" s="47" t="n">
        <f aca="false">(F735-1)*$H$6</f>
        <v>1.3106716315493</v>
      </c>
      <c r="H735" s="48" t="n">
        <f aca="false">$H$7*G735</f>
        <v>10.0833333333333</v>
      </c>
      <c r="I735" s="49" t="n">
        <f aca="false">0.5*c_rho*'P3 Energie'!F8*'P3 Energie'!F7*(H735-c_Vv)^2+'P3 Energie'!F13+'P3 Energie'!F15+'P3 Energie'!F6*$H$7</f>
        <v>19274.4202560824</v>
      </c>
      <c r="J735" s="50" t="n">
        <f aca="false">I735*H735</f>
        <v>194350.404248831</v>
      </c>
    </row>
    <row r="736" customFormat="false" ht="15" hidden="false" customHeight="false" outlineLevel="0" collapsed="false">
      <c r="A736" s="46" t="n">
        <v>728</v>
      </c>
      <c r="B736" s="47" t="n">
        <f aca="false">(A736-1)*$C$6</f>
        <v>1.31341494540972</v>
      </c>
      <c r="C736" s="48" t="n">
        <f aca="false">$C$7*B736</f>
        <v>10.0972222222222</v>
      </c>
      <c r="D736" s="49" t="n">
        <f aca="false">0.5*c_rho*'P3 Energie'!E8*'P3 Energie'!E7*(C736-c_Vv)^2+'P3 Energie'!E13+'P3 Energie'!E15+'P3 Energie'!E6*$C$7</f>
        <v>18451.9905106453</v>
      </c>
      <c r="E736" s="50" t="n">
        <f aca="false">D736*C736</f>
        <v>186313.848628321</v>
      </c>
      <c r="F736" s="46" t="n">
        <v>728</v>
      </c>
      <c r="G736" s="47" t="n">
        <f aca="false">(F736-1)*$H$6</f>
        <v>1.31247696437512</v>
      </c>
      <c r="H736" s="48" t="n">
        <f aca="false">$H$7*G736</f>
        <v>10.0972222222222</v>
      </c>
      <c r="I736" s="49" t="n">
        <f aca="false">0.5*c_rho*'P3 Energie'!F8*'P3 Energie'!F7*(H736-c_Vv)^2+'P3 Energie'!F13+'P3 Energie'!F15+'P3 Energie'!F6*$H$7</f>
        <v>19274.5175266965</v>
      </c>
      <c r="J736" s="50" t="n">
        <f aca="false">I736*H736</f>
        <v>194619.086693172</v>
      </c>
    </row>
    <row r="737" customFormat="false" ht="15" hidden="false" customHeight="false" outlineLevel="0" collapsed="false">
      <c r="A737" s="46" t="n">
        <v>729</v>
      </c>
      <c r="B737" s="47" t="n">
        <f aca="false">(A737-1)*$C$6</f>
        <v>1.31522156844329</v>
      </c>
      <c r="C737" s="48" t="n">
        <f aca="false">$C$7*B737</f>
        <v>10.1111111111111</v>
      </c>
      <c r="D737" s="49" t="n">
        <f aca="false">0.5*c_rho*'P3 Energie'!E8*'P3 Energie'!E7*(C737-c_Vv)^2+'P3 Energie'!E13+'P3 Energie'!E15+'P3 Energie'!E6*$C$7</f>
        <v>18452.102621632</v>
      </c>
      <c r="E737" s="50" t="n">
        <f aca="false">D737*C737</f>
        <v>186571.259840946</v>
      </c>
      <c r="F737" s="46" t="n">
        <v>729</v>
      </c>
      <c r="G737" s="47" t="n">
        <f aca="false">(F737-1)*$H$6</f>
        <v>1.31428229720095</v>
      </c>
      <c r="H737" s="48" t="n">
        <f aca="false">$H$7*G737</f>
        <v>10.1111111111111</v>
      </c>
      <c r="I737" s="49" t="n">
        <f aca="false">0.5*c_rho*'P3 Energie'!F8*'P3 Energie'!F7*(H737-c_Vv)^2+'P3 Energie'!F13+'P3 Energie'!F15+'P3 Energie'!F6*$H$7</f>
        <v>19274.6149312</v>
      </c>
      <c r="J737" s="50" t="n">
        <f aca="false">I737*H737</f>
        <v>194887.773193244</v>
      </c>
    </row>
    <row r="738" customFormat="false" ht="15" hidden="false" customHeight="false" outlineLevel="0" collapsed="false">
      <c r="A738" s="46" t="n">
        <v>730</v>
      </c>
      <c r="B738" s="47" t="n">
        <f aca="false">(A738-1)*$C$6</f>
        <v>1.31702819147687</v>
      </c>
      <c r="C738" s="48" t="n">
        <f aca="false">$C$7*B738</f>
        <v>10.125</v>
      </c>
      <c r="D738" s="49" t="n">
        <f aca="false">0.5*c_rho*'P3 Energie'!E8*'P3 Energie'!E7*(C738-c_Vv)^2+'P3 Energie'!E13+'P3 Energie'!E15+'P3 Energie'!E6*$C$7</f>
        <v>18452.2148867232</v>
      </c>
      <c r="E738" s="50" t="n">
        <f aca="false">D738*C738</f>
        <v>186828.675728072</v>
      </c>
      <c r="F738" s="46" t="n">
        <v>730</v>
      </c>
      <c r="G738" s="47" t="n">
        <f aca="false">(F738-1)*$H$6</f>
        <v>1.31608763002677</v>
      </c>
      <c r="H738" s="48" t="n">
        <f aca="false">$H$7*G738</f>
        <v>10.125</v>
      </c>
      <c r="I738" s="49" t="n">
        <f aca="false">0.5*c_rho*'P3 Energie'!F8*'P3 Energie'!F7*(H738-c_Vv)^2+'P3 Energie'!F13+'P3 Energie'!F15+'P3 Energie'!F6*$H$7</f>
        <v>19274.7124695928</v>
      </c>
      <c r="J738" s="50" t="n">
        <f aca="false">I738*H738</f>
        <v>195156.463754627</v>
      </c>
    </row>
    <row r="739" customFormat="false" ht="15" hidden="false" customHeight="false" outlineLevel="0" collapsed="false">
      <c r="A739" s="46" t="n">
        <v>731</v>
      </c>
      <c r="B739" s="47" t="n">
        <f aca="false">(A739-1)*$C$6</f>
        <v>1.31883481451045</v>
      </c>
      <c r="C739" s="48" t="n">
        <f aca="false">$C$7*B739</f>
        <v>10.1388888888889</v>
      </c>
      <c r="D739" s="49" t="n">
        <f aca="false">0.5*c_rho*'P3 Energie'!E8*'P3 Energie'!E7*(C739-c_Vv)^2+'P3 Energie'!E13+'P3 Energie'!E15+'P3 Energie'!E6*$C$7</f>
        <v>18452.3273059188</v>
      </c>
      <c r="E739" s="50" t="n">
        <f aca="false">D739*C739</f>
        <v>187086.096296121</v>
      </c>
      <c r="F739" s="46" t="n">
        <v>731</v>
      </c>
      <c r="G739" s="47" t="n">
        <f aca="false">(F739-1)*$H$6</f>
        <v>1.3178929628526</v>
      </c>
      <c r="H739" s="48" t="n">
        <f aca="false">$H$7*G739</f>
        <v>10.1388888888889</v>
      </c>
      <c r="I739" s="49" t="n">
        <f aca="false">0.5*c_rho*'P3 Energie'!F8*'P3 Energie'!F7*(H739-c_Vv)^2+'P3 Energie'!F13+'P3 Energie'!F15+'P3 Energie'!F6*$H$7</f>
        <v>19274.810141875</v>
      </c>
      <c r="J739" s="50" t="n">
        <f aca="false">I739*H739</f>
        <v>195425.158382899</v>
      </c>
    </row>
    <row r="740" customFormat="false" ht="15" hidden="false" customHeight="false" outlineLevel="0" collapsed="false">
      <c r="A740" s="46" t="n">
        <v>732</v>
      </c>
      <c r="B740" s="47" t="n">
        <f aca="false">(A740-1)*$C$6</f>
        <v>1.32064143754402</v>
      </c>
      <c r="C740" s="48" t="n">
        <f aca="false">$C$7*B740</f>
        <v>10.1527777777778</v>
      </c>
      <c r="D740" s="49" t="n">
        <f aca="false">0.5*c_rho*'P3 Energie'!E8*'P3 Energie'!E7*(C740-c_Vv)^2+'P3 Energie'!E13+'P3 Energie'!E15+'P3 Energie'!E6*$C$7</f>
        <v>18452.4398792188</v>
      </c>
      <c r="E740" s="50" t="n">
        <f aca="false">D740*C740</f>
        <v>187343.521551513</v>
      </c>
      <c r="F740" s="46" t="n">
        <v>732</v>
      </c>
      <c r="G740" s="47" t="n">
        <f aca="false">(F740-1)*$H$6</f>
        <v>1.31969829567842</v>
      </c>
      <c r="H740" s="48" t="n">
        <f aca="false">$H$7*G740</f>
        <v>10.1527777777778</v>
      </c>
      <c r="I740" s="49" t="n">
        <f aca="false">0.5*c_rho*'P3 Energie'!F8*'P3 Energie'!F7*(H740-c_Vv)^2+'P3 Energie'!F13+'P3 Energie'!F15+'P3 Energie'!F6*$H$7</f>
        <v>19274.9079480465</v>
      </c>
      <c r="J740" s="50" t="n">
        <f aca="false">I740*H740</f>
        <v>195693.857083639</v>
      </c>
    </row>
    <row r="741" customFormat="false" ht="15" hidden="false" customHeight="false" outlineLevel="0" collapsed="false">
      <c r="A741" s="46" t="n">
        <v>733</v>
      </c>
      <c r="B741" s="47" t="n">
        <f aca="false">(A741-1)*$C$6</f>
        <v>1.3224480605776</v>
      </c>
      <c r="C741" s="48" t="n">
        <f aca="false">$C$7*B741</f>
        <v>10.1666666666667</v>
      </c>
      <c r="D741" s="49" t="n">
        <f aca="false">0.5*c_rho*'P3 Energie'!E8*'P3 Energie'!E7*(C741-c_Vv)^2+'P3 Energie'!E13+'P3 Energie'!E15+'P3 Energie'!E6*$C$7</f>
        <v>18452.5526066233</v>
      </c>
      <c r="E741" s="50" t="n">
        <f aca="false">D741*C741</f>
        <v>187600.95150067</v>
      </c>
      <c r="F741" s="46" t="n">
        <v>733</v>
      </c>
      <c r="G741" s="47" t="n">
        <f aca="false">(F741-1)*$H$6</f>
        <v>1.32150362850425</v>
      </c>
      <c r="H741" s="48" t="n">
        <f aca="false">$H$7*G741</f>
        <v>10.1666666666667</v>
      </c>
      <c r="I741" s="49" t="n">
        <f aca="false">0.5*c_rho*'P3 Energie'!F8*'P3 Energie'!F7*(H741-c_Vv)^2+'P3 Energie'!F13+'P3 Energie'!F15+'P3 Energie'!F6*$H$7</f>
        <v>19275.0058881074</v>
      </c>
      <c r="J741" s="50" t="n">
        <f aca="false">I741*H741</f>
        <v>195962.559862425</v>
      </c>
    </row>
    <row r="742" customFormat="false" ht="15" hidden="false" customHeight="false" outlineLevel="0" collapsed="false">
      <c r="A742" s="46" t="n">
        <v>734</v>
      </c>
      <c r="B742" s="47" t="n">
        <f aca="false">(A742-1)*$C$6</f>
        <v>1.32425468361117</v>
      </c>
      <c r="C742" s="48" t="n">
        <f aca="false">$C$7*B742</f>
        <v>10.1805555555556</v>
      </c>
      <c r="D742" s="49" t="n">
        <f aca="false">0.5*c_rho*'P3 Energie'!E8*'P3 Energie'!E7*(C742-c_Vv)^2+'P3 Energie'!E13+'P3 Energie'!E15+'P3 Energie'!E6*$C$7</f>
        <v>18452.6654881322</v>
      </c>
      <c r="E742" s="50" t="n">
        <f aca="false">D742*C742</f>
        <v>187858.386150013</v>
      </c>
      <c r="F742" s="46" t="n">
        <v>734</v>
      </c>
      <c r="G742" s="47" t="n">
        <f aca="false">(F742-1)*$H$6</f>
        <v>1.32330896133007</v>
      </c>
      <c r="H742" s="48" t="n">
        <f aca="false">$H$7*G742</f>
        <v>10.1805555555556</v>
      </c>
      <c r="I742" s="49" t="n">
        <f aca="false">0.5*c_rho*'P3 Energie'!F8*'P3 Energie'!F7*(H742-c_Vv)^2+'P3 Energie'!F13+'P3 Energie'!F15+'P3 Energie'!F6*$H$7</f>
        <v>19275.1039620576</v>
      </c>
      <c r="J742" s="50" t="n">
        <f aca="false">I742*H742</f>
        <v>196231.266724837</v>
      </c>
    </row>
    <row r="743" customFormat="false" ht="15" hidden="false" customHeight="false" outlineLevel="0" collapsed="false">
      <c r="A743" s="46" t="n">
        <v>735</v>
      </c>
      <c r="B743" s="47" t="n">
        <f aca="false">(A743-1)*$C$6</f>
        <v>1.32606130664475</v>
      </c>
      <c r="C743" s="48" t="n">
        <f aca="false">$C$7*B743</f>
        <v>10.1944444444444</v>
      </c>
      <c r="D743" s="49" t="n">
        <f aca="false">0.5*c_rho*'P3 Energie'!E8*'P3 Energie'!E7*(C743-c_Vv)^2+'P3 Energie'!E13+'P3 Energie'!E15+'P3 Energie'!E6*$C$7</f>
        <v>18452.7785237456</v>
      </c>
      <c r="E743" s="50" t="n">
        <f aca="false">D743*C743</f>
        <v>188115.825505963</v>
      </c>
      <c r="F743" s="46" t="n">
        <v>735</v>
      </c>
      <c r="G743" s="47" t="n">
        <f aca="false">(F743-1)*$H$6</f>
        <v>1.3251142941559</v>
      </c>
      <c r="H743" s="48" t="n">
        <f aca="false">$H$7*G743</f>
        <v>10.1944444444444</v>
      </c>
      <c r="I743" s="49" t="n">
        <f aca="false">0.5*c_rho*'P3 Energie'!F8*'P3 Energie'!F7*(H743-c_Vv)^2+'P3 Energie'!F13+'P3 Energie'!F15+'P3 Energie'!F6*$H$7</f>
        <v>19275.2021698972</v>
      </c>
      <c r="J743" s="50" t="n">
        <f aca="false">I743*H743</f>
        <v>196499.977676452</v>
      </c>
    </row>
    <row r="744" customFormat="false" ht="15" hidden="false" customHeight="false" outlineLevel="0" collapsed="false">
      <c r="A744" s="46" t="n">
        <v>736</v>
      </c>
      <c r="B744" s="47" t="n">
        <f aca="false">(A744-1)*$C$6</f>
        <v>1.32786792967833</v>
      </c>
      <c r="C744" s="48" t="n">
        <f aca="false">$C$7*B744</f>
        <v>10.2083333333333</v>
      </c>
      <c r="D744" s="49" t="n">
        <f aca="false">0.5*c_rho*'P3 Energie'!E8*'P3 Energie'!E7*(C744-c_Vv)^2+'P3 Energie'!E13+'P3 Energie'!E15+'P3 Energie'!E6*$C$7</f>
        <v>18452.8917134635</v>
      </c>
      <c r="E744" s="50" t="n">
        <f aca="false">D744*C744</f>
        <v>188373.26957494</v>
      </c>
      <c r="F744" s="46" t="n">
        <v>736</v>
      </c>
      <c r="G744" s="47" t="n">
        <f aca="false">(F744-1)*$H$6</f>
        <v>1.32691962698172</v>
      </c>
      <c r="H744" s="48" t="n">
        <f aca="false">$H$7*G744</f>
        <v>10.2083333333333</v>
      </c>
      <c r="I744" s="49" t="n">
        <f aca="false">0.5*c_rho*'P3 Energie'!F8*'P3 Energie'!F7*(H744-c_Vv)^2+'P3 Energie'!F13+'P3 Energie'!F15+'P3 Energie'!F6*$H$7</f>
        <v>19275.3005116262</v>
      </c>
      <c r="J744" s="50" t="n">
        <f aca="false">I744*H744</f>
        <v>196768.69272285</v>
      </c>
    </row>
    <row r="745" customFormat="false" ht="15" hidden="false" customHeight="false" outlineLevel="0" collapsed="false">
      <c r="A745" s="46" t="n">
        <v>737</v>
      </c>
      <c r="B745" s="47" t="n">
        <f aca="false">(A745-1)*$C$6</f>
        <v>1.3296745527119</v>
      </c>
      <c r="C745" s="48" t="n">
        <f aca="false">$C$7*B745</f>
        <v>10.2222222222222</v>
      </c>
      <c r="D745" s="49" t="n">
        <f aca="false">0.5*c_rho*'P3 Energie'!E8*'P3 Energie'!E7*(C745-c_Vv)^2+'P3 Energie'!E13+'P3 Energie'!E15+'P3 Energie'!E6*$C$7</f>
        <v>18453.0050572858</v>
      </c>
      <c r="E745" s="50" t="n">
        <f aca="false">D745*C745</f>
        <v>188630.718363366</v>
      </c>
      <c r="F745" s="46" t="n">
        <v>737</v>
      </c>
      <c r="G745" s="47" t="n">
        <f aca="false">(F745-1)*$H$6</f>
        <v>1.32872495980755</v>
      </c>
      <c r="H745" s="48" t="n">
        <f aca="false">$H$7*G745</f>
        <v>10.2222222222222</v>
      </c>
      <c r="I745" s="49" t="n">
        <f aca="false">0.5*c_rho*'P3 Energie'!F8*'P3 Energie'!F7*(H745-c_Vv)^2+'P3 Energie'!F13+'P3 Energie'!F15+'P3 Energie'!F6*$H$7</f>
        <v>19275.3989872444</v>
      </c>
      <c r="J745" s="50" t="n">
        <f aca="false">I745*H745</f>
        <v>197037.41186961</v>
      </c>
    </row>
    <row r="746" customFormat="false" ht="15" hidden="false" customHeight="false" outlineLevel="0" collapsed="false">
      <c r="A746" s="46" t="n">
        <v>738</v>
      </c>
      <c r="B746" s="47" t="n">
        <f aca="false">(A746-1)*$C$6</f>
        <v>1.33148117574548</v>
      </c>
      <c r="C746" s="48" t="n">
        <f aca="false">$C$7*B746</f>
        <v>10.2361111111111</v>
      </c>
      <c r="D746" s="49" t="n">
        <f aca="false">0.5*c_rho*'P3 Energie'!E8*'P3 Energie'!E7*(C746-c_Vv)^2+'P3 Energie'!E13+'P3 Energie'!E15+'P3 Energie'!E6*$C$7</f>
        <v>18453.1185552125</v>
      </c>
      <c r="E746" s="50" t="n">
        <f aca="false">D746*C746</f>
        <v>188888.171877662</v>
      </c>
      <c r="F746" s="46" t="n">
        <v>738</v>
      </c>
      <c r="G746" s="47" t="n">
        <f aca="false">(F746-1)*$H$6</f>
        <v>1.33053029263338</v>
      </c>
      <c r="H746" s="48" t="n">
        <f aca="false">$H$7*G746</f>
        <v>10.2361111111111</v>
      </c>
      <c r="I746" s="49" t="n">
        <f aca="false">0.5*c_rho*'P3 Energie'!F8*'P3 Energie'!F7*(H746-c_Vv)^2+'P3 Energie'!F13+'P3 Energie'!F15+'P3 Energie'!F6*$H$7</f>
        <v>19275.4975967521</v>
      </c>
      <c r="J746" s="50" t="n">
        <f aca="false">I746*H746</f>
        <v>197306.13512231</v>
      </c>
    </row>
    <row r="747" customFormat="false" ht="15" hidden="false" customHeight="false" outlineLevel="0" collapsed="false">
      <c r="A747" s="46" t="n">
        <v>739</v>
      </c>
      <c r="B747" s="47" t="n">
        <f aca="false">(A747-1)*$C$6</f>
        <v>1.33328779877905</v>
      </c>
      <c r="C747" s="48" t="n">
        <f aca="false">$C$7*B747</f>
        <v>10.25</v>
      </c>
      <c r="D747" s="49" t="n">
        <f aca="false">0.5*c_rho*'P3 Energie'!E8*'P3 Energie'!E7*(C747-c_Vv)^2+'P3 Energie'!E13+'P3 Energie'!E15+'P3 Energie'!E6*$C$7</f>
        <v>18453.2322072437</v>
      </c>
      <c r="E747" s="50" t="n">
        <f aca="false">D747*C747</f>
        <v>189145.630124248</v>
      </c>
      <c r="F747" s="46" t="n">
        <v>739</v>
      </c>
      <c r="G747" s="47" t="n">
        <f aca="false">(F747-1)*$H$6</f>
        <v>1.3323356254592</v>
      </c>
      <c r="H747" s="48" t="n">
        <f aca="false">$H$7*G747</f>
        <v>10.25</v>
      </c>
      <c r="I747" s="49" t="n">
        <f aca="false">0.5*c_rho*'P3 Energie'!F8*'P3 Energie'!F7*(H747-c_Vv)^2+'P3 Energie'!F13+'P3 Energie'!F15+'P3 Energie'!F6*$H$7</f>
        <v>19275.5963401491</v>
      </c>
      <c r="J747" s="50" t="n">
        <f aca="false">I747*H747</f>
        <v>197574.862486528</v>
      </c>
    </row>
    <row r="748" customFormat="false" ht="15" hidden="false" customHeight="false" outlineLevel="0" collapsed="false">
      <c r="A748" s="46" t="n">
        <v>740</v>
      </c>
      <c r="B748" s="47" t="n">
        <f aca="false">(A748-1)*$C$6</f>
        <v>1.33509442181263</v>
      </c>
      <c r="C748" s="48" t="n">
        <f aca="false">$C$7*B748</f>
        <v>10.2638888888889</v>
      </c>
      <c r="D748" s="49" t="n">
        <f aca="false">0.5*c_rho*'P3 Energie'!E8*'P3 Energie'!E7*(C748-c_Vv)^2+'P3 Energie'!E13+'P3 Energie'!E15+'P3 Energie'!E6*$C$7</f>
        <v>18453.3460133794</v>
      </c>
      <c r="E748" s="50" t="n">
        <f aca="false">D748*C748</f>
        <v>189403.093109547</v>
      </c>
      <c r="F748" s="46" t="n">
        <v>740</v>
      </c>
      <c r="G748" s="47" t="n">
        <f aca="false">(F748-1)*$H$6</f>
        <v>1.33414095828503</v>
      </c>
      <c r="H748" s="48" t="n">
        <f aca="false">$H$7*G748</f>
        <v>10.2638888888889</v>
      </c>
      <c r="I748" s="49" t="n">
        <f aca="false">0.5*c_rho*'P3 Energie'!F8*'P3 Energie'!F7*(H748-c_Vv)^2+'P3 Energie'!F13+'P3 Energie'!F15+'P3 Energie'!F6*$H$7</f>
        <v>19275.6952174354</v>
      </c>
      <c r="J748" s="50" t="n">
        <f aca="false">I748*H748</f>
        <v>197843.593967844</v>
      </c>
    </row>
    <row r="749" customFormat="false" ht="15" hidden="false" customHeight="false" outlineLevel="0" collapsed="false">
      <c r="A749" s="46" t="n">
        <v>741</v>
      </c>
      <c r="B749" s="47" t="n">
        <f aca="false">(A749-1)*$C$6</f>
        <v>1.33690104484621</v>
      </c>
      <c r="C749" s="48" t="n">
        <f aca="false">$C$7*B749</f>
        <v>10.2777777777778</v>
      </c>
      <c r="D749" s="49" t="n">
        <f aca="false">0.5*c_rho*'P3 Energie'!E8*'P3 Energie'!E7*(C749-c_Vv)^2+'P3 Energie'!E13+'P3 Energie'!E15+'P3 Energie'!E6*$C$7</f>
        <v>18453.4599736195</v>
      </c>
      <c r="E749" s="50" t="n">
        <f aca="false">D749*C749</f>
        <v>189660.560839978</v>
      </c>
      <c r="F749" s="46" t="n">
        <v>741</v>
      </c>
      <c r="G749" s="47" t="n">
        <f aca="false">(F749-1)*$H$6</f>
        <v>1.33594629111085</v>
      </c>
      <c r="H749" s="48" t="n">
        <f aca="false">$H$7*G749</f>
        <v>10.2777777777778</v>
      </c>
      <c r="I749" s="49" t="n">
        <f aca="false">0.5*c_rho*'P3 Energie'!F8*'P3 Energie'!F7*(H749-c_Vv)^2+'P3 Energie'!F13+'P3 Energie'!F15+'P3 Energie'!F6*$H$7</f>
        <v>19275.7942286111</v>
      </c>
      <c r="J749" s="50" t="n">
        <f aca="false">I749*H749</f>
        <v>198112.329571836</v>
      </c>
    </row>
    <row r="750" customFormat="false" ht="15" hidden="false" customHeight="false" outlineLevel="0" collapsed="false">
      <c r="A750" s="46" t="n">
        <v>742</v>
      </c>
      <c r="B750" s="47" t="n">
        <f aca="false">(A750-1)*$C$6</f>
        <v>1.33870766787978</v>
      </c>
      <c r="C750" s="48" t="n">
        <f aca="false">$C$7*B750</f>
        <v>10.2916666666667</v>
      </c>
      <c r="D750" s="49" t="n">
        <f aca="false">0.5*c_rho*'P3 Energie'!E8*'P3 Energie'!E7*(C750-c_Vv)^2+'P3 Energie'!E13+'P3 Energie'!E15+'P3 Energie'!E6*$C$7</f>
        <v>18453.574087964</v>
      </c>
      <c r="E750" s="50" t="n">
        <f aca="false">D750*C750</f>
        <v>189918.033321963</v>
      </c>
      <c r="F750" s="46" t="n">
        <v>742</v>
      </c>
      <c r="G750" s="47" t="n">
        <f aca="false">(F750-1)*$H$6</f>
        <v>1.33775162393668</v>
      </c>
      <c r="H750" s="48" t="n">
        <f aca="false">$H$7*G750</f>
        <v>10.2916666666667</v>
      </c>
      <c r="I750" s="49" t="n">
        <f aca="false">0.5*c_rho*'P3 Energie'!F8*'P3 Energie'!F7*(H750-c_Vv)^2+'P3 Energie'!F13+'P3 Energie'!F15+'P3 Energie'!F6*$H$7</f>
        <v>19275.8933736762</v>
      </c>
      <c r="J750" s="50" t="n">
        <f aca="false">I750*H750</f>
        <v>198381.069304084</v>
      </c>
    </row>
    <row r="751" customFormat="false" ht="15" hidden="false" customHeight="false" outlineLevel="0" collapsed="false">
      <c r="A751" s="46" t="n">
        <v>743</v>
      </c>
      <c r="B751" s="47" t="n">
        <f aca="false">(A751-1)*$C$6</f>
        <v>1.34051429091336</v>
      </c>
      <c r="C751" s="48" t="n">
        <f aca="false">$C$7*B751</f>
        <v>10.3055555555556</v>
      </c>
      <c r="D751" s="49" t="n">
        <f aca="false">0.5*c_rho*'P3 Energie'!E8*'P3 Energie'!E7*(C751-c_Vv)^2+'P3 Energie'!E13+'P3 Energie'!E15+'P3 Energie'!E6*$C$7</f>
        <v>18453.688356413</v>
      </c>
      <c r="E751" s="50" t="n">
        <f aca="false">D751*C751</f>
        <v>190175.510561923</v>
      </c>
      <c r="F751" s="46" t="n">
        <v>743</v>
      </c>
      <c r="G751" s="47" t="n">
        <f aca="false">(F751-1)*$H$6</f>
        <v>1.3395569567625</v>
      </c>
      <c r="H751" s="48" t="n">
        <f aca="false">$H$7*G751</f>
        <v>10.3055555555556</v>
      </c>
      <c r="I751" s="49" t="n">
        <f aca="false">0.5*c_rho*'P3 Energie'!F8*'P3 Energie'!F7*(H751-c_Vv)^2+'P3 Energie'!F13+'P3 Energie'!F15+'P3 Energie'!F6*$H$7</f>
        <v>19275.9926526306</v>
      </c>
      <c r="J751" s="50" t="n">
        <f aca="false">I751*H751</f>
        <v>198649.813170165</v>
      </c>
    </row>
    <row r="752" customFormat="false" ht="15" hidden="false" customHeight="false" outlineLevel="0" collapsed="false">
      <c r="A752" s="46" t="n">
        <v>744</v>
      </c>
      <c r="B752" s="47" t="n">
        <f aca="false">(A752-1)*$C$6</f>
        <v>1.34232091394693</v>
      </c>
      <c r="C752" s="48" t="n">
        <f aca="false">$C$7*B752</f>
        <v>10.3194444444444</v>
      </c>
      <c r="D752" s="49" t="n">
        <f aca="false">0.5*c_rho*'P3 Energie'!E8*'P3 Energie'!E7*(C752-c_Vv)^2+'P3 Energie'!E13+'P3 Energie'!E15+'P3 Energie'!E6*$C$7</f>
        <v>18453.8027789664</v>
      </c>
      <c r="E752" s="50" t="n">
        <f aca="false">D752*C752</f>
        <v>190432.992566278</v>
      </c>
      <c r="F752" s="46" t="n">
        <v>744</v>
      </c>
      <c r="G752" s="47" t="n">
        <f aca="false">(F752-1)*$H$6</f>
        <v>1.34136228958833</v>
      </c>
      <c r="H752" s="48" t="n">
        <f aca="false">$H$7*G752</f>
        <v>10.3194444444444</v>
      </c>
      <c r="I752" s="49" t="n">
        <f aca="false">0.5*c_rho*'P3 Energie'!F8*'P3 Energie'!F7*(H752-c_Vv)^2+'P3 Energie'!F13+'P3 Energie'!F15+'P3 Energie'!F6*$H$7</f>
        <v>19276.0920654743</v>
      </c>
      <c r="J752" s="50" t="n">
        <f aca="false">I752*H752</f>
        <v>198918.561175659</v>
      </c>
    </row>
    <row r="753" customFormat="false" ht="15" hidden="false" customHeight="false" outlineLevel="0" collapsed="false">
      <c r="A753" s="46" t="n">
        <v>745</v>
      </c>
      <c r="B753" s="47" t="n">
        <f aca="false">(A753-1)*$C$6</f>
        <v>1.34412753698051</v>
      </c>
      <c r="C753" s="48" t="n">
        <f aca="false">$C$7*B753</f>
        <v>10.3333333333333</v>
      </c>
      <c r="D753" s="49" t="n">
        <f aca="false">0.5*c_rho*'P3 Energie'!E8*'P3 Energie'!E7*(C753-c_Vv)^2+'P3 Energie'!E13+'P3 Energie'!E15+'P3 Energie'!E6*$C$7</f>
        <v>18453.9173556243</v>
      </c>
      <c r="E753" s="50" t="n">
        <f aca="false">D753*C753</f>
        <v>190690.479341451</v>
      </c>
      <c r="F753" s="46" t="n">
        <v>745</v>
      </c>
      <c r="G753" s="47" t="n">
        <f aca="false">(F753-1)*$H$6</f>
        <v>1.34316762241415</v>
      </c>
      <c r="H753" s="48" t="n">
        <f aca="false">$H$7*G753</f>
        <v>10.3333333333333</v>
      </c>
      <c r="I753" s="49" t="n">
        <f aca="false">0.5*c_rho*'P3 Energie'!F8*'P3 Energie'!F7*(H753-c_Vv)^2+'P3 Energie'!F13+'P3 Energie'!F15+'P3 Energie'!F6*$H$7</f>
        <v>19276.1916122074</v>
      </c>
      <c r="J753" s="50" t="n">
        <f aca="false">I753*H753</f>
        <v>199187.313326143</v>
      </c>
    </row>
    <row r="754" customFormat="false" ht="15" hidden="false" customHeight="false" outlineLevel="0" collapsed="false">
      <c r="A754" s="46" t="n">
        <v>746</v>
      </c>
      <c r="B754" s="47" t="n">
        <f aca="false">(A754-1)*$C$6</f>
        <v>1.34593416001409</v>
      </c>
      <c r="C754" s="48" t="n">
        <f aca="false">$C$7*B754</f>
        <v>10.3472222222222</v>
      </c>
      <c r="D754" s="49" t="n">
        <f aca="false">0.5*c_rho*'P3 Energie'!E8*'P3 Energie'!E7*(C754-c_Vv)^2+'P3 Energie'!E13+'P3 Energie'!E15+'P3 Energie'!E6*$C$7</f>
        <v>18454.0320863866</v>
      </c>
      <c r="E754" s="50" t="n">
        <f aca="false">D754*C754</f>
        <v>190947.970893862</v>
      </c>
      <c r="F754" s="46" t="n">
        <v>746</v>
      </c>
      <c r="G754" s="47" t="n">
        <f aca="false">(F754-1)*$H$6</f>
        <v>1.34497295523998</v>
      </c>
      <c r="H754" s="48" t="n">
        <f aca="false">$H$7*G754</f>
        <v>10.3472222222222</v>
      </c>
      <c r="I754" s="49" t="n">
        <f aca="false">0.5*c_rho*'P3 Energie'!F8*'P3 Energie'!F7*(H754-c_Vv)^2+'P3 Energie'!F13+'P3 Energie'!F15+'P3 Energie'!F6*$H$7</f>
        <v>19276.2912928299</v>
      </c>
      <c r="J754" s="50" t="n">
        <f aca="false">I754*H754</f>
        <v>199456.069627198</v>
      </c>
    </row>
    <row r="755" customFormat="false" ht="15" hidden="false" customHeight="false" outlineLevel="0" collapsed="false">
      <c r="A755" s="46" t="n">
        <v>747</v>
      </c>
      <c r="B755" s="47" t="n">
        <f aca="false">(A755-1)*$C$6</f>
        <v>1.34774078304766</v>
      </c>
      <c r="C755" s="48" t="n">
        <f aca="false">$C$7*B755</f>
        <v>10.3611111111111</v>
      </c>
      <c r="D755" s="49" t="n">
        <f aca="false">0.5*c_rho*'P3 Energie'!E8*'P3 Energie'!E7*(C755-c_Vv)^2+'P3 Energie'!E13+'P3 Energie'!E15+'P3 Energie'!E6*$C$7</f>
        <v>18454.1469712534</v>
      </c>
      <c r="E755" s="50" t="n">
        <f aca="false">D755*C755</f>
        <v>191205.467229931</v>
      </c>
      <c r="F755" s="46" t="n">
        <v>747</v>
      </c>
      <c r="G755" s="47" t="n">
        <f aca="false">(F755-1)*$H$6</f>
        <v>1.3467782880658</v>
      </c>
      <c r="H755" s="48" t="n">
        <f aca="false">$H$7*G755</f>
        <v>10.3611111111111</v>
      </c>
      <c r="I755" s="49" t="n">
        <f aca="false">0.5*c_rho*'P3 Energie'!F8*'P3 Energie'!F7*(H755-c_Vv)^2+'P3 Energie'!F13+'P3 Energie'!F15+'P3 Energie'!F6*$H$7</f>
        <v>19276.3911073417</v>
      </c>
      <c r="J755" s="50" t="n">
        <f aca="false">I755*H755</f>
        <v>199724.830084401</v>
      </c>
    </row>
    <row r="756" customFormat="false" ht="15" hidden="false" customHeight="false" outlineLevel="0" collapsed="false">
      <c r="A756" s="46" t="n">
        <v>748</v>
      </c>
      <c r="B756" s="47" t="n">
        <f aca="false">(A756-1)*$C$6</f>
        <v>1.34954740608124</v>
      </c>
      <c r="C756" s="48" t="n">
        <f aca="false">$C$7*B756</f>
        <v>10.375</v>
      </c>
      <c r="D756" s="49" t="n">
        <f aca="false">0.5*c_rho*'P3 Energie'!E8*'P3 Energie'!E7*(C756-c_Vv)^2+'P3 Energie'!E13+'P3 Energie'!E15+'P3 Energie'!E6*$C$7</f>
        <v>18454.2620102247</v>
      </c>
      <c r="E756" s="50" t="n">
        <f aca="false">D756*C756</f>
        <v>191462.968356081</v>
      </c>
      <c r="F756" s="46" t="n">
        <v>748</v>
      </c>
      <c r="G756" s="47" t="n">
        <f aca="false">(F756-1)*$H$6</f>
        <v>1.34858362089163</v>
      </c>
      <c r="H756" s="48" t="n">
        <f aca="false">$H$7*G756</f>
        <v>10.375</v>
      </c>
      <c r="I756" s="49" t="n">
        <f aca="false">0.5*c_rho*'P3 Energie'!F8*'P3 Energie'!F7*(H756-c_Vv)^2+'P3 Energie'!F13+'P3 Energie'!F15+'P3 Energie'!F6*$H$7</f>
        <v>19276.4910557428</v>
      </c>
      <c r="J756" s="50" t="n">
        <f aca="false">I756*H756</f>
        <v>199993.594703332</v>
      </c>
    </row>
    <row r="757" customFormat="false" ht="15" hidden="false" customHeight="false" outlineLevel="0" collapsed="false">
      <c r="A757" s="46" t="n">
        <v>749</v>
      </c>
      <c r="B757" s="47" t="n">
        <f aca="false">(A757-1)*$C$6</f>
        <v>1.35135402911481</v>
      </c>
      <c r="C757" s="48" t="n">
        <f aca="false">$C$7*B757</f>
        <v>10.3888888888889</v>
      </c>
      <c r="D757" s="49" t="n">
        <f aca="false">0.5*c_rho*'P3 Energie'!E8*'P3 Energie'!E7*(C757-c_Vv)^2+'P3 Energie'!E13+'P3 Energie'!E15+'P3 Energie'!E6*$C$7</f>
        <v>18454.3772033003</v>
      </c>
      <c r="E757" s="50" t="n">
        <f aca="false">D757*C757</f>
        <v>191720.474278731</v>
      </c>
      <c r="F757" s="46" t="n">
        <v>749</v>
      </c>
      <c r="G757" s="47" t="n">
        <f aca="false">(F757-1)*$H$6</f>
        <v>1.35038895371746</v>
      </c>
      <c r="H757" s="48" t="n">
        <f aca="false">$H$7*G757</f>
        <v>10.3888888888889</v>
      </c>
      <c r="I757" s="49" t="n">
        <f aca="false">0.5*c_rho*'P3 Energie'!F8*'P3 Energie'!F7*(H757-c_Vv)^2+'P3 Energie'!F13+'P3 Energie'!F15+'P3 Energie'!F6*$H$7</f>
        <v>19276.5911380333</v>
      </c>
      <c r="J757" s="50" t="n">
        <f aca="false">I757*H757</f>
        <v>200262.363489569</v>
      </c>
    </row>
    <row r="758" customFormat="false" ht="15" hidden="false" customHeight="false" outlineLevel="0" collapsed="false">
      <c r="A758" s="46" t="n">
        <v>750</v>
      </c>
      <c r="B758" s="47" t="n">
        <f aca="false">(A758-1)*$C$6</f>
        <v>1.35316065214839</v>
      </c>
      <c r="C758" s="48" t="n">
        <f aca="false">$C$7*B758</f>
        <v>10.4027777777778</v>
      </c>
      <c r="D758" s="49" t="n">
        <f aca="false">0.5*c_rho*'P3 Energie'!E8*'P3 Energie'!E7*(C758-c_Vv)^2+'P3 Energie'!E13+'P3 Energie'!E15+'P3 Energie'!E6*$C$7</f>
        <v>18454.4925504805</v>
      </c>
      <c r="E758" s="50" t="n">
        <f aca="false">D758*C758</f>
        <v>191977.985004304</v>
      </c>
      <c r="F758" s="46" t="n">
        <v>750</v>
      </c>
      <c r="G758" s="47" t="n">
        <f aca="false">(F758-1)*$H$6</f>
        <v>1.35219428654328</v>
      </c>
      <c r="H758" s="48" t="n">
        <f aca="false">$H$7*G758</f>
        <v>10.4027777777778</v>
      </c>
      <c r="I758" s="49" t="n">
        <f aca="false">0.5*c_rho*'P3 Energie'!F8*'P3 Energie'!F7*(H758-c_Vv)^2+'P3 Energie'!F13+'P3 Energie'!F15+'P3 Energie'!F6*$H$7</f>
        <v>19276.6913542132</v>
      </c>
      <c r="J758" s="50" t="n">
        <f aca="false">I758*H758</f>
        <v>200531.13644869</v>
      </c>
    </row>
    <row r="759" customFormat="false" ht="15" hidden="false" customHeight="false" outlineLevel="0" collapsed="false">
      <c r="A759" s="46" t="n">
        <v>751</v>
      </c>
      <c r="B759" s="47" t="n">
        <f aca="false">(A759-1)*$C$6</f>
        <v>1.35496727518197</v>
      </c>
      <c r="C759" s="48" t="n">
        <f aca="false">$C$7*B759</f>
        <v>10.4166666666667</v>
      </c>
      <c r="D759" s="49" t="n">
        <f aca="false">0.5*c_rho*'P3 Energie'!E8*'P3 Energie'!E7*(C759-c_Vv)^2+'P3 Energie'!E13+'P3 Energie'!E15+'P3 Energie'!E6*$C$7</f>
        <v>18454.6080517651</v>
      </c>
      <c r="E759" s="50" t="n">
        <f aca="false">D759*C759</f>
        <v>192235.500539219</v>
      </c>
      <c r="F759" s="46" t="n">
        <v>751</v>
      </c>
      <c r="G759" s="47" t="n">
        <f aca="false">(F759-1)*$H$6</f>
        <v>1.35399961936911</v>
      </c>
      <c r="H759" s="48" t="n">
        <f aca="false">$H$7*G759</f>
        <v>10.4166666666667</v>
      </c>
      <c r="I759" s="49" t="n">
        <f aca="false">0.5*c_rho*'P3 Energie'!F8*'P3 Energie'!F7*(H759-c_Vv)^2+'P3 Energie'!F13+'P3 Energie'!F15+'P3 Energie'!F6*$H$7</f>
        <v>19276.7917042824</v>
      </c>
      <c r="J759" s="50" t="n">
        <f aca="false">I759*H759</f>
        <v>200799.913586275</v>
      </c>
    </row>
    <row r="760" customFormat="false" ht="15" hidden="false" customHeight="false" outlineLevel="0" collapsed="false">
      <c r="A760" s="46" t="n">
        <v>752</v>
      </c>
      <c r="B760" s="47" t="n">
        <f aca="false">(A760-1)*$C$6</f>
        <v>1.35677389821554</v>
      </c>
      <c r="C760" s="48" t="n">
        <f aca="false">$C$7*B760</f>
        <v>10.4305555555556</v>
      </c>
      <c r="D760" s="49" t="n">
        <f aca="false">0.5*c_rho*'P3 Energie'!E8*'P3 Energie'!E7*(C760-c_Vv)^2+'P3 Energie'!E13+'P3 Energie'!E15+'P3 Energie'!E6*$C$7</f>
        <v>18454.7237071541</v>
      </c>
      <c r="E760" s="50" t="n">
        <f aca="false">D760*C760</f>
        <v>192493.020889899</v>
      </c>
      <c r="F760" s="46" t="n">
        <v>752</v>
      </c>
      <c r="G760" s="47" t="n">
        <f aca="false">(F760-1)*$H$6</f>
        <v>1.35580495219493</v>
      </c>
      <c r="H760" s="48" t="n">
        <f aca="false">$H$7*G760</f>
        <v>10.4305555555556</v>
      </c>
      <c r="I760" s="49" t="n">
        <f aca="false">0.5*c_rho*'P3 Energie'!F8*'P3 Energie'!F7*(H760-c_Vv)^2+'P3 Energie'!F13+'P3 Energie'!F15+'P3 Energie'!F6*$H$7</f>
        <v>19276.892188241</v>
      </c>
      <c r="J760" s="50" t="n">
        <f aca="false">I760*H760</f>
        <v>201068.694907902</v>
      </c>
    </row>
    <row r="761" customFormat="false" ht="15" hidden="false" customHeight="false" outlineLevel="0" collapsed="false">
      <c r="A761" s="46" t="n">
        <v>753</v>
      </c>
      <c r="B761" s="47" t="n">
        <f aca="false">(A761-1)*$C$6</f>
        <v>1.35858052124912</v>
      </c>
      <c r="C761" s="48" t="n">
        <f aca="false">$C$7*B761</f>
        <v>10.4444444444444</v>
      </c>
      <c r="D761" s="49" t="n">
        <f aca="false">0.5*c_rho*'P3 Energie'!E8*'P3 Energie'!E7*(C761-c_Vv)^2+'P3 Energie'!E13+'P3 Energie'!E15+'P3 Energie'!E6*$C$7</f>
        <v>18454.8395166476</v>
      </c>
      <c r="E761" s="50" t="n">
        <f aca="false">D761*C761</f>
        <v>192750.546062763</v>
      </c>
      <c r="F761" s="46" t="n">
        <v>753</v>
      </c>
      <c r="G761" s="47" t="n">
        <f aca="false">(F761-1)*$H$6</f>
        <v>1.35761028502076</v>
      </c>
      <c r="H761" s="48" t="n">
        <f aca="false">$H$7*G761</f>
        <v>10.4444444444444</v>
      </c>
      <c r="I761" s="49" t="n">
        <f aca="false">0.5*c_rho*'P3 Energie'!F8*'P3 Energie'!F7*(H761-c_Vv)^2+'P3 Energie'!F13+'P3 Energie'!F15+'P3 Energie'!F6*$H$7</f>
        <v>19276.9928060889</v>
      </c>
      <c r="J761" s="50" t="n">
        <f aca="false">I761*H761</f>
        <v>201337.480419151</v>
      </c>
    </row>
    <row r="762" customFormat="false" ht="15" hidden="false" customHeight="false" outlineLevel="0" collapsed="false">
      <c r="A762" s="46" t="n">
        <v>754</v>
      </c>
      <c r="B762" s="47" t="n">
        <f aca="false">(A762-1)*$C$6</f>
        <v>1.36038714428269</v>
      </c>
      <c r="C762" s="48" t="n">
        <f aca="false">$C$7*B762</f>
        <v>10.4583333333333</v>
      </c>
      <c r="D762" s="49" t="n">
        <f aca="false">0.5*c_rho*'P3 Energie'!E8*'P3 Energie'!E7*(C762-c_Vv)^2+'P3 Energie'!E13+'P3 Energie'!E15+'P3 Energie'!E6*$C$7</f>
        <v>18454.9554802455</v>
      </c>
      <c r="E762" s="50" t="n">
        <f aca="false">D762*C762</f>
        <v>193008.076064234</v>
      </c>
      <c r="F762" s="46" t="n">
        <v>754</v>
      </c>
      <c r="G762" s="47" t="n">
        <f aca="false">(F762-1)*$H$6</f>
        <v>1.35941561784658</v>
      </c>
      <c r="H762" s="48" t="n">
        <f aca="false">$H$7*G762</f>
        <v>10.4583333333333</v>
      </c>
      <c r="I762" s="49" t="n">
        <f aca="false">0.5*c_rho*'P3 Energie'!F8*'P3 Energie'!F7*(H762-c_Vv)^2+'P3 Energie'!F13+'P3 Energie'!F15+'P3 Energie'!F6*$H$7</f>
        <v>19277.0935578262</v>
      </c>
      <c r="J762" s="50" t="n">
        <f aca="false">I762*H762</f>
        <v>201606.270125599</v>
      </c>
    </row>
    <row r="763" customFormat="false" ht="15" hidden="false" customHeight="false" outlineLevel="0" collapsed="false">
      <c r="A763" s="46" t="n">
        <v>755</v>
      </c>
      <c r="B763" s="47" t="n">
        <f aca="false">(A763-1)*$C$6</f>
        <v>1.36219376731627</v>
      </c>
      <c r="C763" s="48" t="n">
        <f aca="false">$C$7*B763</f>
        <v>10.4722222222222</v>
      </c>
      <c r="D763" s="49" t="n">
        <f aca="false">0.5*c_rho*'P3 Energie'!E8*'P3 Energie'!E7*(C763-c_Vv)^2+'P3 Energie'!E13+'P3 Energie'!E15+'P3 Energie'!E6*$C$7</f>
        <v>18455.0715979479</v>
      </c>
      <c r="E763" s="50" t="n">
        <f aca="false">D763*C763</f>
        <v>193265.610900732</v>
      </c>
      <c r="F763" s="46" t="n">
        <v>755</v>
      </c>
      <c r="G763" s="47" t="n">
        <f aca="false">(F763-1)*$H$6</f>
        <v>1.36122095067241</v>
      </c>
      <c r="H763" s="48" t="n">
        <f aca="false">$H$7*G763</f>
        <v>10.4722222222222</v>
      </c>
      <c r="I763" s="49" t="n">
        <f aca="false">0.5*c_rho*'P3 Energie'!F8*'P3 Energie'!F7*(H763-c_Vv)^2+'P3 Energie'!F13+'P3 Energie'!F15+'P3 Energie'!F6*$H$7</f>
        <v>19277.1944434528</v>
      </c>
      <c r="J763" s="50" t="n">
        <f aca="false">I763*H763</f>
        <v>201875.064032825</v>
      </c>
    </row>
    <row r="764" customFormat="false" ht="15" hidden="false" customHeight="false" outlineLevel="0" collapsed="false">
      <c r="A764" s="46" t="n">
        <v>756</v>
      </c>
      <c r="B764" s="47" t="n">
        <f aca="false">(A764-1)*$C$6</f>
        <v>1.36400039034984</v>
      </c>
      <c r="C764" s="48" t="n">
        <f aca="false">$C$7*B764</f>
        <v>10.4861111111111</v>
      </c>
      <c r="D764" s="49" t="n">
        <f aca="false">0.5*c_rho*'P3 Energie'!E8*'P3 Energie'!E7*(C764-c_Vv)^2+'P3 Energie'!E13+'P3 Energie'!E15+'P3 Energie'!E6*$C$7</f>
        <v>18455.1878697547</v>
      </c>
      <c r="E764" s="50" t="n">
        <f aca="false">D764*C764</f>
        <v>193523.150578678</v>
      </c>
      <c r="F764" s="46" t="n">
        <v>756</v>
      </c>
      <c r="G764" s="47" t="n">
        <f aca="false">(F764-1)*$H$6</f>
        <v>1.36302628349823</v>
      </c>
      <c r="H764" s="48" t="n">
        <f aca="false">$H$7*G764</f>
        <v>10.4861111111111</v>
      </c>
      <c r="I764" s="49" t="n">
        <f aca="false">0.5*c_rho*'P3 Energie'!F8*'P3 Energie'!F7*(H764-c_Vv)^2+'P3 Energie'!F13+'P3 Energie'!F15+'P3 Energie'!F6*$H$7</f>
        <v>19277.2954629688</v>
      </c>
      <c r="J764" s="50" t="n">
        <f aca="false">I764*H764</f>
        <v>202143.862146408</v>
      </c>
    </row>
    <row r="765" customFormat="false" ht="15" hidden="false" customHeight="false" outlineLevel="0" collapsed="false">
      <c r="A765" s="46" t="n">
        <v>757</v>
      </c>
      <c r="B765" s="47" t="n">
        <f aca="false">(A765-1)*$C$6</f>
        <v>1.36580701338342</v>
      </c>
      <c r="C765" s="48" t="n">
        <f aca="false">$C$7*B765</f>
        <v>10.5</v>
      </c>
      <c r="D765" s="49" t="n">
        <f aca="false">0.5*c_rho*'P3 Energie'!E8*'P3 Energie'!E7*(C765-c_Vv)^2+'P3 Energie'!E13+'P3 Energie'!E15+'P3 Energie'!E6*$C$7</f>
        <v>18455.304295666</v>
      </c>
      <c r="E765" s="50" t="n">
        <f aca="false">D765*C765</f>
        <v>193780.695104493</v>
      </c>
      <c r="F765" s="46" t="n">
        <v>757</v>
      </c>
      <c r="G765" s="47" t="n">
        <f aca="false">(F765-1)*$H$6</f>
        <v>1.36483161632406</v>
      </c>
      <c r="H765" s="48" t="n">
        <f aca="false">$H$7*G765</f>
        <v>10.5</v>
      </c>
      <c r="I765" s="49" t="n">
        <f aca="false">0.5*c_rho*'P3 Energie'!F8*'P3 Energie'!F7*(H765-c_Vv)^2+'P3 Energie'!F13+'P3 Energie'!F15+'P3 Energie'!F6*$H$7</f>
        <v>19277.3966163741</v>
      </c>
      <c r="J765" s="50" t="n">
        <f aca="false">I765*H765</f>
        <v>202412.664471928</v>
      </c>
    </row>
    <row r="766" customFormat="false" ht="15" hidden="false" customHeight="false" outlineLevel="0" collapsed="false">
      <c r="A766" s="46" t="n">
        <v>758</v>
      </c>
      <c r="B766" s="47" t="n">
        <f aca="false">(A766-1)*$C$6</f>
        <v>1.367613636417</v>
      </c>
      <c r="C766" s="48" t="n">
        <f aca="false">$C$7*B766</f>
        <v>10.5138888888889</v>
      </c>
      <c r="D766" s="49" t="n">
        <f aca="false">0.5*c_rho*'P3 Energie'!E8*'P3 Energie'!E7*(C766-c_Vv)^2+'P3 Energie'!E13+'P3 Energie'!E15+'P3 Energie'!E6*$C$7</f>
        <v>18455.4208756817</v>
      </c>
      <c r="E766" s="50" t="n">
        <f aca="false">D766*C766</f>
        <v>194038.244484598</v>
      </c>
      <c r="F766" s="46" t="n">
        <v>758</v>
      </c>
      <c r="G766" s="47" t="n">
        <f aca="false">(F766-1)*$H$6</f>
        <v>1.36663694914988</v>
      </c>
      <c r="H766" s="48" t="n">
        <f aca="false">$H$7*G766</f>
        <v>10.5138888888889</v>
      </c>
      <c r="I766" s="49" t="n">
        <f aca="false">0.5*c_rho*'P3 Energie'!F8*'P3 Energie'!F7*(H766-c_Vv)^2+'P3 Energie'!F13+'P3 Energie'!F15+'P3 Energie'!F6*$H$7</f>
        <v>19277.4979036688</v>
      </c>
      <c r="J766" s="50" t="n">
        <f aca="false">I766*H766</f>
        <v>202681.471014962</v>
      </c>
    </row>
    <row r="767" customFormat="false" ht="15" hidden="false" customHeight="false" outlineLevel="0" collapsed="false">
      <c r="A767" s="46" t="n">
        <v>759</v>
      </c>
      <c r="B767" s="47" t="n">
        <f aca="false">(A767-1)*$C$6</f>
        <v>1.36942025945057</v>
      </c>
      <c r="C767" s="48" t="n">
        <f aca="false">$C$7*B767</f>
        <v>10.5277777777778</v>
      </c>
      <c r="D767" s="49" t="n">
        <f aca="false">0.5*c_rho*'P3 Energie'!E8*'P3 Energie'!E7*(C767-c_Vv)^2+'P3 Energie'!E13+'P3 Energie'!E15+'P3 Energie'!E6*$C$7</f>
        <v>18455.5376098019</v>
      </c>
      <c r="E767" s="50" t="n">
        <f aca="false">D767*C767</f>
        <v>194295.798725414</v>
      </c>
      <c r="F767" s="46" t="n">
        <v>759</v>
      </c>
      <c r="G767" s="47" t="n">
        <f aca="false">(F767-1)*$H$6</f>
        <v>1.36844228197571</v>
      </c>
      <c r="H767" s="48" t="n">
        <f aca="false">$H$7*G767</f>
        <v>10.5277777777778</v>
      </c>
      <c r="I767" s="49" t="n">
        <f aca="false">0.5*c_rho*'P3 Energie'!F8*'P3 Energie'!F7*(H767-c_Vv)^2+'P3 Energie'!F13+'P3 Energie'!F15+'P3 Energie'!F6*$H$7</f>
        <v>19277.5993248528</v>
      </c>
      <c r="J767" s="50" t="n">
        <f aca="false">I767*H767</f>
        <v>202950.281781089</v>
      </c>
    </row>
    <row r="768" customFormat="false" ht="15" hidden="false" customHeight="false" outlineLevel="0" collapsed="false">
      <c r="A768" s="46" t="n">
        <v>760</v>
      </c>
      <c r="B768" s="47" t="n">
        <f aca="false">(A768-1)*$C$6</f>
        <v>1.37122688248415</v>
      </c>
      <c r="C768" s="48" t="n">
        <f aca="false">$C$7*B768</f>
        <v>10.5416666666667</v>
      </c>
      <c r="D768" s="49" t="n">
        <f aca="false">0.5*c_rho*'P3 Energie'!E8*'P3 Energie'!E7*(C768-c_Vv)^2+'P3 Energie'!E13+'P3 Energie'!E15+'P3 Energie'!E6*$C$7</f>
        <v>18455.6544980265</v>
      </c>
      <c r="E768" s="50" t="n">
        <f aca="false">D768*C768</f>
        <v>194553.357833363</v>
      </c>
      <c r="F768" s="46" t="n">
        <v>760</v>
      </c>
      <c r="G768" s="47" t="n">
        <f aca="false">(F768-1)*$H$6</f>
        <v>1.37024761480154</v>
      </c>
      <c r="H768" s="48" t="n">
        <f aca="false">$H$7*G768</f>
        <v>10.5416666666667</v>
      </c>
      <c r="I768" s="49" t="n">
        <f aca="false">0.5*c_rho*'P3 Energie'!F8*'P3 Energie'!F7*(H768-c_Vv)^2+'P3 Energie'!F13+'P3 Energie'!F15+'P3 Energie'!F6*$H$7</f>
        <v>19277.7008799262</v>
      </c>
      <c r="J768" s="50" t="n">
        <f aca="false">I768*H768</f>
        <v>203219.096775888</v>
      </c>
    </row>
    <row r="769" customFormat="false" ht="15" hidden="false" customHeight="false" outlineLevel="0" collapsed="false">
      <c r="A769" s="46" t="n">
        <v>761</v>
      </c>
      <c r="B769" s="47" t="n">
        <f aca="false">(A769-1)*$C$6</f>
        <v>1.37303350551772</v>
      </c>
      <c r="C769" s="48" t="n">
        <f aca="false">$C$7*B769</f>
        <v>10.5555555555556</v>
      </c>
      <c r="D769" s="49" t="n">
        <f aca="false">0.5*c_rho*'P3 Energie'!E8*'P3 Energie'!E7*(C769-c_Vv)^2+'P3 Energie'!E13+'P3 Energie'!E15+'P3 Energie'!E6*$C$7</f>
        <v>18455.7715403556</v>
      </c>
      <c r="E769" s="50" t="n">
        <f aca="false">D769*C769</f>
        <v>194810.921814864</v>
      </c>
      <c r="F769" s="46" t="n">
        <v>761</v>
      </c>
      <c r="G769" s="47" t="n">
        <f aca="false">(F769-1)*$H$6</f>
        <v>1.37205294762736</v>
      </c>
      <c r="H769" s="48" t="n">
        <f aca="false">$H$7*G769</f>
        <v>10.5555555555556</v>
      </c>
      <c r="I769" s="49" t="n">
        <f aca="false">0.5*c_rho*'P3 Energie'!F8*'P3 Energie'!F7*(H769-c_Vv)^2+'P3 Energie'!F13+'P3 Energie'!F15+'P3 Energie'!F6*$H$7</f>
        <v>19277.8025688889</v>
      </c>
      <c r="J769" s="50" t="n">
        <f aca="false">I769*H769</f>
        <v>203487.916004938</v>
      </c>
    </row>
    <row r="770" customFormat="false" ht="15" hidden="false" customHeight="false" outlineLevel="0" collapsed="false">
      <c r="A770" s="46" t="n">
        <v>762</v>
      </c>
      <c r="B770" s="47" t="n">
        <f aca="false">(A770-1)*$C$6</f>
        <v>1.3748401285513</v>
      </c>
      <c r="C770" s="48" t="n">
        <f aca="false">$C$7*B770</f>
        <v>10.5694444444444</v>
      </c>
      <c r="D770" s="49" t="n">
        <f aca="false">0.5*c_rho*'P3 Energie'!E8*'P3 Energie'!E7*(C770-c_Vv)^2+'P3 Energie'!E13+'P3 Energie'!E15+'P3 Energie'!E6*$C$7</f>
        <v>18455.8887367891</v>
      </c>
      <c r="E770" s="50" t="n">
        <f aca="false">D770*C770</f>
        <v>195068.49067634</v>
      </c>
      <c r="F770" s="46" t="n">
        <v>762</v>
      </c>
      <c r="G770" s="47" t="n">
        <f aca="false">(F770-1)*$H$6</f>
        <v>1.37385828045319</v>
      </c>
      <c r="H770" s="48" t="n">
        <f aca="false">$H$7*G770</f>
        <v>10.5694444444444</v>
      </c>
      <c r="I770" s="49" t="n">
        <f aca="false">0.5*c_rho*'P3 Energie'!F8*'P3 Energie'!F7*(H770-c_Vv)^2+'P3 Energie'!F13+'P3 Energie'!F15+'P3 Energie'!F6*$H$7</f>
        <v>19277.904391741</v>
      </c>
      <c r="J770" s="50" t="n">
        <f aca="false">I770*H770</f>
        <v>203756.739473818</v>
      </c>
    </row>
    <row r="771" customFormat="false" ht="15" hidden="false" customHeight="false" outlineLevel="0" collapsed="false">
      <c r="A771" s="46" t="n">
        <v>763</v>
      </c>
      <c r="B771" s="47" t="n">
        <f aca="false">(A771-1)*$C$6</f>
        <v>1.37664675158488</v>
      </c>
      <c r="C771" s="48" t="n">
        <f aca="false">$C$7*B771</f>
        <v>10.5833333333333</v>
      </c>
      <c r="D771" s="49" t="n">
        <f aca="false">0.5*c_rho*'P3 Energie'!E8*'P3 Energie'!E7*(C771-c_Vv)^2+'P3 Energie'!E13+'P3 Energie'!E15+'P3 Energie'!E6*$C$7</f>
        <v>18456.0060873271</v>
      </c>
      <c r="E771" s="50" t="n">
        <f aca="false">D771*C771</f>
        <v>195326.064424211</v>
      </c>
      <c r="F771" s="46" t="n">
        <v>763</v>
      </c>
      <c r="G771" s="47" t="n">
        <f aca="false">(F771-1)*$H$6</f>
        <v>1.37566361327901</v>
      </c>
      <c r="H771" s="48" t="n">
        <f aca="false">$H$7*G771</f>
        <v>10.5833333333333</v>
      </c>
      <c r="I771" s="49" t="n">
        <f aca="false">0.5*c_rho*'P3 Energie'!F8*'P3 Energie'!F7*(H771-c_Vv)^2+'P3 Energie'!F13+'P3 Energie'!F15+'P3 Energie'!F6*$H$7</f>
        <v>19278.0063484824</v>
      </c>
      <c r="J771" s="50" t="n">
        <f aca="false">I771*H771</f>
        <v>204025.567188106</v>
      </c>
    </row>
    <row r="772" customFormat="false" ht="15" hidden="false" customHeight="false" outlineLevel="0" collapsed="false">
      <c r="A772" s="46" t="n">
        <v>764</v>
      </c>
      <c r="B772" s="47" t="n">
        <f aca="false">(A772-1)*$C$6</f>
        <v>1.37845337461845</v>
      </c>
      <c r="C772" s="48" t="n">
        <f aca="false">$C$7*B772</f>
        <v>10.5972222222222</v>
      </c>
      <c r="D772" s="49" t="n">
        <f aca="false">0.5*c_rho*'P3 Energie'!E8*'P3 Energie'!E7*(C772-c_Vv)^2+'P3 Energie'!E13+'P3 Energie'!E15+'P3 Energie'!E6*$C$7</f>
        <v>18456.1235919695</v>
      </c>
      <c r="E772" s="50" t="n">
        <f aca="false">D772*C772</f>
        <v>195583.643064899</v>
      </c>
      <c r="F772" s="46" t="n">
        <v>764</v>
      </c>
      <c r="G772" s="47" t="n">
        <f aca="false">(F772-1)*$H$6</f>
        <v>1.37746894610484</v>
      </c>
      <c r="H772" s="48" t="n">
        <f aca="false">$H$7*G772</f>
        <v>10.5972222222222</v>
      </c>
      <c r="I772" s="49" t="n">
        <f aca="false">0.5*c_rho*'P3 Energie'!F8*'P3 Energie'!F7*(H772-c_Vv)^2+'P3 Energie'!F13+'P3 Energie'!F15+'P3 Energie'!F6*$H$7</f>
        <v>19278.1084391132</v>
      </c>
      <c r="J772" s="50" t="n">
        <f aca="false">I772*H772</f>
        <v>204294.39915338</v>
      </c>
    </row>
    <row r="773" customFormat="false" ht="15" hidden="false" customHeight="false" outlineLevel="0" collapsed="false">
      <c r="A773" s="46" t="n">
        <v>765</v>
      </c>
      <c r="B773" s="47" t="n">
        <f aca="false">(A773-1)*$C$6</f>
        <v>1.38025999765203</v>
      </c>
      <c r="C773" s="48" t="n">
        <f aca="false">$C$7*B773</f>
        <v>10.6111111111111</v>
      </c>
      <c r="D773" s="49" t="n">
        <f aca="false">0.5*c_rho*'P3 Energie'!E8*'P3 Energie'!E7*(C773-c_Vv)^2+'P3 Energie'!E13+'P3 Energie'!E15+'P3 Energie'!E6*$C$7</f>
        <v>18456.2412507163</v>
      </c>
      <c r="E773" s="50" t="n">
        <f aca="false">D773*C773</f>
        <v>195841.226604823</v>
      </c>
      <c r="F773" s="46" t="n">
        <v>765</v>
      </c>
      <c r="G773" s="47" t="n">
        <f aca="false">(F773-1)*$H$6</f>
        <v>1.37927427893066</v>
      </c>
      <c r="H773" s="48" t="n">
        <f aca="false">$H$7*G773</f>
        <v>10.6111111111111</v>
      </c>
      <c r="I773" s="49" t="n">
        <f aca="false">0.5*c_rho*'P3 Energie'!F8*'P3 Energie'!F7*(H773-c_Vv)^2+'P3 Energie'!F13+'P3 Energie'!F15+'P3 Energie'!F6*$H$7</f>
        <v>19278.2106636333</v>
      </c>
      <c r="J773" s="50" t="n">
        <f aca="false">I773*H773</f>
        <v>204563.23537522</v>
      </c>
    </row>
    <row r="774" customFormat="false" ht="15" hidden="false" customHeight="false" outlineLevel="0" collapsed="false">
      <c r="A774" s="46" t="n">
        <v>766</v>
      </c>
      <c r="B774" s="47" t="n">
        <f aca="false">(A774-1)*$C$6</f>
        <v>1.3820666206856</v>
      </c>
      <c r="C774" s="48" t="n">
        <f aca="false">$C$7*B774</f>
        <v>10.625</v>
      </c>
      <c r="D774" s="49" t="n">
        <f aca="false">0.5*c_rho*'P3 Energie'!E8*'P3 Energie'!E7*(C774-c_Vv)^2+'P3 Energie'!E13+'P3 Energie'!E15+'P3 Energie'!E6*$C$7</f>
        <v>18456.3590635677</v>
      </c>
      <c r="E774" s="50" t="n">
        <f aca="false">D774*C774</f>
        <v>196098.815050406</v>
      </c>
      <c r="F774" s="46" t="n">
        <v>766</v>
      </c>
      <c r="G774" s="47" t="n">
        <f aca="false">(F774-1)*$H$6</f>
        <v>1.38107961175649</v>
      </c>
      <c r="H774" s="48" t="n">
        <f aca="false">$H$7*G774</f>
        <v>10.625</v>
      </c>
      <c r="I774" s="49" t="n">
        <f aca="false">0.5*c_rho*'P3 Energie'!F8*'P3 Energie'!F7*(H774-c_Vv)^2+'P3 Energie'!F13+'P3 Energie'!F15+'P3 Energie'!F6*$H$7</f>
        <v>19278.3130220428</v>
      </c>
      <c r="J774" s="50" t="n">
        <f aca="false">I774*H774</f>
        <v>204832.075859205</v>
      </c>
    </row>
    <row r="775" customFormat="false" ht="15" hidden="false" customHeight="false" outlineLevel="0" collapsed="false">
      <c r="A775" s="46" t="n">
        <v>767</v>
      </c>
      <c r="B775" s="47" t="n">
        <f aca="false">(A775-1)*$C$6</f>
        <v>1.38387324371918</v>
      </c>
      <c r="C775" s="48" t="n">
        <f aca="false">$C$7*B775</f>
        <v>10.6388888888889</v>
      </c>
      <c r="D775" s="49" t="n">
        <f aca="false">0.5*c_rho*'P3 Energie'!E8*'P3 Energie'!E7*(C775-c_Vv)^2+'P3 Energie'!E13+'P3 Energie'!E15+'P3 Energie'!E6*$C$7</f>
        <v>18456.4770305234</v>
      </c>
      <c r="E775" s="50" t="n">
        <f aca="false">D775*C775</f>
        <v>196356.408408069</v>
      </c>
      <c r="F775" s="46" t="n">
        <v>767</v>
      </c>
      <c r="G775" s="47" t="n">
        <f aca="false">(F775-1)*$H$6</f>
        <v>1.38288494458231</v>
      </c>
      <c r="H775" s="48" t="n">
        <f aca="false">$H$7*G775</f>
        <v>10.6388888888889</v>
      </c>
      <c r="I775" s="49" t="n">
        <f aca="false">0.5*c_rho*'P3 Energie'!F8*'P3 Energie'!F7*(H775-c_Vv)^2+'P3 Energie'!F13+'P3 Energie'!F15+'P3 Energie'!F6*$H$7</f>
        <v>19278.4155143417</v>
      </c>
      <c r="J775" s="50" t="n">
        <f aca="false">I775*H775</f>
        <v>205100.920610913</v>
      </c>
    </row>
    <row r="776" customFormat="false" ht="15" hidden="false" customHeight="false" outlineLevel="0" collapsed="false">
      <c r="A776" s="46" t="n">
        <v>768</v>
      </c>
      <c r="B776" s="47" t="n">
        <f aca="false">(A776-1)*$C$6</f>
        <v>1.38567986675276</v>
      </c>
      <c r="C776" s="48" t="n">
        <f aca="false">$C$7*B776</f>
        <v>10.6527777777778</v>
      </c>
      <c r="D776" s="49" t="n">
        <f aca="false">0.5*c_rho*'P3 Energie'!E8*'P3 Energie'!E7*(C776-c_Vv)^2+'P3 Energie'!E13+'P3 Energie'!E15+'P3 Energie'!E6*$C$7</f>
        <v>18456.5951515836</v>
      </c>
      <c r="E776" s="50" t="n">
        <f aca="false">D776*C776</f>
        <v>196614.006684231</v>
      </c>
      <c r="F776" s="46" t="n">
        <v>768</v>
      </c>
      <c r="G776" s="47" t="n">
        <f aca="false">(F776-1)*$H$6</f>
        <v>1.38469027740814</v>
      </c>
      <c r="H776" s="48" t="n">
        <f aca="false">$H$7*G776</f>
        <v>10.6527777777778</v>
      </c>
      <c r="I776" s="49" t="n">
        <f aca="false">0.5*c_rho*'P3 Energie'!F8*'P3 Energie'!F7*(H776-c_Vv)^2+'P3 Energie'!F13+'P3 Energie'!F15+'P3 Energie'!F6*$H$7</f>
        <v>19278.5181405299</v>
      </c>
      <c r="J776" s="50" t="n">
        <f aca="false">I776*H776</f>
        <v>205369.769635922</v>
      </c>
    </row>
    <row r="777" customFormat="false" ht="15" hidden="false" customHeight="false" outlineLevel="0" collapsed="false">
      <c r="A777" s="46" t="n">
        <v>769</v>
      </c>
      <c r="B777" s="47" t="n">
        <f aca="false">(A777-1)*$C$6</f>
        <v>1.38748648978633</v>
      </c>
      <c r="C777" s="48" t="n">
        <f aca="false">$C$7*B777</f>
        <v>10.6666666666667</v>
      </c>
      <c r="D777" s="49" t="n">
        <f aca="false">0.5*c_rho*'P3 Energie'!E8*'P3 Energie'!E7*(C777-c_Vv)^2+'P3 Energie'!E13+'P3 Energie'!E15+'P3 Energie'!E6*$C$7</f>
        <v>18456.7134267483</v>
      </c>
      <c r="E777" s="50" t="n">
        <f aca="false">D777*C777</f>
        <v>196871.609885315</v>
      </c>
      <c r="F777" s="46" t="n">
        <v>769</v>
      </c>
      <c r="G777" s="47" t="n">
        <f aca="false">(F777-1)*$H$6</f>
        <v>1.38649561023397</v>
      </c>
      <c r="H777" s="48" t="n">
        <f aca="false">$H$7*G777</f>
        <v>10.6666666666667</v>
      </c>
      <c r="I777" s="49" t="n">
        <f aca="false">0.5*c_rho*'P3 Energie'!F8*'P3 Energie'!F7*(H777-c_Vv)^2+'P3 Energie'!F13+'P3 Energie'!F15+'P3 Energie'!F6*$H$7</f>
        <v>19278.6209006074</v>
      </c>
      <c r="J777" s="50" t="n">
        <f aca="false">I777*H777</f>
        <v>205638.622939812</v>
      </c>
    </row>
    <row r="778" customFormat="false" ht="15" hidden="false" customHeight="false" outlineLevel="0" collapsed="false">
      <c r="A778" s="46" t="n">
        <v>770</v>
      </c>
      <c r="B778" s="47" t="n">
        <f aca="false">(A778-1)*$C$6</f>
        <v>1.38929311281991</v>
      </c>
      <c r="C778" s="48" t="n">
        <f aca="false">$C$7*B778</f>
        <v>10.6805555555556</v>
      </c>
      <c r="D778" s="49" t="n">
        <f aca="false">0.5*c_rho*'P3 Energie'!E8*'P3 Energie'!E7*(C778-c_Vv)^2+'P3 Energie'!E13+'P3 Energie'!E15+'P3 Energie'!E6*$C$7</f>
        <v>18456.8318560174</v>
      </c>
      <c r="E778" s="50" t="n">
        <f aca="false">D778*C778</f>
        <v>197129.218017742</v>
      </c>
      <c r="F778" s="46" t="n">
        <v>770</v>
      </c>
      <c r="G778" s="47" t="n">
        <f aca="false">(F778-1)*$H$6</f>
        <v>1.38830094305979</v>
      </c>
      <c r="H778" s="48" t="n">
        <f aca="false">$H$7*G778</f>
        <v>10.6805555555556</v>
      </c>
      <c r="I778" s="49" t="n">
        <f aca="false">0.5*c_rho*'P3 Energie'!F8*'P3 Energie'!F7*(H778-c_Vv)^2+'P3 Energie'!F13+'P3 Energie'!F15+'P3 Energie'!F6*$H$7</f>
        <v>19278.7237945743</v>
      </c>
      <c r="J778" s="50" t="n">
        <f aca="false">I778*H778</f>
        <v>205907.480528162</v>
      </c>
    </row>
    <row r="779" customFormat="false" ht="15" hidden="false" customHeight="false" outlineLevel="0" collapsed="false">
      <c r="A779" s="46" t="n">
        <v>771</v>
      </c>
      <c r="B779" s="47" t="n">
        <f aca="false">(A779-1)*$C$6</f>
        <v>1.39109973585348</v>
      </c>
      <c r="C779" s="48" t="n">
        <f aca="false">$C$7*B779</f>
        <v>10.6944444444444</v>
      </c>
      <c r="D779" s="49" t="n">
        <f aca="false">0.5*c_rho*'P3 Energie'!E8*'P3 Energie'!E7*(C779-c_Vv)^2+'P3 Energie'!E13+'P3 Energie'!E15+'P3 Energie'!E6*$C$7</f>
        <v>18456.950439391</v>
      </c>
      <c r="E779" s="50" t="n">
        <f aca="false">D779*C779</f>
        <v>197386.831087931</v>
      </c>
      <c r="F779" s="46" t="n">
        <v>771</v>
      </c>
      <c r="G779" s="47" t="n">
        <f aca="false">(F779-1)*$H$6</f>
        <v>1.39010627588562</v>
      </c>
      <c r="H779" s="48" t="n">
        <f aca="false">$H$7*G779</f>
        <v>10.6944444444444</v>
      </c>
      <c r="I779" s="49" t="n">
        <f aca="false">0.5*c_rho*'P3 Energie'!F8*'P3 Energie'!F7*(H779-c_Vv)^2+'P3 Energie'!F13+'P3 Energie'!F15+'P3 Energie'!F6*$H$7</f>
        <v>19278.8268224306</v>
      </c>
      <c r="J779" s="50" t="n">
        <f aca="false">I779*H779</f>
        <v>206176.342406549</v>
      </c>
    </row>
    <row r="780" customFormat="false" ht="15" hidden="false" customHeight="false" outlineLevel="0" collapsed="false">
      <c r="A780" s="46" t="n">
        <v>772</v>
      </c>
      <c r="B780" s="47" t="n">
        <f aca="false">(A780-1)*$C$6</f>
        <v>1.39290635888706</v>
      </c>
      <c r="C780" s="48" t="n">
        <f aca="false">$C$7*B780</f>
        <v>10.7083333333333</v>
      </c>
      <c r="D780" s="49" t="n">
        <f aca="false">0.5*c_rho*'P3 Energie'!E8*'P3 Energie'!E7*(C780-c_Vv)^2+'P3 Energie'!E13+'P3 Energie'!E15+'P3 Energie'!E6*$C$7</f>
        <v>18457.069176869</v>
      </c>
      <c r="E780" s="50" t="n">
        <f aca="false">D780*C780</f>
        <v>197644.449102305</v>
      </c>
      <c r="F780" s="46" t="n">
        <v>772</v>
      </c>
      <c r="G780" s="47" t="n">
        <f aca="false">(F780-1)*$H$6</f>
        <v>1.39191160871144</v>
      </c>
      <c r="H780" s="48" t="n">
        <f aca="false">$H$7*G780</f>
        <v>10.7083333333333</v>
      </c>
      <c r="I780" s="49" t="n">
        <f aca="false">0.5*c_rho*'P3 Energie'!F8*'P3 Energie'!F7*(H780-c_Vv)^2+'P3 Energie'!F13+'P3 Energie'!F15+'P3 Energie'!F6*$H$7</f>
        <v>19278.9299841762</v>
      </c>
      <c r="J780" s="50" t="n">
        <f aca="false">I780*H780</f>
        <v>206445.208580553</v>
      </c>
    </row>
    <row r="781" customFormat="false" ht="15" hidden="false" customHeight="false" outlineLevel="0" collapsed="false">
      <c r="A781" s="46" t="n">
        <v>773</v>
      </c>
      <c r="B781" s="47" t="n">
        <f aca="false">(A781-1)*$C$6</f>
        <v>1.39471298192064</v>
      </c>
      <c r="C781" s="48" t="n">
        <f aca="false">$C$7*B781</f>
        <v>10.7222222222222</v>
      </c>
      <c r="D781" s="49" t="n">
        <f aca="false">0.5*c_rho*'P3 Energie'!E8*'P3 Energie'!E7*(C781-c_Vv)^2+'P3 Energie'!E13+'P3 Energie'!E15+'P3 Energie'!E6*$C$7</f>
        <v>18457.1880684515</v>
      </c>
      <c r="E781" s="50" t="n">
        <f aca="false">D781*C781</f>
        <v>197902.072067285</v>
      </c>
      <c r="F781" s="46" t="n">
        <v>773</v>
      </c>
      <c r="G781" s="47" t="n">
        <f aca="false">(F781-1)*$H$6</f>
        <v>1.39371694153727</v>
      </c>
      <c r="H781" s="48" t="n">
        <f aca="false">$H$7*G781</f>
        <v>10.7222222222222</v>
      </c>
      <c r="I781" s="49" t="n">
        <f aca="false">0.5*c_rho*'P3 Energie'!F8*'P3 Energie'!F7*(H781-c_Vv)^2+'P3 Energie'!F13+'P3 Energie'!F15+'P3 Energie'!F6*$H$7</f>
        <v>19279.0332798111</v>
      </c>
      <c r="J781" s="50" t="n">
        <f aca="false">I781*H781</f>
        <v>206714.079055752</v>
      </c>
    </row>
    <row r="782" customFormat="false" ht="15" hidden="false" customHeight="false" outlineLevel="0" collapsed="false">
      <c r="A782" s="46" t="n">
        <v>774</v>
      </c>
      <c r="B782" s="47" t="n">
        <f aca="false">(A782-1)*$C$6</f>
        <v>1.39651960495421</v>
      </c>
      <c r="C782" s="48" t="n">
        <f aca="false">$C$7*B782</f>
        <v>10.7361111111111</v>
      </c>
      <c r="D782" s="49" t="n">
        <f aca="false">0.5*c_rho*'P3 Energie'!E8*'P3 Energie'!E7*(C782-c_Vv)^2+'P3 Energie'!E13+'P3 Energie'!E15+'P3 Energie'!E6*$C$7</f>
        <v>18457.3071141384</v>
      </c>
      <c r="E782" s="50" t="n">
        <f aca="false">D782*C782</f>
        <v>198159.699989291</v>
      </c>
      <c r="F782" s="46" t="n">
        <v>774</v>
      </c>
      <c r="G782" s="47" t="n">
        <f aca="false">(F782-1)*$H$6</f>
        <v>1.39552227436309</v>
      </c>
      <c r="H782" s="48" t="n">
        <f aca="false">$H$7*G782</f>
        <v>10.7361111111111</v>
      </c>
      <c r="I782" s="49" t="n">
        <f aca="false">0.5*c_rho*'P3 Energie'!F8*'P3 Energie'!F7*(H782-c_Vv)^2+'P3 Energie'!F13+'P3 Energie'!F15+'P3 Energie'!F6*$H$7</f>
        <v>19279.1367093354</v>
      </c>
      <c r="J782" s="50" t="n">
        <f aca="false">I782*H782</f>
        <v>206982.953837726</v>
      </c>
    </row>
    <row r="783" customFormat="false" ht="15" hidden="false" customHeight="false" outlineLevel="0" collapsed="false">
      <c r="A783" s="46" t="n">
        <v>775</v>
      </c>
      <c r="B783" s="47" t="n">
        <f aca="false">(A783-1)*$C$6</f>
        <v>1.39832622798779</v>
      </c>
      <c r="C783" s="48" t="n">
        <f aca="false">$C$7*B783</f>
        <v>10.75</v>
      </c>
      <c r="D783" s="49" t="n">
        <f aca="false">0.5*c_rho*'P3 Energie'!E8*'P3 Energie'!E7*(C783-c_Vv)^2+'P3 Energie'!E13+'P3 Energie'!E15+'P3 Energie'!E6*$C$7</f>
        <v>18457.4263139297</v>
      </c>
      <c r="E783" s="50" t="n">
        <f aca="false">D783*C783</f>
        <v>198417.332874744</v>
      </c>
      <c r="F783" s="46" t="n">
        <v>775</v>
      </c>
      <c r="G783" s="47" t="n">
        <f aca="false">(F783-1)*$H$6</f>
        <v>1.39732760718892</v>
      </c>
      <c r="H783" s="48" t="n">
        <f aca="false">$H$7*G783</f>
        <v>10.75</v>
      </c>
      <c r="I783" s="49" t="n">
        <f aca="false">0.5*c_rho*'P3 Energie'!F8*'P3 Energie'!F7*(H783-c_Vv)^2+'P3 Energie'!F13+'P3 Energie'!F15+'P3 Energie'!F6*$H$7</f>
        <v>19279.2402727491</v>
      </c>
      <c r="J783" s="50" t="n">
        <f aca="false">I783*H783</f>
        <v>207251.832932053</v>
      </c>
    </row>
    <row r="784" customFormat="false" ht="15" hidden="false" customHeight="false" outlineLevel="0" collapsed="false">
      <c r="A784" s="46" t="n">
        <v>776</v>
      </c>
      <c r="B784" s="47" t="n">
        <f aca="false">(A784-1)*$C$6</f>
        <v>1.40013285102136</v>
      </c>
      <c r="C784" s="48" t="n">
        <f aca="false">$C$7*B784</f>
        <v>10.7638888888889</v>
      </c>
      <c r="D784" s="49" t="n">
        <f aca="false">0.5*c_rho*'P3 Energie'!E8*'P3 Energie'!E7*(C784-c_Vv)^2+'P3 Energie'!E13+'P3 Energie'!E15+'P3 Energie'!E6*$C$7</f>
        <v>18457.5456678255</v>
      </c>
      <c r="E784" s="50" t="n">
        <f aca="false">D784*C784</f>
        <v>198674.970730066</v>
      </c>
      <c r="F784" s="46" t="n">
        <v>776</v>
      </c>
      <c r="G784" s="47" t="n">
        <f aca="false">(F784-1)*$H$6</f>
        <v>1.39913294001474</v>
      </c>
      <c r="H784" s="48" t="n">
        <f aca="false">$H$7*G784</f>
        <v>10.7638888888889</v>
      </c>
      <c r="I784" s="49" t="n">
        <f aca="false">0.5*c_rho*'P3 Energie'!F8*'P3 Energie'!F7*(H784-c_Vv)^2+'P3 Energie'!F13+'P3 Energie'!F15+'P3 Energie'!F6*$H$7</f>
        <v>19279.3439700521</v>
      </c>
      <c r="J784" s="50" t="n">
        <f aca="false">I784*H784</f>
        <v>207520.716344311</v>
      </c>
    </row>
    <row r="785" customFormat="false" ht="15" hidden="false" customHeight="false" outlineLevel="0" collapsed="false">
      <c r="A785" s="46" t="n">
        <v>777</v>
      </c>
      <c r="B785" s="47" t="n">
        <f aca="false">(A785-1)*$C$6</f>
        <v>1.40193947405494</v>
      </c>
      <c r="C785" s="48" t="n">
        <f aca="false">$C$7*B785</f>
        <v>10.7777777777778</v>
      </c>
      <c r="D785" s="49" t="n">
        <f aca="false">0.5*c_rho*'P3 Energie'!E8*'P3 Energie'!E7*(C785-c_Vv)^2+'P3 Energie'!E13+'P3 Energie'!E15+'P3 Energie'!E6*$C$7</f>
        <v>18457.6651758258</v>
      </c>
      <c r="E785" s="50" t="n">
        <f aca="false">D785*C785</f>
        <v>198932.613561678</v>
      </c>
      <c r="F785" s="46" t="n">
        <v>777</v>
      </c>
      <c r="G785" s="47" t="n">
        <f aca="false">(F785-1)*$H$6</f>
        <v>1.40093827284057</v>
      </c>
      <c r="H785" s="48" t="n">
        <f aca="false">$H$7*G785</f>
        <v>10.7777777777778</v>
      </c>
      <c r="I785" s="49" t="n">
        <f aca="false">0.5*c_rho*'P3 Energie'!F8*'P3 Energie'!F7*(H785-c_Vv)^2+'P3 Energie'!F13+'P3 Energie'!F15+'P3 Energie'!F6*$H$7</f>
        <v>19279.4478012444</v>
      </c>
      <c r="J785" s="50" t="n">
        <f aca="false">I785*H785</f>
        <v>207789.604080079</v>
      </c>
    </row>
    <row r="786" customFormat="false" ht="15" hidden="false" customHeight="false" outlineLevel="0" collapsed="false">
      <c r="A786" s="46" t="n">
        <v>778</v>
      </c>
      <c r="B786" s="47" t="n">
        <f aca="false">(A786-1)*$C$6</f>
        <v>1.40374609708852</v>
      </c>
      <c r="C786" s="48" t="n">
        <f aca="false">$C$7*B786</f>
        <v>10.7916666666667</v>
      </c>
      <c r="D786" s="49" t="n">
        <f aca="false">0.5*c_rho*'P3 Energie'!E8*'P3 Energie'!E7*(C786-c_Vv)^2+'P3 Energie'!E13+'P3 Energie'!E15+'P3 Energie'!E6*$C$7</f>
        <v>18457.7848379305</v>
      </c>
      <c r="E786" s="50" t="n">
        <f aca="false">D786*C786</f>
        <v>199190.261376</v>
      </c>
      <c r="F786" s="46" t="n">
        <v>778</v>
      </c>
      <c r="G786" s="47" t="n">
        <f aca="false">(F786-1)*$H$6</f>
        <v>1.40274360566639</v>
      </c>
      <c r="H786" s="48" t="n">
        <f aca="false">$H$7*G786</f>
        <v>10.7916666666667</v>
      </c>
      <c r="I786" s="49" t="n">
        <f aca="false">0.5*c_rho*'P3 Energie'!F8*'P3 Energie'!F7*(H786-c_Vv)^2+'P3 Energie'!F13+'P3 Energie'!F15+'P3 Energie'!F6*$H$7</f>
        <v>19279.5517663262</v>
      </c>
      <c r="J786" s="50" t="n">
        <f aca="false">I786*H786</f>
        <v>208058.496144937</v>
      </c>
    </row>
    <row r="787" customFormat="false" ht="15" hidden="false" customHeight="false" outlineLevel="0" collapsed="false">
      <c r="A787" s="46" t="n">
        <v>779</v>
      </c>
      <c r="B787" s="47" t="n">
        <f aca="false">(A787-1)*$C$6</f>
        <v>1.40555272012209</v>
      </c>
      <c r="C787" s="48" t="n">
        <f aca="false">$C$7*B787</f>
        <v>10.8055555555556</v>
      </c>
      <c r="D787" s="49" t="n">
        <f aca="false">0.5*c_rho*'P3 Energie'!E8*'P3 Energie'!E7*(C787-c_Vv)^2+'P3 Energie'!E13+'P3 Energie'!E15+'P3 Energie'!E6*$C$7</f>
        <v>18457.9046541396</v>
      </c>
      <c r="E787" s="50" t="n">
        <f aca="false">D787*C787</f>
        <v>199447.914179453</v>
      </c>
      <c r="F787" s="46" t="n">
        <v>779</v>
      </c>
      <c r="G787" s="47" t="n">
        <f aca="false">(F787-1)*$H$6</f>
        <v>1.40454893849222</v>
      </c>
      <c r="H787" s="48" t="n">
        <f aca="false">$H$7*G787</f>
        <v>10.8055555555556</v>
      </c>
      <c r="I787" s="49" t="n">
        <f aca="false">0.5*c_rho*'P3 Energie'!F8*'P3 Energie'!F7*(H787-c_Vv)^2+'P3 Energie'!F13+'P3 Energie'!F15+'P3 Energie'!F6*$H$7</f>
        <v>19279.6558652972</v>
      </c>
      <c r="J787" s="50" t="n">
        <f aca="false">I787*H787</f>
        <v>208327.392544462</v>
      </c>
    </row>
    <row r="788" customFormat="false" ht="15" hidden="false" customHeight="false" outlineLevel="0" collapsed="false">
      <c r="A788" s="46" t="n">
        <v>780</v>
      </c>
      <c r="B788" s="47" t="n">
        <f aca="false">(A788-1)*$C$6</f>
        <v>1.40735934315567</v>
      </c>
      <c r="C788" s="48" t="n">
        <f aca="false">$C$7*B788</f>
        <v>10.8194444444444</v>
      </c>
      <c r="D788" s="49" t="n">
        <f aca="false">0.5*c_rho*'P3 Energie'!E8*'P3 Energie'!E7*(C788-c_Vv)^2+'P3 Energie'!E13+'P3 Energie'!E15+'P3 Energie'!E6*$C$7</f>
        <v>18458.0246244532</v>
      </c>
      <c r="E788" s="50" t="n">
        <f aca="false">D788*C788</f>
        <v>199705.571978459</v>
      </c>
      <c r="F788" s="46" t="n">
        <v>780</v>
      </c>
      <c r="G788" s="47" t="n">
        <f aca="false">(F788-1)*$H$6</f>
        <v>1.40635427131805</v>
      </c>
      <c r="H788" s="48" t="n">
        <f aca="false">$H$7*G788</f>
        <v>10.8194444444444</v>
      </c>
      <c r="I788" s="49" t="n">
        <f aca="false">0.5*c_rho*'P3 Energie'!F8*'P3 Energie'!F7*(H788-c_Vv)^2+'P3 Energie'!F13+'P3 Energie'!F15+'P3 Energie'!F6*$H$7</f>
        <v>19279.7600981576</v>
      </c>
      <c r="J788" s="50" t="n">
        <f aca="false">I788*H788</f>
        <v>208596.293284233</v>
      </c>
    </row>
    <row r="789" customFormat="false" ht="15" hidden="false" customHeight="false" outlineLevel="0" collapsed="false">
      <c r="A789" s="46" t="n">
        <v>781</v>
      </c>
      <c r="B789" s="47" t="n">
        <f aca="false">(A789-1)*$C$6</f>
        <v>1.40916596618924</v>
      </c>
      <c r="C789" s="48" t="n">
        <f aca="false">$C$7*B789</f>
        <v>10.8333333333333</v>
      </c>
      <c r="D789" s="49" t="n">
        <f aca="false">0.5*c_rho*'P3 Energie'!E8*'P3 Energie'!E7*(C789-c_Vv)^2+'P3 Energie'!E13+'P3 Energie'!E15+'P3 Energie'!E6*$C$7</f>
        <v>18458.1447488713</v>
      </c>
      <c r="E789" s="50" t="n">
        <f aca="false">D789*C789</f>
        <v>199963.234779439</v>
      </c>
      <c r="F789" s="46" t="n">
        <v>781</v>
      </c>
      <c r="G789" s="47" t="n">
        <f aca="false">(F789-1)*$H$6</f>
        <v>1.40815960414387</v>
      </c>
      <c r="H789" s="48" t="n">
        <f aca="false">$H$7*G789</f>
        <v>10.8333333333333</v>
      </c>
      <c r="I789" s="49" t="n">
        <f aca="false">0.5*c_rho*'P3 Energie'!F8*'P3 Energie'!F7*(H789-c_Vv)^2+'P3 Energie'!F13+'P3 Energie'!F15+'P3 Energie'!F6*$H$7</f>
        <v>19279.8644649074</v>
      </c>
      <c r="J789" s="50" t="n">
        <f aca="false">I789*H789</f>
        <v>208865.19836983</v>
      </c>
    </row>
    <row r="790" customFormat="false" ht="15" hidden="false" customHeight="false" outlineLevel="0" collapsed="false">
      <c r="A790" s="46" t="n">
        <v>782</v>
      </c>
      <c r="B790" s="47" t="n">
        <f aca="false">(A790-1)*$C$6</f>
        <v>1.41097258922282</v>
      </c>
      <c r="C790" s="48" t="n">
        <f aca="false">$C$7*B790</f>
        <v>10.8472222222222</v>
      </c>
      <c r="D790" s="49" t="n">
        <f aca="false">0.5*c_rho*'P3 Energie'!E8*'P3 Energie'!E7*(C790-c_Vv)^2+'P3 Energie'!E13+'P3 Energie'!E15+'P3 Energie'!E6*$C$7</f>
        <v>18458.2650273938</v>
      </c>
      <c r="E790" s="50" t="n">
        <f aca="false">D790*C790</f>
        <v>200220.902588813</v>
      </c>
      <c r="F790" s="46" t="n">
        <v>782</v>
      </c>
      <c r="G790" s="47" t="n">
        <f aca="false">(F790-1)*$H$6</f>
        <v>1.4099649369697</v>
      </c>
      <c r="H790" s="48" t="n">
        <f aca="false">$H$7*G790</f>
        <v>10.8472222222222</v>
      </c>
      <c r="I790" s="49" t="n">
        <f aca="false">0.5*c_rho*'P3 Energie'!F8*'P3 Energie'!F7*(H790-c_Vv)^2+'P3 Energie'!F13+'P3 Energie'!F15+'P3 Energie'!F6*$H$7</f>
        <v>19279.9689655465</v>
      </c>
      <c r="J790" s="50" t="n">
        <f aca="false">I790*H790</f>
        <v>209134.107806831</v>
      </c>
    </row>
    <row r="791" customFormat="false" ht="15" hidden="false" customHeight="false" outlineLevel="0" collapsed="false">
      <c r="A791" s="46" t="n">
        <v>783</v>
      </c>
      <c r="B791" s="47" t="n">
        <f aca="false">(A791-1)*$C$6</f>
        <v>1.4127792122564</v>
      </c>
      <c r="C791" s="48" t="n">
        <f aca="false">$C$7*B791</f>
        <v>10.8611111111111</v>
      </c>
      <c r="D791" s="49" t="n">
        <f aca="false">0.5*c_rho*'P3 Energie'!E8*'P3 Energie'!E7*(C791-c_Vv)^2+'P3 Energie'!E13+'P3 Energie'!E15+'P3 Energie'!E6*$C$7</f>
        <v>18458.3854600208</v>
      </c>
      <c r="E791" s="50" t="n">
        <f aca="false">D791*C791</f>
        <v>200478.575413003</v>
      </c>
      <c r="F791" s="46" t="n">
        <v>783</v>
      </c>
      <c r="G791" s="47" t="n">
        <f aca="false">(F791-1)*$H$6</f>
        <v>1.41177026979552</v>
      </c>
      <c r="H791" s="48" t="n">
        <f aca="false">$H$7*G791</f>
        <v>10.8611111111111</v>
      </c>
      <c r="I791" s="49" t="n">
        <f aca="false">0.5*c_rho*'P3 Energie'!F8*'P3 Energie'!F7*(H791-c_Vv)^2+'P3 Energie'!F13+'P3 Energie'!F15+'P3 Energie'!F6*$H$7</f>
        <v>19280.073600075</v>
      </c>
      <c r="J791" s="50" t="n">
        <f aca="false">I791*H791</f>
        <v>209403.021600815</v>
      </c>
    </row>
    <row r="792" customFormat="false" ht="15" hidden="false" customHeight="false" outlineLevel="0" collapsed="false">
      <c r="A792" s="46" t="n">
        <v>784</v>
      </c>
      <c r="B792" s="47" t="n">
        <f aca="false">(A792-1)*$C$6</f>
        <v>1.41458583528997</v>
      </c>
      <c r="C792" s="48" t="n">
        <f aca="false">$C$7*B792</f>
        <v>10.875</v>
      </c>
      <c r="D792" s="49" t="n">
        <f aca="false">0.5*c_rho*'P3 Energie'!E8*'P3 Energie'!E7*(C792-c_Vv)^2+'P3 Energie'!E13+'P3 Energie'!E15+'P3 Energie'!E6*$C$7</f>
        <v>18458.5060467522</v>
      </c>
      <c r="E792" s="50" t="n">
        <f aca="false">D792*C792</f>
        <v>200736.25325843</v>
      </c>
      <c r="F792" s="46" t="n">
        <v>784</v>
      </c>
      <c r="G792" s="47" t="n">
        <f aca="false">(F792-1)*$H$6</f>
        <v>1.41357560262135</v>
      </c>
      <c r="H792" s="48" t="n">
        <f aca="false">$H$7*G792</f>
        <v>10.875</v>
      </c>
      <c r="I792" s="49" t="n">
        <f aca="false">0.5*c_rho*'P3 Energie'!F8*'P3 Energie'!F7*(H792-c_Vv)^2+'P3 Energie'!F13+'P3 Energie'!F15+'P3 Energie'!F6*$H$7</f>
        <v>19280.1783684928</v>
      </c>
      <c r="J792" s="50" t="n">
        <f aca="false">I792*H792</f>
        <v>209671.93975736</v>
      </c>
    </row>
    <row r="793" customFormat="false" ht="15" hidden="false" customHeight="false" outlineLevel="0" collapsed="false">
      <c r="A793" s="46" t="n">
        <v>785</v>
      </c>
      <c r="B793" s="47" t="n">
        <f aca="false">(A793-1)*$C$6</f>
        <v>1.41639245832355</v>
      </c>
      <c r="C793" s="48" t="n">
        <f aca="false">$C$7*B793</f>
        <v>10.8888888888889</v>
      </c>
      <c r="D793" s="49" t="n">
        <f aca="false">0.5*c_rho*'P3 Energie'!E8*'P3 Energie'!E7*(C793-c_Vv)^2+'P3 Energie'!E13+'P3 Energie'!E15+'P3 Energie'!E6*$C$7</f>
        <v>18458.626787588</v>
      </c>
      <c r="E793" s="50" t="n">
        <f aca="false">D793*C793</f>
        <v>200993.936131514</v>
      </c>
      <c r="F793" s="46" t="n">
        <v>785</v>
      </c>
      <c r="G793" s="47" t="n">
        <f aca="false">(F793-1)*$H$6</f>
        <v>1.41538093544717</v>
      </c>
      <c r="H793" s="48" t="n">
        <f aca="false">$H$7*G793</f>
        <v>10.8888888888889</v>
      </c>
      <c r="I793" s="49" t="n">
        <f aca="false">0.5*c_rho*'P3 Energie'!F8*'P3 Energie'!F7*(H793-c_Vv)^2+'P3 Energie'!F13+'P3 Energie'!F15+'P3 Energie'!F6*$H$7</f>
        <v>19280.2832708</v>
      </c>
      <c r="J793" s="50" t="n">
        <f aca="false">I793*H793</f>
        <v>209940.862282045</v>
      </c>
    </row>
    <row r="794" customFormat="false" ht="15" hidden="false" customHeight="false" outlineLevel="0" collapsed="false">
      <c r="A794" s="46" t="n">
        <v>786</v>
      </c>
      <c r="B794" s="47" t="n">
        <f aca="false">(A794-1)*$C$6</f>
        <v>1.41819908135712</v>
      </c>
      <c r="C794" s="48" t="n">
        <f aca="false">$C$7*B794</f>
        <v>10.9027777777778</v>
      </c>
      <c r="D794" s="49" t="n">
        <f aca="false">0.5*c_rho*'P3 Energie'!E8*'P3 Energie'!E7*(C794-c_Vv)^2+'P3 Energie'!E13+'P3 Energie'!E15+'P3 Energie'!E6*$C$7</f>
        <v>18458.7476825283</v>
      </c>
      <c r="E794" s="50" t="n">
        <f aca="false">D794*C794</f>
        <v>201251.624038677</v>
      </c>
      <c r="F794" s="46" t="n">
        <v>786</v>
      </c>
      <c r="G794" s="47" t="n">
        <f aca="false">(F794-1)*$H$6</f>
        <v>1.417186268273</v>
      </c>
      <c r="H794" s="48" t="n">
        <f aca="false">$H$7*G794</f>
        <v>10.9027777777778</v>
      </c>
      <c r="I794" s="49" t="n">
        <f aca="false">0.5*c_rho*'P3 Energie'!F8*'P3 Energie'!F7*(H794-c_Vv)^2+'P3 Energie'!F13+'P3 Energie'!F15+'P3 Energie'!F6*$H$7</f>
        <v>19280.3883069965</v>
      </c>
      <c r="J794" s="50" t="n">
        <f aca="false">I794*H794</f>
        <v>210209.789180448</v>
      </c>
    </row>
    <row r="795" customFormat="false" ht="15" hidden="false" customHeight="false" outlineLevel="0" collapsed="false">
      <c r="A795" s="46" t="n">
        <v>787</v>
      </c>
      <c r="B795" s="47" t="n">
        <f aca="false">(A795-1)*$C$6</f>
        <v>1.4200057043907</v>
      </c>
      <c r="C795" s="48" t="n">
        <f aca="false">$C$7*B795</f>
        <v>10.9166666666667</v>
      </c>
      <c r="D795" s="49" t="n">
        <f aca="false">0.5*c_rho*'P3 Energie'!E8*'P3 Energie'!E7*(C795-c_Vv)^2+'P3 Energie'!E13+'P3 Energie'!E15+'P3 Energie'!E6*$C$7</f>
        <v>18458.8687315731</v>
      </c>
      <c r="E795" s="50" t="n">
        <f aca="false">D795*C795</f>
        <v>201509.316986339</v>
      </c>
      <c r="F795" s="46" t="n">
        <v>787</v>
      </c>
      <c r="G795" s="47" t="n">
        <f aca="false">(F795-1)*$H$6</f>
        <v>1.41899160109882</v>
      </c>
      <c r="H795" s="48" t="n">
        <f aca="false">$H$7*G795</f>
        <v>10.9166666666667</v>
      </c>
      <c r="I795" s="49" t="n">
        <f aca="false">0.5*c_rho*'P3 Energie'!F8*'P3 Energie'!F7*(H795-c_Vv)^2+'P3 Energie'!F13+'P3 Energie'!F15+'P3 Energie'!F6*$H$7</f>
        <v>19280.4934770824</v>
      </c>
      <c r="J795" s="50" t="n">
        <f aca="false">I795*H795</f>
        <v>210478.72045815</v>
      </c>
    </row>
    <row r="796" customFormat="false" ht="15" hidden="false" customHeight="false" outlineLevel="0" collapsed="false">
      <c r="A796" s="46" t="n">
        <v>788</v>
      </c>
      <c r="B796" s="47" t="n">
        <f aca="false">(A796-1)*$C$6</f>
        <v>1.42181232742428</v>
      </c>
      <c r="C796" s="48" t="n">
        <f aca="false">$C$7*B796</f>
        <v>10.9305555555556</v>
      </c>
      <c r="D796" s="49" t="n">
        <f aca="false">0.5*c_rho*'P3 Energie'!E8*'P3 Energie'!E7*(C796-c_Vv)^2+'P3 Energie'!E13+'P3 Energie'!E15+'P3 Energie'!E6*$C$7</f>
        <v>18458.9899347223</v>
      </c>
      <c r="E796" s="50" t="n">
        <f aca="false">D796*C796</f>
        <v>201767.014980922</v>
      </c>
      <c r="F796" s="46" t="n">
        <v>788</v>
      </c>
      <c r="G796" s="47" t="n">
        <f aca="false">(F796-1)*$H$6</f>
        <v>1.42079693392465</v>
      </c>
      <c r="H796" s="48" t="n">
        <f aca="false">$H$7*G796</f>
        <v>10.9305555555556</v>
      </c>
      <c r="I796" s="49" t="n">
        <f aca="false">0.5*c_rho*'P3 Energie'!F8*'P3 Energie'!F7*(H796-c_Vv)^2+'P3 Energie'!F13+'P3 Energie'!F15+'P3 Energie'!F6*$H$7</f>
        <v>19280.5987810576</v>
      </c>
      <c r="J796" s="50" t="n">
        <f aca="false">I796*H796</f>
        <v>210747.656120727</v>
      </c>
    </row>
    <row r="797" customFormat="false" ht="15" hidden="false" customHeight="false" outlineLevel="0" collapsed="false">
      <c r="A797" s="46" t="n">
        <v>789</v>
      </c>
      <c r="B797" s="47" t="n">
        <f aca="false">(A797-1)*$C$6</f>
        <v>1.42361895045785</v>
      </c>
      <c r="C797" s="48" t="n">
        <f aca="false">$C$7*B797</f>
        <v>10.9444444444444</v>
      </c>
      <c r="D797" s="49" t="n">
        <f aca="false">0.5*c_rho*'P3 Energie'!E8*'P3 Energie'!E7*(C797-c_Vv)^2+'P3 Energie'!E13+'P3 Energie'!E15+'P3 Energie'!E6*$C$7</f>
        <v>18459.1112919759</v>
      </c>
      <c r="E797" s="50" t="n">
        <f aca="false">D797*C797</f>
        <v>202024.718028847</v>
      </c>
      <c r="F797" s="46" t="n">
        <v>789</v>
      </c>
      <c r="G797" s="47" t="n">
        <f aca="false">(F797-1)*$H$6</f>
        <v>1.42260226675047</v>
      </c>
      <c r="H797" s="48" t="n">
        <f aca="false">$H$7*G797</f>
        <v>10.9444444444444</v>
      </c>
      <c r="I797" s="49" t="n">
        <f aca="false">0.5*c_rho*'P3 Energie'!F8*'P3 Energie'!F7*(H797-c_Vv)^2+'P3 Energie'!F13+'P3 Energie'!F15+'P3 Energie'!F6*$H$7</f>
        <v>19280.7042189222</v>
      </c>
      <c r="J797" s="50" t="n">
        <f aca="false">I797*H797</f>
        <v>211016.59617376</v>
      </c>
    </row>
    <row r="798" customFormat="false" ht="15" hidden="false" customHeight="false" outlineLevel="0" collapsed="false">
      <c r="A798" s="46" t="n">
        <v>790</v>
      </c>
      <c r="B798" s="47" t="n">
        <f aca="false">(A798-1)*$C$6</f>
        <v>1.42542557349143</v>
      </c>
      <c r="C798" s="48" t="n">
        <f aca="false">$C$7*B798</f>
        <v>10.9583333333333</v>
      </c>
      <c r="D798" s="49" t="n">
        <f aca="false">0.5*c_rho*'P3 Energie'!E8*'P3 Energie'!E7*(C798-c_Vv)^2+'P3 Energie'!E13+'P3 Energie'!E15+'P3 Energie'!E6*$C$7</f>
        <v>18459.232803334</v>
      </c>
      <c r="E798" s="50" t="n">
        <f aca="false">D798*C798</f>
        <v>202282.426136535</v>
      </c>
      <c r="F798" s="46" t="n">
        <v>790</v>
      </c>
      <c r="G798" s="47" t="n">
        <f aca="false">(F798-1)*$H$6</f>
        <v>1.4244075995763</v>
      </c>
      <c r="H798" s="48" t="n">
        <f aca="false">$H$7*G798</f>
        <v>10.9583333333333</v>
      </c>
      <c r="I798" s="49" t="n">
        <f aca="false">0.5*c_rho*'P3 Energie'!F8*'P3 Energie'!F7*(H798-c_Vv)^2+'P3 Energie'!F13+'P3 Energie'!F15+'P3 Energie'!F6*$H$7</f>
        <v>19280.8097906762</v>
      </c>
      <c r="J798" s="50" t="n">
        <f aca="false">I798*H798</f>
        <v>211285.540622826</v>
      </c>
    </row>
    <row r="799" customFormat="false" ht="15" hidden="false" customHeight="false" outlineLevel="0" collapsed="false">
      <c r="A799" s="46" t="n">
        <v>791</v>
      </c>
      <c r="B799" s="47" t="n">
        <f aca="false">(A799-1)*$C$6</f>
        <v>1.427232196525</v>
      </c>
      <c r="C799" s="48" t="n">
        <f aca="false">$C$7*B799</f>
        <v>10.9722222222222</v>
      </c>
      <c r="D799" s="49" t="n">
        <f aca="false">0.5*c_rho*'P3 Energie'!E8*'P3 Energie'!E7*(C799-c_Vv)^2+'P3 Energie'!E13+'P3 Energie'!E15+'P3 Energie'!E6*$C$7</f>
        <v>18459.3544687965</v>
      </c>
      <c r="E799" s="50" t="n">
        <f aca="false">D799*C799</f>
        <v>202540.139310406</v>
      </c>
      <c r="F799" s="46" t="n">
        <v>791</v>
      </c>
      <c r="G799" s="47" t="n">
        <f aca="false">(F799-1)*$H$6</f>
        <v>1.42621293240213</v>
      </c>
      <c r="H799" s="48" t="n">
        <f aca="false">$H$7*G799</f>
        <v>10.9722222222222</v>
      </c>
      <c r="I799" s="49" t="n">
        <f aca="false">0.5*c_rho*'P3 Energie'!F8*'P3 Energie'!F7*(H799-c_Vv)^2+'P3 Energie'!F13+'P3 Energie'!F15+'P3 Energie'!F6*$H$7</f>
        <v>19280.9154963194</v>
      </c>
      <c r="J799" s="50" t="n">
        <f aca="false">I799*H799</f>
        <v>211554.489473505</v>
      </c>
    </row>
    <row r="800" customFormat="false" ht="15" hidden="false" customHeight="false" outlineLevel="0" collapsed="false">
      <c r="A800" s="46" t="n">
        <v>792</v>
      </c>
      <c r="B800" s="47" t="n">
        <f aca="false">(A800-1)*$C$6</f>
        <v>1.42903881955858</v>
      </c>
      <c r="C800" s="48" t="n">
        <f aca="false">$C$7*B800</f>
        <v>10.9861111111111</v>
      </c>
      <c r="D800" s="49" t="n">
        <f aca="false">0.5*c_rho*'P3 Energie'!E8*'P3 Energie'!E7*(C800-c_Vv)^2+'P3 Energie'!E13+'P3 Energie'!E15+'P3 Energie'!E6*$C$7</f>
        <v>18459.4762883635</v>
      </c>
      <c r="E800" s="50" t="n">
        <f aca="false">D800*C800</f>
        <v>202797.857556883</v>
      </c>
      <c r="F800" s="46" t="n">
        <v>792</v>
      </c>
      <c r="G800" s="47" t="n">
        <f aca="false">(F800-1)*$H$6</f>
        <v>1.42801826522795</v>
      </c>
      <c r="H800" s="48" t="n">
        <f aca="false">$H$7*G800</f>
        <v>10.9861111111111</v>
      </c>
      <c r="I800" s="49" t="n">
        <f aca="false">0.5*c_rho*'P3 Energie'!F8*'P3 Energie'!F7*(H800-c_Vv)^2+'P3 Energie'!F13+'P3 Energie'!F15+'P3 Energie'!F6*$H$7</f>
        <v>19281.0213358521</v>
      </c>
      <c r="J800" s="50" t="n">
        <f aca="false">I800*H800</f>
        <v>211823.442731375</v>
      </c>
    </row>
    <row r="801" customFormat="false" ht="15" hidden="false" customHeight="false" outlineLevel="0" collapsed="false">
      <c r="A801" s="46" t="n">
        <v>793</v>
      </c>
      <c r="B801" s="47" t="n">
        <f aca="false">(A801-1)*$C$6</f>
        <v>1.43084544259216</v>
      </c>
      <c r="C801" s="48" t="n">
        <f aca="false">$C$7*B801</f>
        <v>11</v>
      </c>
      <c r="D801" s="49" t="n">
        <f aca="false">0.5*c_rho*'P3 Energie'!E8*'P3 Energie'!E7*(C801-c_Vv)^2+'P3 Energie'!E13+'P3 Energie'!E15+'P3 Energie'!E6*$C$7</f>
        <v>18459.598262035</v>
      </c>
      <c r="E801" s="50" t="n">
        <f aca="false">D801*C801</f>
        <v>203055.580882385</v>
      </c>
      <c r="F801" s="46" t="n">
        <v>793</v>
      </c>
      <c r="G801" s="47" t="n">
        <f aca="false">(F801-1)*$H$6</f>
        <v>1.42982359805378</v>
      </c>
      <c r="H801" s="48" t="n">
        <f aca="false">$H$7*G801</f>
        <v>11</v>
      </c>
      <c r="I801" s="49" t="n">
        <f aca="false">0.5*c_rho*'P3 Energie'!F8*'P3 Energie'!F7*(H801-c_Vv)^2+'P3 Energie'!F13+'P3 Energie'!F15+'P3 Energie'!F6*$H$7</f>
        <v>19281.1273092741</v>
      </c>
      <c r="J801" s="50" t="n">
        <f aca="false">I801*H801</f>
        <v>212092.400402015</v>
      </c>
    </row>
    <row r="802" customFormat="false" ht="15" hidden="false" customHeight="false" outlineLevel="0" collapsed="false">
      <c r="A802" s="46" t="n">
        <v>794</v>
      </c>
      <c r="B802" s="47" t="n">
        <f aca="false">(A802-1)*$C$6</f>
        <v>1.43265206562573</v>
      </c>
      <c r="C802" s="48" t="n">
        <f aca="false">$C$7*B802</f>
        <v>11.0138888888889</v>
      </c>
      <c r="D802" s="49" t="n">
        <f aca="false">0.5*c_rho*'P3 Energie'!E8*'P3 Energie'!E7*(C802-c_Vv)^2+'P3 Energie'!E13+'P3 Energie'!E15+'P3 Energie'!E6*$C$7</f>
        <v>18459.7203898109</v>
      </c>
      <c r="E802" s="50" t="n">
        <f aca="false">D802*C802</f>
        <v>203313.309293334</v>
      </c>
      <c r="F802" s="46" t="n">
        <v>794</v>
      </c>
      <c r="G802" s="47" t="n">
        <f aca="false">(F802-1)*$H$6</f>
        <v>1.4316289308796</v>
      </c>
      <c r="H802" s="48" t="n">
        <f aca="false">$H$7*G802</f>
        <v>11.0138888888889</v>
      </c>
      <c r="I802" s="49" t="n">
        <f aca="false">0.5*c_rho*'P3 Energie'!F8*'P3 Energie'!F7*(H802-c_Vv)^2+'P3 Energie'!F13+'P3 Energie'!F15+'P3 Energie'!F6*$H$7</f>
        <v>19281.2334165854</v>
      </c>
      <c r="J802" s="50" t="n">
        <f aca="false">I802*H802</f>
        <v>212361.362491003</v>
      </c>
    </row>
    <row r="803" customFormat="false" ht="15" hidden="false" customHeight="false" outlineLevel="0" collapsed="false">
      <c r="A803" s="46" t="n">
        <v>795</v>
      </c>
      <c r="B803" s="47" t="n">
        <f aca="false">(A803-1)*$C$6</f>
        <v>1.43445868865931</v>
      </c>
      <c r="C803" s="48" t="n">
        <f aca="false">$C$7*B803</f>
        <v>11.0277777777778</v>
      </c>
      <c r="D803" s="49" t="n">
        <f aca="false">0.5*c_rho*'P3 Energie'!E8*'P3 Energie'!E7*(C803-c_Vv)^2+'P3 Energie'!E13+'P3 Energie'!E15+'P3 Energie'!E6*$C$7</f>
        <v>18459.8426716912</v>
      </c>
      <c r="E803" s="50" t="n">
        <f aca="false">D803*C803</f>
        <v>203571.04279615</v>
      </c>
      <c r="F803" s="46" t="n">
        <v>795</v>
      </c>
      <c r="G803" s="47" t="n">
        <f aca="false">(F803-1)*$H$6</f>
        <v>1.43343426370543</v>
      </c>
      <c r="H803" s="48" t="n">
        <f aca="false">$H$7*G803</f>
        <v>11.0277777777778</v>
      </c>
      <c r="I803" s="49" t="n">
        <f aca="false">0.5*c_rho*'P3 Energie'!F8*'P3 Energie'!F7*(H803-c_Vv)^2+'P3 Energie'!F13+'P3 Energie'!F15+'P3 Energie'!F6*$H$7</f>
        <v>19281.3396577861</v>
      </c>
      <c r="J803" s="50" t="n">
        <f aca="false">I803*H803</f>
        <v>212630.329003919</v>
      </c>
    </row>
    <row r="804" customFormat="false" ht="15" hidden="false" customHeight="false" outlineLevel="0" collapsed="false">
      <c r="A804" s="46" t="n">
        <v>796</v>
      </c>
      <c r="B804" s="47" t="n">
        <f aca="false">(A804-1)*$C$6</f>
        <v>1.43626531169288</v>
      </c>
      <c r="C804" s="48" t="n">
        <f aca="false">$C$7*B804</f>
        <v>11.0416666666667</v>
      </c>
      <c r="D804" s="49" t="n">
        <f aca="false">0.5*c_rho*'P3 Energie'!E8*'P3 Energie'!E7*(C804-c_Vv)^2+'P3 Energie'!E13+'P3 Energie'!E15+'P3 Energie'!E6*$C$7</f>
        <v>18459.965107676</v>
      </c>
      <c r="E804" s="50" t="n">
        <f aca="false">D804*C804</f>
        <v>203828.781397256</v>
      </c>
      <c r="F804" s="46" t="n">
        <v>796</v>
      </c>
      <c r="G804" s="47" t="n">
        <f aca="false">(F804-1)*$H$6</f>
        <v>1.43523959653125</v>
      </c>
      <c r="H804" s="48" t="n">
        <f aca="false">$H$7*G804</f>
        <v>11.0416666666667</v>
      </c>
      <c r="I804" s="49" t="n">
        <f aca="false">0.5*c_rho*'P3 Energie'!F8*'P3 Energie'!F7*(H804-c_Vv)^2+'P3 Energie'!F13+'P3 Energie'!F15+'P3 Energie'!F6*$H$7</f>
        <v>19281.4460328762</v>
      </c>
      <c r="J804" s="50" t="n">
        <f aca="false">I804*H804</f>
        <v>212899.299946341</v>
      </c>
    </row>
    <row r="805" customFormat="false" ht="15" hidden="false" customHeight="false" outlineLevel="0" collapsed="false">
      <c r="A805" s="46" t="n">
        <v>797</v>
      </c>
      <c r="B805" s="47" t="n">
        <f aca="false">(A805-1)*$C$6</f>
        <v>1.43807193472646</v>
      </c>
      <c r="C805" s="48" t="n">
        <f aca="false">$C$7*B805</f>
        <v>11.0555555555556</v>
      </c>
      <c r="D805" s="49" t="n">
        <f aca="false">0.5*c_rho*'P3 Energie'!E8*'P3 Energie'!E7*(C805-c_Vv)^2+'P3 Energie'!E13+'P3 Energie'!E15+'P3 Energie'!E6*$C$7</f>
        <v>18460.0876977652</v>
      </c>
      <c r="E805" s="50" t="n">
        <f aca="false">D805*C805</f>
        <v>204086.525103071</v>
      </c>
      <c r="F805" s="46" t="n">
        <v>797</v>
      </c>
      <c r="G805" s="47" t="n">
        <f aca="false">(F805-1)*$H$6</f>
        <v>1.43704492935708</v>
      </c>
      <c r="H805" s="48" t="n">
        <f aca="false">$H$7*G805</f>
        <v>11.0555555555556</v>
      </c>
      <c r="I805" s="49" t="n">
        <f aca="false">0.5*c_rho*'P3 Energie'!F8*'P3 Energie'!F7*(H805-c_Vv)^2+'P3 Energie'!F13+'P3 Energie'!F15+'P3 Energie'!F6*$H$7</f>
        <v>19281.5525418556</v>
      </c>
      <c r="J805" s="50" t="n">
        <f aca="false">I805*H805</f>
        <v>213168.275323848</v>
      </c>
    </row>
    <row r="806" customFormat="false" ht="15" hidden="false" customHeight="false" outlineLevel="0" collapsed="false">
      <c r="A806" s="46" t="n">
        <v>798</v>
      </c>
      <c r="B806" s="47" t="n">
        <f aca="false">(A806-1)*$C$6</f>
        <v>1.43987855776003</v>
      </c>
      <c r="C806" s="48" t="n">
        <f aca="false">$C$7*B806</f>
        <v>11.0694444444444</v>
      </c>
      <c r="D806" s="49" t="n">
        <f aca="false">0.5*c_rho*'P3 Energie'!E8*'P3 Energie'!E7*(C806-c_Vv)^2+'P3 Energie'!E13+'P3 Energie'!E15+'P3 Energie'!E6*$C$7</f>
        <v>18460.2104419589</v>
      </c>
      <c r="E806" s="50" t="n">
        <f aca="false">D806*C806</f>
        <v>204344.273920017</v>
      </c>
      <c r="F806" s="46" t="n">
        <v>798</v>
      </c>
      <c r="G806" s="47" t="n">
        <f aca="false">(F806-1)*$H$6</f>
        <v>1.4388502621829</v>
      </c>
      <c r="H806" s="48" t="n">
        <f aca="false">$H$7*G806</f>
        <v>11.0694444444444</v>
      </c>
      <c r="I806" s="49" t="n">
        <f aca="false">0.5*c_rho*'P3 Energie'!F8*'P3 Energie'!F7*(H806-c_Vv)^2+'P3 Energie'!F13+'P3 Energie'!F15+'P3 Energie'!F6*$H$7</f>
        <v>19281.6591847243</v>
      </c>
      <c r="J806" s="50" t="n">
        <f aca="false">I806*H806</f>
        <v>213437.255142018</v>
      </c>
    </row>
    <row r="807" customFormat="false" ht="15" hidden="false" customHeight="false" outlineLevel="0" collapsed="false">
      <c r="A807" s="46" t="n">
        <v>799</v>
      </c>
      <c r="B807" s="47" t="n">
        <f aca="false">(A807-1)*$C$6</f>
        <v>1.44168518079361</v>
      </c>
      <c r="C807" s="48" t="n">
        <f aca="false">$C$7*B807</f>
        <v>11.0833333333333</v>
      </c>
      <c r="D807" s="49" t="n">
        <f aca="false">0.5*c_rho*'P3 Energie'!E8*'P3 Energie'!E7*(C807-c_Vv)^2+'P3 Energie'!E13+'P3 Energie'!E15+'P3 Energie'!E6*$C$7</f>
        <v>18460.3333402571</v>
      </c>
      <c r="E807" s="50" t="n">
        <f aca="false">D807*C807</f>
        <v>204602.027854516</v>
      </c>
      <c r="F807" s="46" t="n">
        <v>799</v>
      </c>
      <c r="G807" s="47" t="n">
        <f aca="false">(F807-1)*$H$6</f>
        <v>1.44065559500873</v>
      </c>
      <c r="H807" s="48" t="n">
        <f aca="false">$H$7*G807</f>
        <v>11.0833333333333</v>
      </c>
      <c r="I807" s="49" t="n">
        <f aca="false">0.5*c_rho*'P3 Energie'!F8*'P3 Energie'!F7*(H807-c_Vv)^2+'P3 Energie'!F13+'P3 Energie'!F15+'P3 Energie'!F6*$H$7</f>
        <v>19281.7659614824</v>
      </c>
      <c r="J807" s="50" t="n">
        <f aca="false">I807*H807</f>
        <v>213706.23940643</v>
      </c>
    </row>
    <row r="808" customFormat="false" ht="15" hidden="false" customHeight="false" outlineLevel="0" collapsed="false">
      <c r="A808" s="46" t="n">
        <v>800</v>
      </c>
      <c r="B808" s="47" t="n">
        <f aca="false">(A808-1)*$C$6</f>
        <v>1.44349180382719</v>
      </c>
      <c r="C808" s="48" t="n">
        <f aca="false">$C$7*B808</f>
        <v>11.0972222222222</v>
      </c>
      <c r="D808" s="49" t="n">
        <f aca="false">0.5*c_rho*'P3 Energie'!E8*'P3 Energie'!E7*(C808-c_Vv)^2+'P3 Energie'!E13+'P3 Energie'!E15+'P3 Energie'!E6*$C$7</f>
        <v>18460.4563926596</v>
      </c>
      <c r="E808" s="50" t="n">
        <f aca="false">D808*C808</f>
        <v>204859.786912987</v>
      </c>
      <c r="F808" s="46" t="n">
        <v>800</v>
      </c>
      <c r="G808" s="47" t="n">
        <f aca="false">(F808-1)*$H$6</f>
        <v>1.44246092783455</v>
      </c>
      <c r="H808" s="48" t="n">
        <f aca="false">$H$7*G808</f>
        <v>11.0972222222222</v>
      </c>
      <c r="I808" s="49" t="n">
        <f aca="false">0.5*c_rho*'P3 Energie'!F8*'P3 Energie'!F7*(H808-c_Vv)^2+'P3 Energie'!F13+'P3 Energie'!F15+'P3 Energie'!F6*$H$7</f>
        <v>19281.8728721299</v>
      </c>
      <c r="J808" s="50" t="n">
        <f aca="false">I808*H808</f>
        <v>213975.228122663</v>
      </c>
    </row>
    <row r="809" customFormat="false" ht="15" hidden="false" customHeight="false" outlineLevel="0" collapsed="false">
      <c r="A809" s="46" t="n">
        <v>801</v>
      </c>
      <c r="B809" s="47" t="n">
        <f aca="false">(A809-1)*$C$6</f>
        <v>1.44529842686076</v>
      </c>
      <c r="C809" s="48" t="n">
        <f aca="false">$C$7*B809</f>
        <v>11.1111111111111</v>
      </c>
      <c r="D809" s="49" t="n">
        <f aca="false">0.5*c_rho*'P3 Energie'!E8*'P3 Energie'!E7*(C809-c_Vv)^2+'P3 Energie'!E13+'P3 Energie'!E15+'P3 Energie'!E6*$C$7</f>
        <v>18460.5795991667</v>
      </c>
      <c r="E809" s="50" t="n">
        <f aca="false">D809*C809</f>
        <v>205117.551101852</v>
      </c>
      <c r="F809" s="46" t="n">
        <v>801</v>
      </c>
      <c r="G809" s="47" t="n">
        <f aca="false">(F809-1)*$H$6</f>
        <v>1.44426626066038</v>
      </c>
      <c r="H809" s="48" t="n">
        <f aca="false">$H$7*G809</f>
        <v>11.1111111111111</v>
      </c>
      <c r="I809" s="49" t="n">
        <f aca="false">0.5*c_rho*'P3 Energie'!F8*'P3 Energie'!F7*(H809-c_Vv)^2+'P3 Energie'!F13+'P3 Energie'!F15+'P3 Energie'!F6*$H$7</f>
        <v>19281.9799166667</v>
      </c>
      <c r="J809" s="50" t="n">
        <f aca="false">I809*H809</f>
        <v>214244.221296296</v>
      </c>
    </row>
    <row r="810" customFormat="false" ht="15" hidden="false" customHeight="false" outlineLevel="0" collapsed="false">
      <c r="A810" s="46" t="n">
        <v>802</v>
      </c>
      <c r="B810" s="47" t="n">
        <f aca="false">(A810-1)*$C$6</f>
        <v>1.44710504989434</v>
      </c>
      <c r="C810" s="48" t="n">
        <f aca="false">$C$7*B810</f>
        <v>11.125</v>
      </c>
      <c r="D810" s="49" t="n">
        <f aca="false">0.5*c_rho*'P3 Energie'!E8*'P3 Energie'!E7*(C810-c_Vv)^2+'P3 Energie'!E13+'P3 Energie'!E15+'P3 Energie'!E6*$C$7</f>
        <v>18460.7029597782</v>
      </c>
      <c r="E810" s="50" t="n">
        <f aca="false">D810*C810</f>
        <v>205375.320427532</v>
      </c>
      <c r="F810" s="46" t="n">
        <v>802</v>
      </c>
      <c r="G810" s="47" t="n">
        <f aca="false">(F810-1)*$H$6</f>
        <v>1.44607159348621</v>
      </c>
      <c r="H810" s="48" t="n">
        <f aca="false">$H$7*G810</f>
        <v>11.125</v>
      </c>
      <c r="I810" s="49" t="n">
        <f aca="false">0.5*c_rho*'P3 Energie'!F8*'P3 Energie'!F7*(H810-c_Vv)^2+'P3 Energie'!F13+'P3 Energie'!F15+'P3 Energie'!F6*$H$7</f>
        <v>19282.0870950928</v>
      </c>
      <c r="J810" s="50" t="n">
        <f aca="false">I810*H810</f>
        <v>214513.218932908</v>
      </c>
    </row>
    <row r="811" customFormat="false" ht="15" hidden="false" customHeight="false" outlineLevel="0" collapsed="false">
      <c r="A811" s="46" t="n">
        <v>803</v>
      </c>
      <c r="B811" s="47" t="n">
        <f aca="false">(A811-1)*$C$6</f>
        <v>1.44891167292791</v>
      </c>
      <c r="C811" s="48" t="n">
        <f aca="false">$C$7*B811</f>
        <v>11.1388888888889</v>
      </c>
      <c r="D811" s="49" t="n">
        <f aca="false">0.5*c_rho*'P3 Energie'!E8*'P3 Energie'!E7*(C811-c_Vv)^2+'P3 Energie'!E13+'P3 Energie'!E15+'P3 Energie'!E6*$C$7</f>
        <v>18460.8264744941</v>
      </c>
      <c r="E811" s="50" t="n">
        <f aca="false">D811*C811</f>
        <v>205633.094896448</v>
      </c>
      <c r="F811" s="46" t="n">
        <v>803</v>
      </c>
      <c r="G811" s="47" t="n">
        <f aca="false">(F811-1)*$H$6</f>
        <v>1.44787692631203</v>
      </c>
      <c r="H811" s="48" t="n">
        <f aca="false">$H$7*G811</f>
        <v>11.1388888888889</v>
      </c>
      <c r="I811" s="49" t="n">
        <f aca="false">0.5*c_rho*'P3 Energie'!F8*'P3 Energie'!F7*(H811-c_Vv)^2+'P3 Energie'!F13+'P3 Energie'!F15+'P3 Energie'!F6*$H$7</f>
        <v>19282.1944074083</v>
      </c>
      <c r="J811" s="50" t="n">
        <f aca="false">I811*H811</f>
        <v>214782.221038076</v>
      </c>
    </row>
    <row r="812" customFormat="false" ht="15" hidden="false" customHeight="false" outlineLevel="0" collapsed="false">
      <c r="A812" s="46" t="n">
        <v>804</v>
      </c>
      <c r="B812" s="47" t="n">
        <f aca="false">(A812-1)*$C$6</f>
        <v>1.45071829596149</v>
      </c>
      <c r="C812" s="48" t="n">
        <f aca="false">$C$7*B812</f>
        <v>11.1527777777778</v>
      </c>
      <c r="D812" s="49" t="n">
        <f aca="false">0.5*c_rho*'P3 Energie'!E8*'P3 Energie'!E7*(C812-c_Vv)^2+'P3 Energie'!E13+'P3 Energie'!E15+'P3 Energie'!E6*$C$7</f>
        <v>18460.9501433145</v>
      </c>
      <c r="E812" s="50" t="n">
        <f aca="false">D812*C812</f>
        <v>205890.874515021</v>
      </c>
      <c r="F812" s="46" t="n">
        <v>804</v>
      </c>
      <c r="G812" s="47" t="n">
        <f aca="false">(F812-1)*$H$6</f>
        <v>1.44968225913786</v>
      </c>
      <c r="H812" s="48" t="n">
        <f aca="false">$H$7*G812</f>
        <v>11.1527777777778</v>
      </c>
      <c r="I812" s="49" t="n">
        <f aca="false">0.5*c_rho*'P3 Energie'!F8*'P3 Energie'!F7*(H812-c_Vv)^2+'P3 Energie'!F13+'P3 Energie'!F15+'P3 Energie'!F6*$H$7</f>
        <v>19282.3018536132</v>
      </c>
      <c r="J812" s="50" t="n">
        <f aca="false">I812*H812</f>
        <v>215051.227617381</v>
      </c>
    </row>
    <row r="813" customFormat="false" ht="15" hidden="false" customHeight="false" outlineLevel="0" collapsed="false">
      <c r="A813" s="46" t="n">
        <v>805</v>
      </c>
      <c r="B813" s="47" t="n">
        <f aca="false">(A813-1)*$C$6</f>
        <v>1.45252491899507</v>
      </c>
      <c r="C813" s="48" t="n">
        <f aca="false">$C$7*B813</f>
        <v>11.1666666666667</v>
      </c>
      <c r="D813" s="49" t="n">
        <f aca="false">0.5*c_rho*'P3 Energie'!E8*'P3 Energie'!E7*(C813-c_Vv)^2+'P3 Energie'!E13+'P3 Energie'!E15+'P3 Energie'!E6*$C$7</f>
        <v>18461.0739662393</v>
      </c>
      <c r="E813" s="50" t="n">
        <f aca="false">D813*C813</f>
        <v>206148.659289672</v>
      </c>
      <c r="F813" s="46" t="n">
        <v>805</v>
      </c>
      <c r="G813" s="47" t="n">
        <f aca="false">(F813-1)*$H$6</f>
        <v>1.45148759196368</v>
      </c>
      <c r="H813" s="48" t="n">
        <f aca="false">$H$7*G813</f>
        <v>11.1666666666667</v>
      </c>
      <c r="I813" s="49" t="n">
        <f aca="false">0.5*c_rho*'P3 Energie'!F8*'P3 Energie'!F7*(H813-c_Vv)^2+'P3 Energie'!F13+'P3 Energie'!F15+'P3 Energie'!F6*$H$7</f>
        <v>19282.4094337074</v>
      </c>
      <c r="J813" s="50" t="n">
        <f aca="false">I813*H813</f>
        <v>215320.238676399</v>
      </c>
    </row>
    <row r="814" customFormat="false" ht="15" hidden="false" customHeight="false" outlineLevel="0" collapsed="false">
      <c r="A814" s="46" t="n">
        <v>806</v>
      </c>
      <c r="B814" s="47" t="n">
        <f aca="false">(A814-1)*$C$6</f>
        <v>1.45433154202864</v>
      </c>
      <c r="C814" s="48" t="n">
        <f aca="false">$C$7*B814</f>
        <v>11.1805555555556</v>
      </c>
      <c r="D814" s="49" t="n">
        <f aca="false">0.5*c_rho*'P3 Energie'!E8*'P3 Energie'!E7*(C814-c_Vv)^2+'P3 Energie'!E13+'P3 Energie'!E15+'P3 Energie'!E6*$C$7</f>
        <v>18461.1979432686</v>
      </c>
      <c r="E814" s="50" t="n">
        <f aca="false">D814*C814</f>
        <v>206406.449226822</v>
      </c>
      <c r="F814" s="46" t="n">
        <v>806</v>
      </c>
      <c r="G814" s="47" t="n">
        <f aca="false">(F814-1)*$H$6</f>
        <v>1.45329292478951</v>
      </c>
      <c r="H814" s="48" t="n">
        <f aca="false">$H$7*G814</f>
        <v>11.1805555555556</v>
      </c>
      <c r="I814" s="49" t="n">
        <f aca="false">0.5*c_rho*'P3 Energie'!F8*'P3 Energie'!F7*(H814-c_Vv)^2+'P3 Energie'!F13+'P3 Energie'!F15+'P3 Energie'!F6*$H$7</f>
        <v>19282.517147691</v>
      </c>
      <c r="J814" s="50" t="n">
        <f aca="false">I814*H814</f>
        <v>215589.254220712</v>
      </c>
    </row>
    <row r="815" customFormat="false" ht="15" hidden="false" customHeight="false" outlineLevel="0" collapsed="false">
      <c r="A815" s="46" t="n">
        <v>807</v>
      </c>
      <c r="B815" s="47" t="n">
        <f aca="false">(A815-1)*$C$6</f>
        <v>1.45613816506222</v>
      </c>
      <c r="C815" s="48" t="n">
        <f aca="false">$C$7*B815</f>
        <v>11.1944444444444</v>
      </c>
      <c r="D815" s="49" t="n">
        <f aca="false">0.5*c_rho*'P3 Energie'!E8*'P3 Energie'!E7*(C815-c_Vv)^2+'P3 Energie'!E13+'P3 Energie'!E15+'P3 Energie'!E6*$C$7</f>
        <v>18461.3220744023</v>
      </c>
      <c r="E815" s="50" t="n">
        <f aca="false">D815*C815</f>
        <v>206664.244332893</v>
      </c>
      <c r="F815" s="46" t="n">
        <v>807</v>
      </c>
      <c r="G815" s="47" t="n">
        <f aca="false">(F815-1)*$H$6</f>
        <v>1.45509825761533</v>
      </c>
      <c r="H815" s="48" t="n">
        <f aca="false">$H$7*G815</f>
        <v>11.1944444444444</v>
      </c>
      <c r="I815" s="49" t="n">
        <f aca="false">0.5*c_rho*'P3 Energie'!F8*'P3 Energie'!F7*(H815-c_Vv)^2+'P3 Energie'!F13+'P3 Energie'!F15+'P3 Energie'!F6*$H$7</f>
        <v>19282.6249955639</v>
      </c>
      <c r="J815" s="50" t="n">
        <f aca="false">I815*H815</f>
        <v>215858.274255896</v>
      </c>
    </row>
    <row r="816" customFormat="false" ht="15" hidden="false" customHeight="false" outlineLevel="0" collapsed="false">
      <c r="A816" s="46" t="n">
        <v>808</v>
      </c>
      <c r="B816" s="47" t="n">
        <f aca="false">(A816-1)*$C$6</f>
        <v>1.45794478809579</v>
      </c>
      <c r="C816" s="48" t="n">
        <f aca="false">$C$7*B816</f>
        <v>11.2083333333333</v>
      </c>
      <c r="D816" s="49" t="n">
        <f aca="false">0.5*c_rho*'P3 Energie'!E8*'P3 Energie'!E7*(C816-c_Vv)^2+'P3 Energie'!E13+'P3 Energie'!E15+'P3 Energie'!E6*$C$7</f>
        <v>18461.4463596405</v>
      </c>
      <c r="E816" s="50" t="n">
        <f aca="false">D816*C816</f>
        <v>206922.044614304</v>
      </c>
      <c r="F816" s="46" t="n">
        <v>808</v>
      </c>
      <c r="G816" s="47" t="n">
        <f aca="false">(F816-1)*$H$6</f>
        <v>1.45690359044116</v>
      </c>
      <c r="H816" s="48" t="n">
        <f aca="false">$H$7*G816</f>
        <v>11.2083333333333</v>
      </c>
      <c r="I816" s="49" t="n">
        <f aca="false">0.5*c_rho*'P3 Energie'!F8*'P3 Energie'!F7*(H816-c_Vv)^2+'P3 Energie'!F13+'P3 Energie'!F15+'P3 Energie'!F6*$H$7</f>
        <v>19282.7329773262</v>
      </c>
      <c r="J816" s="50" t="n">
        <f aca="false">I816*H816</f>
        <v>216127.298787531</v>
      </c>
    </row>
    <row r="817" customFormat="false" ht="15" hidden="false" customHeight="false" outlineLevel="0" collapsed="false">
      <c r="A817" s="46" t="n">
        <v>809</v>
      </c>
      <c r="B817" s="47" t="n">
        <f aca="false">(A817-1)*$C$6</f>
        <v>1.45975141112937</v>
      </c>
      <c r="C817" s="48" t="n">
        <f aca="false">$C$7*B817</f>
        <v>11.2222222222222</v>
      </c>
      <c r="D817" s="49" t="n">
        <f aca="false">0.5*c_rho*'P3 Energie'!E8*'P3 Energie'!E7*(C817-c_Vv)^2+'P3 Energie'!E13+'P3 Energie'!E15+'P3 Energie'!E6*$C$7</f>
        <v>18461.5707989831</v>
      </c>
      <c r="E817" s="50" t="n">
        <f aca="false">D817*C817</f>
        <v>207179.850077477</v>
      </c>
      <c r="F817" s="46" t="n">
        <v>809</v>
      </c>
      <c r="G817" s="47" t="n">
        <f aca="false">(F817-1)*$H$6</f>
        <v>1.45870892326698</v>
      </c>
      <c r="H817" s="48" t="n">
        <f aca="false">$H$7*G817</f>
        <v>11.2222222222222</v>
      </c>
      <c r="I817" s="49" t="n">
        <f aca="false">0.5*c_rho*'P3 Energie'!F8*'P3 Energie'!F7*(H817-c_Vv)^2+'P3 Energie'!F13+'P3 Energie'!F15+'P3 Energie'!F6*$H$7</f>
        <v>19282.8410929778</v>
      </c>
      <c r="J817" s="50" t="n">
        <f aca="false">I817*H817</f>
        <v>216396.327821195</v>
      </c>
    </row>
    <row r="818" customFormat="false" ht="15" hidden="false" customHeight="false" outlineLevel="0" collapsed="false">
      <c r="A818" s="46" t="n">
        <v>810</v>
      </c>
      <c r="B818" s="47" t="n">
        <f aca="false">(A818-1)*$C$6</f>
        <v>1.46155803416295</v>
      </c>
      <c r="C818" s="48" t="n">
        <f aca="false">$C$7*B818</f>
        <v>11.2361111111111</v>
      </c>
      <c r="D818" s="49" t="n">
        <f aca="false">0.5*c_rho*'P3 Energie'!E8*'P3 Energie'!E7*(C818-c_Vv)^2+'P3 Energie'!E13+'P3 Energie'!E15+'P3 Energie'!E6*$C$7</f>
        <v>18461.6953924302</v>
      </c>
      <c r="E818" s="50" t="n">
        <f aca="false">D818*C818</f>
        <v>207437.660728834</v>
      </c>
      <c r="F818" s="46" t="n">
        <v>810</v>
      </c>
      <c r="G818" s="47" t="n">
        <f aca="false">(F818-1)*$H$6</f>
        <v>1.46051425609281</v>
      </c>
      <c r="H818" s="48" t="n">
        <f aca="false">$H$7*G818</f>
        <v>11.2361111111111</v>
      </c>
      <c r="I818" s="49" t="n">
        <f aca="false">0.5*c_rho*'P3 Energie'!F8*'P3 Energie'!F7*(H818-c_Vv)^2+'P3 Energie'!F13+'P3 Energie'!F15+'P3 Energie'!F6*$H$7</f>
        <v>19282.9493425188</v>
      </c>
      <c r="J818" s="50" t="n">
        <f aca="false">I818*H818</f>
        <v>216665.361362468</v>
      </c>
    </row>
    <row r="819" customFormat="false" ht="15" hidden="false" customHeight="false" outlineLevel="0" collapsed="false">
      <c r="A819" s="46" t="n">
        <v>811</v>
      </c>
      <c r="B819" s="47" t="n">
        <f aca="false">(A819-1)*$C$6</f>
        <v>1.46336465719652</v>
      </c>
      <c r="C819" s="48" t="n">
        <f aca="false">$C$7*B819</f>
        <v>11.25</v>
      </c>
      <c r="D819" s="49" t="n">
        <f aca="false">0.5*c_rho*'P3 Energie'!E8*'P3 Energie'!E7*(C819-c_Vv)^2+'P3 Energie'!E13+'P3 Energie'!E15+'P3 Energie'!E6*$C$7</f>
        <v>18461.8201399817</v>
      </c>
      <c r="E819" s="50" t="n">
        <f aca="false">D819*C819</f>
        <v>207695.476574794</v>
      </c>
      <c r="F819" s="46" t="n">
        <v>811</v>
      </c>
      <c r="G819" s="47" t="n">
        <f aca="false">(F819-1)*$H$6</f>
        <v>1.46231958891864</v>
      </c>
      <c r="H819" s="48" t="n">
        <f aca="false">$H$7*G819</f>
        <v>11.25</v>
      </c>
      <c r="I819" s="49" t="n">
        <f aca="false">0.5*c_rho*'P3 Energie'!F8*'P3 Energie'!F7*(H819-c_Vv)^2+'P3 Energie'!F13+'P3 Energie'!F15+'P3 Energie'!F6*$H$7</f>
        <v>19283.0577259491</v>
      </c>
      <c r="J819" s="50" t="n">
        <f aca="false">I819*H819</f>
        <v>216934.399416927</v>
      </c>
    </row>
    <row r="820" customFormat="false" ht="15" hidden="false" customHeight="false" outlineLevel="0" collapsed="false">
      <c r="A820" s="46" t="n">
        <v>812</v>
      </c>
      <c r="B820" s="47" t="n">
        <f aca="false">(A820-1)*$C$6</f>
        <v>1.4651712802301</v>
      </c>
      <c r="C820" s="48" t="n">
        <f aca="false">$C$7*B820</f>
        <v>11.2638888888889</v>
      </c>
      <c r="D820" s="49" t="n">
        <f aca="false">0.5*c_rho*'P3 Energie'!E8*'P3 Energie'!E7*(C820-c_Vv)^2+'P3 Energie'!E13+'P3 Energie'!E15+'P3 Energie'!E6*$C$7</f>
        <v>18461.9450416377</v>
      </c>
      <c r="E820" s="50" t="n">
        <f aca="false">D820*C820</f>
        <v>207953.29762178</v>
      </c>
      <c r="F820" s="46" t="n">
        <v>812</v>
      </c>
      <c r="G820" s="47" t="n">
        <f aca="false">(F820-1)*$H$6</f>
        <v>1.46412492174446</v>
      </c>
      <c r="H820" s="48" t="n">
        <f aca="false">$H$7*G820</f>
        <v>11.2638888888889</v>
      </c>
      <c r="I820" s="49" t="n">
        <f aca="false">0.5*c_rho*'P3 Energie'!F8*'P3 Energie'!F7*(H820-c_Vv)^2+'P3 Energie'!F13+'P3 Energie'!F15+'P3 Energie'!F6*$H$7</f>
        <v>19283.1662432688</v>
      </c>
      <c r="J820" s="50" t="n">
        <f aca="false">I820*H820</f>
        <v>217203.441990152</v>
      </c>
    </row>
    <row r="821" customFormat="false" ht="15" hidden="false" customHeight="false" outlineLevel="0" collapsed="false">
      <c r="A821" s="46" t="n">
        <v>813</v>
      </c>
      <c r="B821" s="47" t="n">
        <f aca="false">(A821-1)*$C$6</f>
        <v>1.46697790326367</v>
      </c>
      <c r="C821" s="48" t="n">
        <f aca="false">$C$7*B821</f>
        <v>11.2777777777778</v>
      </c>
      <c r="D821" s="49" t="n">
        <f aca="false">0.5*c_rho*'P3 Energie'!E8*'P3 Energie'!E7*(C821-c_Vv)^2+'P3 Energie'!E13+'P3 Energie'!E15+'P3 Energie'!E6*$C$7</f>
        <v>18462.0700973981</v>
      </c>
      <c r="E821" s="50" t="n">
        <f aca="false">D821*C821</f>
        <v>208211.123876212</v>
      </c>
      <c r="F821" s="46" t="n">
        <v>813</v>
      </c>
      <c r="G821" s="47" t="n">
        <f aca="false">(F821-1)*$H$6</f>
        <v>1.46593025457029</v>
      </c>
      <c r="H821" s="48" t="n">
        <f aca="false">$H$7*G821</f>
        <v>11.2777777777778</v>
      </c>
      <c r="I821" s="49" t="n">
        <f aca="false">0.5*c_rho*'P3 Energie'!F8*'P3 Energie'!F7*(H821-c_Vv)^2+'P3 Energie'!F13+'P3 Energie'!F15+'P3 Energie'!F6*$H$7</f>
        <v>19283.2748944778</v>
      </c>
      <c r="J821" s="50" t="n">
        <f aca="false">I821*H821</f>
        <v>217472.489087722</v>
      </c>
    </row>
    <row r="822" customFormat="false" ht="15" hidden="false" customHeight="false" outlineLevel="0" collapsed="false">
      <c r="A822" s="46" t="n">
        <v>814</v>
      </c>
      <c r="B822" s="47" t="n">
        <f aca="false">(A822-1)*$C$6</f>
        <v>1.46878452629725</v>
      </c>
      <c r="C822" s="48" t="n">
        <f aca="false">$C$7*B822</f>
        <v>11.2916666666667</v>
      </c>
      <c r="D822" s="49" t="n">
        <f aca="false">0.5*c_rho*'P3 Energie'!E8*'P3 Energie'!E7*(C822-c_Vv)^2+'P3 Energie'!E13+'P3 Energie'!E15+'P3 Energie'!E6*$C$7</f>
        <v>18462.195307263</v>
      </c>
      <c r="E822" s="50" t="n">
        <f aca="false">D822*C822</f>
        <v>208468.955344511</v>
      </c>
      <c r="F822" s="46" t="n">
        <v>814</v>
      </c>
      <c r="G822" s="47" t="n">
        <f aca="false">(F822-1)*$H$6</f>
        <v>1.46773558739611</v>
      </c>
      <c r="H822" s="48" t="n">
        <f aca="false">$H$7*G822</f>
        <v>11.2916666666667</v>
      </c>
      <c r="I822" s="49" t="n">
        <f aca="false">0.5*c_rho*'P3 Energie'!F8*'P3 Energie'!F7*(H822-c_Vv)^2+'P3 Energie'!F13+'P3 Energie'!F15+'P3 Energie'!F6*$H$7</f>
        <v>19283.3836795762</v>
      </c>
      <c r="J822" s="50" t="n">
        <f aca="false">I822*H822</f>
        <v>217741.540715214</v>
      </c>
    </row>
    <row r="823" customFormat="false" ht="15" hidden="false" customHeight="false" outlineLevel="0" collapsed="false">
      <c r="A823" s="46" t="n">
        <v>815</v>
      </c>
      <c r="B823" s="47" t="n">
        <f aca="false">(A823-1)*$C$6</f>
        <v>1.47059114933083</v>
      </c>
      <c r="C823" s="48" t="n">
        <f aca="false">$C$7*B823</f>
        <v>11.3055555555556</v>
      </c>
      <c r="D823" s="49" t="n">
        <f aca="false">0.5*c_rho*'P3 Energie'!E8*'P3 Energie'!E7*(C823-c_Vv)^2+'P3 Energie'!E13+'P3 Energie'!E15+'P3 Energie'!E6*$C$7</f>
        <v>18462.3206712323</v>
      </c>
      <c r="E823" s="50" t="n">
        <f aca="false">D823*C823</f>
        <v>208726.792033099</v>
      </c>
      <c r="F823" s="46" t="n">
        <v>815</v>
      </c>
      <c r="G823" s="47" t="n">
        <f aca="false">(F823-1)*$H$6</f>
        <v>1.46954092022194</v>
      </c>
      <c r="H823" s="48" t="n">
        <f aca="false">$H$7*G823</f>
        <v>11.3055555555556</v>
      </c>
      <c r="I823" s="49" t="n">
        <f aca="false">0.5*c_rho*'P3 Energie'!F8*'P3 Energie'!F7*(H823-c_Vv)^2+'P3 Energie'!F13+'P3 Energie'!F15+'P3 Energie'!F6*$H$7</f>
        <v>19283.4925985639</v>
      </c>
      <c r="J823" s="50" t="n">
        <f aca="false">I823*H823</f>
        <v>218010.596878208</v>
      </c>
    </row>
    <row r="824" customFormat="false" ht="15" hidden="false" customHeight="false" outlineLevel="0" collapsed="false">
      <c r="A824" s="46" t="n">
        <v>816</v>
      </c>
      <c r="B824" s="47" t="n">
        <f aca="false">(A824-1)*$C$6</f>
        <v>1.4723977723644</v>
      </c>
      <c r="C824" s="48" t="n">
        <f aca="false">$C$7*B824</f>
        <v>11.3194444444444</v>
      </c>
      <c r="D824" s="49" t="n">
        <f aca="false">0.5*c_rho*'P3 Energie'!E8*'P3 Energie'!E7*(C824-c_Vv)^2+'P3 Energie'!E13+'P3 Energie'!E15+'P3 Energie'!E6*$C$7</f>
        <v>18462.4461893061</v>
      </c>
      <c r="E824" s="50" t="n">
        <f aca="false">D824*C824</f>
        <v>208984.633948395</v>
      </c>
      <c r="F824" s="46" t="n">
        <v>816</v>
      </c>
      <c r="G824" s="47" t="n">
        <f aca="false">(F824-1)*$H$6</f>
        <v>1.47134625304776</v>
      </c>
      <c r="H824" s="48" t="n">
        <f aca="false">$H$7*G824</f>
        <v>11.3194444444444</v>
      </c>
      <c r="I824" s="49" t="n">
        <f aca="false">0.5*c_rho*'P3 Energie'!F8*'P3 Energie'!F7*(H824-c_Vv)^2+'P3 Energie'!F13+'P3 Energie'!F15+'P3 Energie'!F6*$H$7</f>
        <v>19283.601651441</v>
      </c>
      <c r="J824" s="50" t="n">
        <f aca="false">I824*H824</f>
        <v>218279.657582283</v>
      </c>
    </row>
    <row r="825" customFormat="false" ht="15" hidden="false" customHeight="false" outlineLevel="0" collapsed="false">
      <c r="A825" s="46" t="n">
        <v>817</v>
      </c>
      <c r="B825" s="47" t="n">
        <f aca="false">(A825-1)*$C$6</f>
        <v>1.47420439539798</v>
      </c>
      <c r="C825" s="48" t="n">
        <f aca="false">$C$7*B825</f>
        <v>11.3333333333333</v>
      </c>
      <c r="D825" s="49" t="n">
        <f aca="false">0.5*c_rho*'P3 Energie'!E8*'P3 Energie'!E7*(C825-c_Vv)^2+'P3 Energie'!E13+'P3 Energie'!E15+'P3 Energie'!E6*$C$7</f>
        <v>18462.5718614843</v>
      </c>
      <c r="E825" s="50" t="n">
        <f aca="false">D825*C825</f>
        <v>209242.481096822</v>
      </c>
      <c r="F825" s="46" t="n">
        <v>817</v>
      </c>
      <c r="G825" s="47" t="n">
        <f aca="false">(F825-1)*$H$6</f>
        <v>1.47315158587359</v>
      </c>
      <c r="H825" s="48" t="n">
        <f aca="false">$H$7*G825</f>
        <v>11.3333333333333</v>
      </c>
      <c r="I825" s="49" t="n">
        <f aca="false">0.5*c_rho*'P3 Energie'!F8*'P3 Energie'!F7*(H825-c_Vv)^2+'P3 Energie'!F13+'P3 Energie'!F15+'P3 Energie'!F6*$H$7</f>
        <v>19283.7108382074</v>
      </c>
      <c r="J825" s="50" t="n">
        <f aca="false">I825*H825</f>
        <v>218548.722833017</v>
      </c>
    </row>
    <row r="826" customFormat="false" ht="15" hidden="false" customHeight="false" outlineLevel="0" collapsed="false">
      <c r="A826" s="46" t="n">
        <v>818</v>
      </c>
      <c r="B826" s="47" t="n">
        <f aca="false">(A826-1)*$C$6</f>
        <v>1.47601101843155</v>
      </c>
      <c r="C826" s="48" t="n">
        <f aca="false">$C$7*B826</f>
        <v>11.3472222222222</v>
      </c>
      <c r="D826" s="49" t="n">
        <f aca="false">0.5*c_rho*'P3 Energie'!E8*'P3 Energie'!E7*(C826-c_Vv)^2+'P3 Energie'!E13+'P3 Energie'!E15+'P3 Energie'!E6*$C$7</f>
        <v>18462.697687767</v>
      </c>
      <c r="E826" s="50" t="n">
        <f aca="false">D826*C826</f>
        <v>209500.3334848</v>
      </c>
      <c r="F826" s="46" t="n">
        <v>818</v>
      </c>
      <c r="G826" s="47" t="n">
        <f aca="false">(F826-1)*$H$6</f>
        <v>1.47495691869941</v>
      </c>
      <c r="H826" s="48" t="n">
        <f aca="false">$H$7*G826</f>
        <v>11.3472222222222</v>
      </c>
      <c r="I826" s="49" t="n">
        <f aca="false">0.5*c_rho*'P3 Energie'!F8*'P3 Energie'!F7*(H826-c_Vv)^2+'P3 Energie'!F13+'P3 Energie'!F15+'P3 Energie'!F6*$H$7</f>
        <v>19283.8201588632</v>
      </c>
      <c r="J826" s="50" t="n">
        <f aca="false">I826*H826</f>
        <v>218817.792635989</v>
      </c>
    </row>
    <row r="827" customFormat="false" ht="15" hidden="false" customHeight="false" outlineLevel="0" collapsed="false">
      <c r="A827" s="46" t="n">
        <v>819</v>
      </c>
      <c r="B827" s="47" t="n">
        <f aca="false">(A827-1)*$C$6</f>
        <v>1.47781764146513</v>
      </c>
      <c r="C827" s="48" t="n">
        <f aca="false">$C$7*B827</f>
        <v>11.3611111111111</v>
      </c>
      <c r="D827" s="49" t="n">
        <f aca="false">0.5*c_rho*'P3 Energie'!E8*'P3 Energie'!E7*(C827-c_Vv)^2+'P3 Energie'!E13+'P3 Energie'!E15+'P3 Energie'!E6*$C$7</f>
        <v>18462.8236681541</v>
      </c>
      <c r="E827" s="50" t="n">
        <f aca="false">D827*C827</f>
        <v>209758.191118751</v>
      </c>
      <c r="F827" s="46" t="n">
        <v>819</v>
      </c>
      <c r="G827" s="47" t="n">
        <f aca="false">(F827-1)*$H$6</f>
        <v>1.47676225152524</v>
      </c>
      <c r="H827" s="48" t="n">
        <f aca="false">$H$7*G827</f>
        <v>11.3611111111111</v>
      </c>
      <c r="I827" s="49" t="n">
        <f aca="false">0.5*c_rho*'P3 Energie'!F8*'P3 Energie'!F7*(H827-c_Vv)^2+'P3 Energie'!F13+'P3 Energie'!F15+'P3 Energie'!F6*$H$7</f>
        <v>19283.9296134083</v>
      </c>
      <c r="J827" s="50" t="n">
        <f aca="false">I827*H827</f>
        <v>219086.866996778</v>
      </c>
    </row>
    <row r="828" customFormat="false" ht="15" hidden="false" customHeight="false" outlineLevel="0" collapsed="false">
      <c r="A828" s="46" t="n">
        <v>820</v>
      </c>
      <c r="B828" s="47" t="n">
        <f aca="false">(A828-1)*$C$6</f>
        <v>1.47962426449871</v>
      </c>
      <c r="C828" s="48" t="n">
        <f aca="false">$C$7*B828</f>
        <v>11.375</v>
      </c>
      <c r="D828" s="49" t="n">
        <f aca="false">0.5*c_rho*'P3 Energie'!E8*'P3 Energie'!E7*(C828-c_Vv)^2+'P3 Energie'!E13+'P3 Energie'!E15+'P3 Energie'!E6*$C$7</f>
        <v>18462.9498026457</v>
      </c>
      <c r="E828" s="50" t="n">
        <f aca="false">D828*C828</f>
        <v>210016.054005094</v>
      </c>
      <c r="F828" s="46" t="n">
        <v>820</v>
      </c>
      <c r="G828" s="47" t="n">
        <f aca="false">(F828-1)*$H$6</f>
        <v>1.47856758435106</v>
      </c>
      <c r="H828" s="48" t="n">
        <f aca="false">$H$7*G828</f>
        <v>11.375</v>
      </c>
      <c r="I828" s="49" t="n">
        <f aca="false">0.5*c_rho*'P3 Energie'!F8*'P3 Energie'!F7*(H828-c_Vv)^2+'P3 Energie'!F13+'P3 Energie'!F15+'P3 Energie'!F6*$H$7</f>
        <v>19284.0392018428</v>
      </c>
      <c r="J828" s="50" t="n">
        <f aca="false">I828*H828</f>
        <v>219355.945920962</v>
      </c>
    </row>
    <row r="829" customFormat="false" ht="15" hidden="false" customHeight="false" outlineLevel="0" collapsed="false">
      <c r="A829" s="46" t="n">
        <v>821</v>
      </c>
      <c r="B829" s="47" t="n">
        <f aca="false">(A829-1)*$C$6</f>
        <v>1.48143088753228</v>
      </c>
      <c r="C829" s="48" t="n">
        <f aca="false">$C$7*B829</f>
        <v>11.3888888888889</v>
      </c>
      <c r="D829" s="49" t="n">
        <f aca="false">0.5*c_rho*'P3 Energie'!E8*'P3 Energie'!E7*(C829-c_Vv)^2+'P3 Energie'!E13+'P3 Energie'!E15+'P3 Energie'!E6*$C$7</f>
        <v>18463.0760912417</v>
      </c>
      <c r="E829" s="50" t="n">
        <f aca="false">D829*C829</f>
        <v>210273.922150252</v>
      </c>
      <c r="F829" s="46" t="n">
        <v>821</v>
      </c>
      <c r="G829" s="47" t="n">
        <f aca="false">(F829-1)*$H$6</f>
        <v>1.48037291717689</v>
      </c>
      <c r="H829" s="48" t="n">
        <f aca="false">$H$7*G829</f>
        <v>11.3888888888889</v>
      </c>
      <c r="I829" s="49" t="n">
        <f aca="false">0.5*c_rho*'P3 Energie'!F8*'P3 Energie'!F7*(H829-c_Vv)^2+'P3 Energie'!F13+'P3 Energie'!F15+'P3 Energie'!F6*$H$7</f>
        <v>19284.1489241667</v>
      </c>
      <c r="J829" s="50" t="n">
        <f aca="false">I829*H829</f>
        <v>219625.02941412</v>
      </c>
    </row>
    <row r="830" customFormat="false" ht="15" hidden="false" customHeight="false" outlineLevel="0" collapsed="false">
      <c r="A830" s="46" t="n">
        <v>822</v>
      </c>
      <c r="B830" s="47" t="n">
        <f aca="false">(A830-1)*$C$6</f>
        <v>1.48323751056586</v>
      </c>
      <c r="C830" s="48" t="n">
        <f aca="false">$C$7*B830</f>
        <v>11.4027777777778</v>
      </c>
      <c r="D830" s="49" t="n">
        <f aca="false">0.5*c_rho*'P3 Energie'!E8*'P3 Energie'!E7*(C830-c_Vv)^2+'P3 Energie'!E13+'P3 Energie'!E15+'P3 Energie'!E6*$C$7</f>
        <v>18463.2025339421</v>
      </c>
      <c r="E830" s="50" t="n">
        <f aca="false">D830*C830</f>
        <v>210531.795560646</v>
      </c>
      <c r="F830" s="46" t="n">
        <v>822</v>
      </c>
      <c r="G830" s="47" t="n">
        <f aca="false">(F830-1)*$H$6</f>
        <v>1.48217825000272</v>
      </c>
      <c r="H830" s="48" t="n">
        <f aca="false">$H$7*G830</f>
        <v>11.4027777777778</v>
      </c>
      <c r="I830" s="49" t="n">
        <f aca="false">0.5*c_rho*'P3 Energie'!F8*'P3 Energie'!F7*(H830-c_Vv)^2+'P3 Energie'!F13+'P3 Energie'!F15+'P3 Energie'!F6*$H$7</f>
        <v>19284.2587803799</v>
      </c>
      <c r="J830" s="50" t="n">
        <f aca="false">I830*H830</f>
        <v>219894.117481832</v>
      </c>
    </row>
    <row r="831" customFormat="false" ht="15" hidden="false" customHeight="false" outlineLevel="0" collapsed="false">
      <c r="A831" s="46" t="n">
        <v>823</v>
      </c>
      <c r="B831" s="47" t="n">
        <f aca="false">(A831-1)*$C$6</f>
        <v>1.48504413359943</v>
      </c>
      <c r="C831" s="48" t="n">
        <f aca="false">$C$7*B831</f>
        <v>11.4166666666667</v>
      </c>
      <c r="D831" s="49" t="n">
        <f aca="false">0.5*c_rho*'P3 Energie'!E8*'P3 Energie'!E7*(C831-c_Vv)^2+'P3 Energie'!E13+'P3 Energie'!E15+'P3 Energie'!E6*$C$7</f>
        <v>18463.3291307471</v>
      </c>
      <c r="E831" s="50" t="n">
        <f aca="false">D831*C831</f>
        <v>210789.674242695</v>
      </c>
      <c r="F831" s="46" t="n">
        <v>823</v>
      </c>
      <c r="G831" s="47" t="n">
        <f aca="false">(F831-1)*$H$6</f>
        <v>1.48398358282854</v>
      </c>
      <c r="H831" s="48" t="n">
        <f aca="false">$H$7*G831</f>
        <v>11.4166666666667</v>
      </c>
      <c r="I831" s="49" t="n">
        <f aca="false">0.5*c_rho*'P3 Energie'!F8*'P3 Energie'!F7*(H831-c_Vv)^2+'P3 Energie'!F13+'P3 Energie'!F15+'P3 Energie'!F6*$H$7</f>
        <v>19284.3687704824</v>
      </c>
      <c r="J831" s="50" t="n">
        <f aca="false">I831*H831</f>
        <v>220163.210129674</v>
      </c>
    </row>
    <row r="832" customFormat="false" ht="15" hidden="false" customHeight="false" outlineLevel="0" collapsed="false">
      <c r="A832" s="46" t="n">
        <v>824</v>
      </c>
      <c r="B832" s="47" t="n">
        <f aca="false">(A832-1)*$C$6</f>
        <v>1.48685075663301</v>
      </c>
      <c r="C832" s="48" t="n">
        <f aca="false">$C$7*B832</f>
        <v>11.4305555555556</v>
      </c>
      <c r="D832" s="49" t="n">
        <f aca="false">0.5*c_rho*'P3 Energie'!E8*'P3 Energie'!E7*(C832-c_Vv)^2+'P3 Energie'!E13+'P3 Energie'!E15+'P3 Energie'!E6*$C$7</f>
        <v>18463.4558816564</v>
      </c>
      <c r="E832" s="50" t="n">
        <f aca="false">D832*C832</f>
        <v>211047.558202823</v>
      </c>
      <c r="F832" s="46" t="n">
        <v>824</v>
      </c>
      <c r="G832" s="47" t="n">
        <f aca="false">(F832-1)*$H$6</f>
        <v>1.48578891565437</v>
      </c>
      <c r="H832" s="48" t="n">
        <f aca="false">$H$7*G832</f>
        <v>11.4305555555556</v>
      </c>
      <c r="I832" s="49" t="n">
        <f aca="false">0.5*c_rho*'P3 Energie'!F8*'P3 Energie'!F7*(H832-c_Vv)^2+'P3 Energie'!F13+'P3 Energie'!F15+'P3 Energie'!F6*$H$7</f>
        <v>19284.4788944743</v>
      </c>
      <c r="J832" s="50" t="n">
        <f aca="false">I832*H832</f>
        <v>220432.307363227</v>
      </c>
    </row>
    <row r="833" customFormat="false" ht="15" hidden="false" customHeight="false" outlineLevel="0" collapsed="false">
      <c r="A833" s="46" t="n">
        <v>825</v>
      </c>
      <c r="B833" s="47" t="n">
        <f aca="false">(A833-1)*$C$6</f>
        <v>1.48865737966659</v>
      </c>
      <c r="C833" s="48" t="n">
        <f aca="false">$C$7*B833</f>
        <v>11.4444444444444</v>
      </c>
      <c r="D833" s="49" t="n">
        <f aca="false">0.5*c_rho*'P3 Energie'!E8*'P3 Energie'!E7*(C833-c_Vv)^2+'P3 Energie'!E13+'P3 Energie'!E15+'P3 Energie'!E6*$C$7</f>
        <v>18463.5827866702</v>
      </c>
      <c r="E833" s="50" t="n">
        <f aca="false">D833*C833</f>
        <v>211305.447447448</v>
      </c>
      <c r="F833" s="46" t="n">
        <v>825</v>
      </c>
      <c r="G833" s="47" t="n">
        <f aca="false">(F833-1)*$H$6</f>
        <v>1.48759424848019</v>
      </c>
      <c r="H833" s="48" t="n">
        <f aca="false">$H$7*G833</f>
        <v>11.4444444444444</v>
      </c>
      <c r="I833" s="49" t="n">
        <f aca="false">0.5*c_rho*'P3 Energie'!F8*'P3 Energie'!F7*(H833-c_Vv)^2+'P3 Energie'!F13+'P3 Energie'!F15+'P3 Energie'!F6*$H$7</f>
        <v>19284.5891523556</v>
      </c>
      <c r="J833" s="50" t="n">
        <f aca="false">I833*H833</f>
        <v>220701.409188069</v>
      </c>
    </row>
    <row r="834" customFormat="false" ht="15" hidden="false" customHeight="false" outlineLevel="0" collapsed="false">
      <c r="A834" s="46" t="n">
        <v>826</v>
      </c>
      <c r="B834" s="47" t="n">
        <f aca="false">(A834-1)*$C$6</f>
        <v>1.49046400270016</v>
      </c>
      <c r="C834" s="48" t="n">
        <f aca="false">$C$7*B834</f>
        <v>11.4583333333333</v>
      </c>
      <c r="D834" s="49" t="n">
        <f aca="false">0.5*c_rho*'P3 Energie'!E8*'P3 Energie'!E7*(C834-c_Vv)^2+'P3 Energie'!E13+'P3 Energie'!E15+'P3 Energie'!E6*$C$7</f>
        <v>18463.7098457885</v>
      </c>
      <c r="E834" s="50" t="n">
        <f aca="false">D834*C834</f>
        <v>211563.341982993</v>
      </c>
      <c r="F834" s="46" t="n">
        <v>826</v>
      </c>
      <c r="G834" s="47" t="n">
        <f aca="false">(F834-1)*$H$6</f>
        <v>1.48939958130602</v>
      </c>
      <c r="H834" s="48" t="n">
        <f aca="false">$H$7*G834</f>
        <v>11.4583333333333</v>
      </c>
      <c r="I834" s="49" t="n">
        <f aca="false">0.5*c_rho*'P3 Energie'!F8*'P3 Energie'!F7*(H834-c_Vv)^2+'P3 Energie'!F13+'P3 Energie'!F15+'P3 Energie'!F6*$H$7</f>
        <v>19284.6995441262</v>
      </c>
      <c r="J834" s="50" t="n">
        <f aca="false">I834*H834</f>
        <v>220970.515609779</v>
      </c>
    </row>
    <row r="835" customFormat="false" ht="15" hidden="false" customHeight="false" outlineLevel="0" collapsed="false">
      <c r="A835" s="46" t="n">
        <v>827</v>
      </c>
      <c r="B835" s="47" t="n">
        <f aca="false">(A835-1)*$C$6</f>
        <v>1.49227062573374</v>
      </c>
      <c r="C835" s="48" t="n">
        <f aca="false">$C$7*B835</f>
        <v>11.4722222222222</v>
      </c>
      <c r="D835" s="49" t="n">
        <f aca="false">0.5*c_rho*'P3 Energie'!E8*'P3 Energie'!E7*(C835-c_Vv)^2+'P3 Energie'!E13+'P3 Energie'!E15+'P3 Energie'!E6*$C$7</f>
        <v>18463.8370590112</v>
      </c>
      <c r="E835" s="50" t="n">
        <f aca="false">D835*C835</f>
        <v>211821.241815879</v>
      </c>
      <c r="F835" s="46" t="n">
        <v>827</v>
      </c>
      <c r="G835" s="47" t="n">
        <f aca="false">(F835-1)*$H$6</f>
        <v>1.49120491413184</v>
      </c>
      <c r="H835" s="48" t="n">
        <f aca="false">$H$7*G835</f>
        <v>11.4722222222222</v>
      </c>
      <c r="I835" s="49" t="n">
        <f aca="false">0.5*c_rho*'P3 Energie'!F8*'P3 Energie'!F7*(H835-c_Vv)^2+'P3 Energie'!F13+'P3 Energie'!F15+'P3 Energie'!F6*$H$7</f>
        <v>19284.8100697861</v>
      </c>
      <c r="J835" s="50" t="n">
        <f aca="false">I835*H835</f>
        <v>221239.626633935</v>
      </c>
    </row>
    <row r="836" customFormat="false" ht="15" hidden="false" customHeight="false" outlineLevel="0" collapsed="false">
      <c r="A836" s="46" t="n">
        <v>828</v>
      </c>
      <c r="B836" s="47" t="n">
        <f aca="false">(A836-1)*$C$6</f>
        <v>1.49407724876731</v>
      </c>
      <c r="C836" s="48" t="n">
        <f aca="false">$C$7*B836</f>
        <v>11.4861111111111</v>
      </c>
      <c r="D836" s="49" t="n">
        <f aca="false">0.5*c_rho*'P3 Energie'!E8*'P3 Energie'!E7*(C836-c_Vv)^2+'P3 Energie'!E13+'P3 Energie'!E15+'P3 Energie'!E6*$C$7</f>
        <v>18463.9644263384</v>
      </c>
      <c r="E836" s="50" t="n">
        <f aca="false">D836*C836</f>
        <v>212079.146952525</v>
      </c>
      <c r="F836" s="46" t="n">
        <v>828</v>
      </c>
      <c r="G836" s="47" t="n">
        <f aca="false">(F836-1)*$H$6</f>
        <v>1.49301024695767</v>
      </c>
      <c r="H836" s="48" t="n">
        <f aca="false">$H$7*G836</f>
        <v>11.4861111111111</v>
      </c>
      <c r="I836" s="49" t="n">
        <f aca="false">0.5*c_rho*'P3 Energie'!F8*'P3 Energie'!F7*(H836-c_Vv)^2+'P3 Energie'!F13+'P3 Energie'!F15+'P3 Energie'!F6*$H$7</f>
        <v>19284.9207293354</v>
      </c>
      <c r="J836" s="50" t="n">
        <f aca="false">I836*H836</f>
        <v>221508.742266117</v>
      </c>
    </row>
    <row r="837" customFormat="false" ht="15" hidden="false" customHeight="false" outlineLevel="0" collapsed="false">
      <c r="A837" s="46" t="n">
        <v>829</v>
      </c>
      <c r="B837" s="47" t="n">
        <f aca="false">(A837-1)*$C$6</f>
        <v>1.49588387180089</v>
      </c>
      <c r="C837" s="48" t="n">
        <f aca="false">$C$7*B837</f>
        <v>11.5</v>
      </c>
      <c r="D837" s="49" t="n">
        <f aca="false">0.5*c_rho*'P3 Energie'!E8*'P3 Energie'!E7*(C837-c_Vv)^2+'P3 Energie'!E13+'P3 Energie'!E15+'P3 Energie'!E6*$C$7</f>
        <v>18464.09194777</v>
      </c>
      <c r="E837" s="50" t="n">
        <f aca="false">D837*C837</f>
        <v>212337.057399355</v>
      </c>
      <c r="F837" s="46" t="n">
        <v>829</v>
      </c>
      <c r="G837" s="47" t="n">
        <f aca="false">(F837-1)*$H$6</f>
        <v>1.49481557978349</v>
      </c>
      <c r="H837" s="48" t="n">
        <f aca="false">$H$7*G837</f>
        <v>11.5</v>
      </c>
      <c r="I837" s="49" t="n">
        <f aca="false">0.5*c_rho*'P3 Energie'!F8*'P3 Energie'!F7*(H837-c_Vv)^2+'P3 Energie'!F13+'P3 Energie'!F15+'P3 Energie'!F6*$H$7</f>
        <v>19285.0315227741</v>
      </c>
      <c r="J837" s="50" t="n">
        <f aca="false">I837*H837</f>
        <v>221777.862511902</v>
      </c>
    </row>
    <row r="838" customFormat="false" ht="15" hidden="false" customHeight="false" outlineLevel="0" collapsed="false">
      <c r="A838" s="46" t="n">
        <v>830</v>
      </c>
      <c r="B838" s="47" t="n">
        <f aca="false">(A838-1)*$C$6</f>
        <v>1.49769049483447</v>
      </c>
      <c r="C838" s="48" t="n">
        <f aca="false">$C$7*B838</f>
        <v>11.5138888888889</v>
      </c>
      <c r="D838" s="49" t="n">
        <f aca="false">0.5*c_rho*'P3 Energie'!E8*'P3 Energie'!E7*(C838-c_Vv)^2+'P3 Energie'!E13+'P3 Energie'!E15+'P3 Energie'!E6*$C$7</f>
        <v>18464.219623306</v>
      </c>
      <c r="E838" s="50" t="n">
        <f aca="false">D838*C838</f>
        <v>212594.973162787</v>
      </c>
      <c r="F838" s="46" t="n">
        <v>830</v>
      </c>
      <c r="G838" s="47" t="n">
        <f aca="false">(F838-1)*$H$6</f>
        <v>1.49662091260932</v>
      </c>
      <c r="H838" s="48" t="n">
        <f aca="false">$H$7*G838</f>
        <v>11.5138888888889</v>
      </c>
      <c r="I838" s="49" t="n">
        <f aca="false">0.5*c_rho*'P3 Energie'!F8*'P3 Energie'!F7*(H838-c_Vv)^2+'P3 Energie'!F13+'P3 Energie'!F15+'P3 Energie'!F6*$H$7</f>
        <v>19285.1424501021</v>
      </c>
      <c r="J838" s="50" t="n">
        <f aca="false">I838*H838</f>
        <v>222046.98737687</v>
      </c>
    </row>
    <row r="839" customFormat="false" ht="15" hidden="false" customHeight="false" outlineLevel="0" collapsed="false">
      <c r="A839" s="46" t="n">
        <v>831</v>
      </c>
      <c r="B839" s="47" t="n">
        <f aca="false">(A839-1)*$C$6</f>
        <v>1.49949711786804</v>
      </c>
      <c r="C839" s="48" t="n">
        <f aca="false">$C$7*B839</f>
        <v>11.5277777777778</v>
      </c>
      <c r="D839" s="49" t="n">
        <f aca="false">0.5*c_rho*'P3 Energie'!E8*'P3 Energie'!E7*(C839-c_Vv)^2+'P3 Energie'!E13+'P3 Energie'!E15+'P3 Energie'!E6*$C$7</f>
        <v>18464.3474529465</v>
      </c>
      <c r="E839" s="50" t="n">
        <f aca="false">D839*C839</f>
        <v>212852.894249245</v>
      </c>
      <c r="F839" s="46" t="n">
        <v>831</v>
      </c>
      <c r="G839" s="47" t="n">
        <f aca="false">(F839-1)*$H$6</f>
        <v>1.49842624543514</v>
      </c>
      <c r="H839" s="48" t="n">
        <f aca="false">$H$7*G839</f>
        <v>11.5277777777778</v>
      </c>
      <c r="I839" s="49" t="n">
        <f aca="false">0.5*c_rho*'P3 Energie'!F8*'P3 Energie'!F7*(H839-c_Vv)^2+'P3 Energie'!F13+'P3 Energie'!F15+'P3 Energie'!F6*$H$7</f>
        <v>19285.2535113194</v>
      </c>
      <c r="J839" s="50" t="n">
        <f aca="false">I839*H839</f>
        <v>222316.116866599</v>
      </c>
    </row>
    <row r="840" customFormat="false" ht="15" hidden="false" customHeight="false" outlineLevel="0" collapsed="false">
      <c r="A840" s="46" t="n">
        <v>832</v>
      </c>
      <c r="B840" s="47" t="n">
        <f aca="false">(A840-1)*$C$6</f>
        <v>1.50130374090162</v>
      </c>
      <c r="C840" s="48" t="n">
        <f aca="false">$C$7*B840</f>
        <v>11.5416666666667</v>
      </c>
      <c r="D840" s="49" t="n">
        <f aca="false">0.5*c_rho*'P3 Energie'!E8*'P3 Energie'!E7*(C840-c_Vv)^2+'P3 Energie'!E13+'P3 Energie'!E15+'P3 Energie'!E6*$C$7</f>
        <v>18464.4754366915</v>
      </c>
      <c r="E840" s="50" t="n">
        <f aca="false">D840*C840</f>
        <v>213110.820665148</v>
      </c>
      <c r="F840" s="46" t="n">
        <v>832</v>
      </c>
      <c r="G840" s="47" t="n">
        <f aca="false">(F840-1)*$H$6</f>
        <v>1.50023157826097</v>
      </c>
      <c r="H840" s="48" t="n">
        <f aca="false">$H$7*G840</f>
        <v>11.5416666666667</v>
      </c>
      <c r="I840" s="49" t="n">
        <f aca="false">0.5*c_rho*'P3 Energie'!F8*'P3 Energie'!F7*(H840-c_Vv)^2+'P3 Energie'!F13+'P3 Energie'!F15+'P3 Energie'!F6*$H$7</f>
        <v>19285.3647064262</v>
      </c>
      <c r="J840" s="50" t="n">
        <f aca="false">I840*H840</f>
        <v>222585.250986669</v>
      </c>
    </row>
    <row r="841" customFormat="false" ht="15" hidden="false" customHeight="false" outlineLevel="0" collapsed="false">
      <c r="A841" s="46" t="n">
        <v>833</v>
      </c>
      <c r="B841" s="47" t="n">
        <f aca="false">(A841-1)*$C$6</f>
        <v>1.50311036393519</v>
      </c>
      <c r="C841" s="48" t="n">
        <f aca="false">$C$7*B841</f>
        <v>11.5555555555556</v>
      </c>
      <c r="D841" s="49" t="n">
        <f aca="false">0.5*c_rho*'P3 Energie'!E8*'P3 Energie'!E7*(C841-c_Vv)^2+'P3 Energie'!E13+'P3 Energie'!E15+'P3 Energie'!E6*$C$7</f>
        <v>18464.6035745409</v>
      </c>
      <c r="E841" s="50" t="n">
        <f aca="false">D841*C841</f>
        <v>213368.752416917</v>
      </c>
      <c r="F841" s="46" t="n">
        <v>833</v>
      </c>
      <c r="G841" s="47" t="n">
        <f aca="false">(F841-1)*$H$6</f>
        <v>1.5020369110868</v>
      </c>
      <c r="H841" s="48" t="n">
        <f aca="false">$H$7*G841</f>
        <v>11.5555555555556</v>
      </c>
      <c r="I841" s="49" t="n">
        <f aca="false">0.5*c_rho*'P3 Energie'!F8*'P3 Energie'!F7*(H841-c_Vv)^2+'P3 Energie'!F13+'P3 Energie'!F15+'P3 Energie'!F6*$H$7</f>
        <v>19285.4760354222</v>
      </c>
      <c r="J841" s="50" t="n">
        <f aca="false">I841*H841</f>
        <v>222854.389742657</v>
      </c>
    </row>
    <row r="842" customFormat="false" ht="15" hidden="false" customHeight="false" outlineLevel="0" collapsed="false">
      <c r="A842" s="46" t="n">
        <v>834</v>
      </c>
      <c r="B842" s="47" t="n">
        <f aca="false">(A842-1)*$C$6</f>
        <v>1.50491698696877</v>
      </c>
      <c r="C842" s="48" t="n">
        <f aca="false">$C$7*B842</f>
        <v>11.5694444444444</v>
      </c>
      <c r="D842" s="49" t="n">
        <f aca="false">0.5*c_rho*'P3 Energie'!E8*'P3 Energie'!E7*(C842-c_Vv)^2+'P3 Energie'!E13+'P3 Energie'!E15+'P3 Energie'!E6*$C$7</f>
        <v>18464.7318664948</v>
      </c>
      <c r="E842" s="50" t="n">
        <f aca="false">D842*C842</f>
        <v>213626.689510974</v>
      </c>
      <c r="F842" s="46" t="n">
        <v>834</v>
      </c>
      <c r="G842" s="47" t="n">
        <f aca="false">(F842-1)*$H$6</f>
        <v>1.50384224391262</v>
      </c>
      <c r="H842" s="48" t="n">
        <f aca="false">$H$7*G842</f>
        <v>11.5694444444444</v>
      </c>
      <c r="I842" s="49" t="n">
        <f aca="false">0.5*c_rho*'P3 Energie'!F8*'P3 Energie'!F7*(H842-c_Vv)^2+'P3 Energie'!F13+'P3 Energie'!F15+'P3 Energie'!F6*$H$7</f>
        <v>19285.5874983076</v>
      </c>
      <c r="J842" s="50" t="n">
        <f aca="false">I842*H842</f>
        <v>223123.533140143</v>
      </c>
    </row>
    <row r="843" customFormat="false" ht="15" hidden="false" customHeight="false" outlineLevel="0" collapsed="false">
      <c r="A843" s="46" t="n">
        <v>835</v>
      </c>
      <c r="B843" s="47" t="n">
        <f aca="false">(A843-1)*$C$6</f>
        <v>1.50672361000235</v>
      </c>
      <c r="C843" s="48" t="n">
        <f aca="false">$C$7*B843</f>
        <v>11.5833333333333</v>
      </c>
      <c r="D843" s="49" t="n">
        <f aca="false">0.5*c_rho*'P3 Energie'!E8*'P3 Energie'!E7*(C843-c_Vv)^2+'P3 Energie'!E13+'P3 Energie'!E15+'P3 Energie'!E6*$C$7</f>
        <v>18464.8603125531</v>
      </c>
      <c r="E843" s="50" t="n">
        <f aca="false">D843*C843</f>
        <v>213884.63195374</v>
      </c>
      <c r="F843" s="46" t="n">
        <v>835</v>
      </c>
      <c r="G843" s="47" t="n">
        <f aca="false">(F843-1)*$H$6</f>
        <v>1.50564757673845</v>
      </c>
      <c r="H843" s="48" t="n">
        <f aca="false">$H$7*G843</f>
        <v>11.5833333333333</v>
      </c>
      <c r="I843" s="49" t="n">
        <f aca="false">0.5*c_rho*'P3 Energie'!F8*'P3 Energie'!F7*(H843-c_Vv)^2+'P3 Energie'!F13+'P3 Energie'!F15+'P3 Energie'!F6*$H$7</f>
        <v>19285.6990950824</v>
      </c>
      <c r="J843" s="50" t="n">
        <f aca="false">I843*H843</f>
        <v>223392.681184705</v>
      </c>
    </row>
    <row r="844" customFormat="false" ht="15" hidden="false" customHeight="false" outlineLevel="0" collapsed="false">
      <c r="A844" s="46" t="n">
        <v>836</v>
      </c>
      <c r="B844" s="47" t="n">
        <f aca="false">(A844-1)*$C$6</f>
        <v>1.50853023303592</v>
      </c>
      <c r="C844" s="48" t="n">
        <f aca="false">$C$7*B844</f>
        <v>11.5972222222222</v>
      </c>
      <c r="D844" s="49" t="n">
        <f aca="false">0.5*c_rho*'P3 Energie'!E8*'P3 Energie'!E7*(C844-c_Vv)^2+'P3 Energie'!E13+'P3 Energie'!E15+'P3 Energie'!E6*$C$7</f>
        <v>18464.9889127158</v>
      </c>
      <c r="E844" s="50" t="n">
        <f aca="false">D844*C844</f>
        <v>214142.579751635</v>
      </c>
      <c r="F844" s="46" t="n">
        <v>836</v>
      </c>
      <c r="G844" s="47" t="n">
        <f aca="false">(F844-1)*$H$6</f>
        <v>1.50745290956427</v>
      </c>
      <c r="H844" s="48" t="n">
        <f aca="false">$H$7*G844</f>
        <v>11.5972222222222</v>
      </c>
      <c r="I844" s="49" t="n">
        <f aca="false">0.5*c_rho*'P3 Energie'!F8*'P3 Energie'!F7*(H844-c_Vv)^2+'P3 Energie'!F13+'P3 Energie'!F15+'P3 Energie'!F6*$H$7</f>
        <v>19285.8108257465</v>
      </c>
      <c r="J844" s="50" t="n">
        <f aca="false">I844*H844</f>
        <v>223661.833881922</v>
      </c>
    </row>
    <row r="845" customFormat="false" ht="15" hidden="false" customHeight="false" outlineLevel="0" collapsed="false">
      <c r="A845" s="46" t="n">
        <v>837</v>
      </c>
      <c r="B845" s="47" t="n">
        <f aca="false">(A845-1)*$C$6</f>
        <v>1.5103368560695</v>
      </c>
      <c r="C845" s="48" t="n">
        <f aca="false">$C$7*B845</f>
        <v>11.6111111111111</v>
      </c>
      <c r="D845" s="49" t="n">
        <f aca="false">0.5*c_rho*'P3 Energie'!E8*'P3 Energie'!E7*(C845-c_Vv)^2+'P3 Energie'!E13+'P3 Energie'!E15+'P3 Energie'!E6*$C$7</f>
        <v>18465.117666983</v>
      </c>
      <c r="E845" s="50" t="n">
        <f aca="false">D845*C845</f>
        <v>214400.53291108</v>
      </c>
      <c r="F845" s="46" t="n">
        <v>837</v>
      </c>
      <c r="G845" s="47" t="n">
        <f aca="false">(F845-1)*$H$6</f>
        <v>1.5092582423901</v>
      </c>
      <c r="H845" s="48" t="n">
        <f aca="false">$H$7*G845</f>
        <v>11.6111111111111</v>
      </c>
      <c r="I845" s="49" t="n">
        <f aca="false">0.5*c_rho*'P3 Energie'!F8*'P3 Energie'!F7*(H845-c_Vv)^2+'P3 Energie'!F13+'P3 Energie'!F15+'P3 Energie'!F6*$H$7</f>
        <v>19285.9226903</v>
      </c>
      <c r="J845" s="50" t="n">
        <f aca="false">I845*H845</f>
        <v>223930.991237372</v>
      </c>
    </row>
    <row r="846" customFormat="false" ht="15" hidden="false" customHeight="false" outlineLevel="0" collapsed="false">
      <c r="A846" s="46" t="n">
        <v>838</v>
      </c>
      <c r="B846" s="47" t="n">
        <f aca="false">(A846-1)*$C$6</f>
        <v>1.51214347910307</v>
      </c>
      <c r="C846" s="48" t="n">
        <f aca="false">$C$7*B846</f>
        <v>11.625</v>
      </c>
      <c r="D846" s="49" t="n">
        <f aca="false">0.5*c_rho*'P3 Energie'!E8*'P3 Energie'!E7*(C846-c_Vv)^2+'P3 Energie'!E13+'P3 Energie'!E15+'P3 Energie'!E6*$C$7</f>
        <v>18465.2465753547</v>
      </c>
      <c r="E846" s="50" t="n">
        <f aca="false">D846*C846</f>
        <v>214658.491438498</v>
      </c>
      <c r="F846" s="46" t="n">
        <v>838</v>
      </c>
      <c r="G846" s="47" t="n">
        <f aca="false">(F846-1)*$H$6</f>
        <v>1.51106357521592</v>
      </c>
      <c r="H846" s="48" t="n">
        <f aca="false">$H$7*G846</f>
        <v>11.625</v>
      </c>
      <c r="I846" s="49" t="n">
        <f aca="false">0.5*c_rho*'P3 Energie'!F8*'P3 Energie'!F7*(H846-c_Vv)^2+'P3 Energie'!F13+'P3 Energie'!F15+'P3 Energie'!F6*$H$7</f>
        <v>19286.0346887428</v>
      </c>
      <c r="J846" s="50" t="n">
        <f aca="false">I846*H846</f>
        <v>224200.153256635</v>
      </c>
    </row>
    <row r="847" customFormat="false" ht="15" hidden="false" customHeight="false" outlineLevel="0" collapsed="false">
      <c r="A847" s="46" t="n">
        <v>839</v>
      </c>
      <c r="B847" s="47" t="n">
        <f aca="false">(A847-1)*$C$6</f>
        <v>1.51395010213665</v>
      </c>
      <c r="C847" s="48" t="n">
        <f aca="false">$C$7*B847</f>
        <v>11.6388888888889</v>
      </c>
      <c r="D847" s="49" t="n">
        <f aca="false">0.5*c_rho*'P3 Energie'!E8*'P3 Energie'!E7*(C847-c_Vv)^2+'P3 Energie'!E13+'P3 Energie'!E15+'P3 Energie'!E6*$C$7</f>
        <v>18465.3756378308</v>
      </c>
      <c r="E847" s="50" t="n">
        <f aca="false">D847*C847</f>
        <v>214916.455340308</v>
      </c>
      <c r="F847" s="46" t="n">
        <v>839</v>
      </c>
      <c r="G847" s="47" t="n">
        <f aca="false">(F847-1)*$H$6</f>
        <v>1.51286890804175</v>
      </c>
      <c r="H847" s="48" t="n">
        <f aca="false">$H$7*G847</f>
        <v>11.6388888888889</v>
      </c>
      <c r="I847" s="49" t="n">
        <f aca="false">0.5*c_rho*'P3 Energie'!F8*'P3 Energie'!F7*(H847-c_Vv)^2+'P3 Energie'!F13+'P3 Energie'!F15+'P3 Energie'!F6*$H$7</f>
        <v>19286.146821075</v>
      </c>
      <c r="J847" s="50" t="n">
        <f aca="false">I847*H847</f>
        <v>224469.31994529</v>
      </c>
    </row>
    <row r="848" customFormat="false" ht="15" hidden="false" customHeight="false" outlineLevel="0" collapsed="false">
      <c r="A848" s="46" t="n">
        <v>840</v>
      </c>
      <c r="B848" s="47" t="n">
        <f aca="false">(A848-1)*$C$6</f>
        <v>1.51575672517022</v>
      </c>
      <c r="C848" s="48" t="n">
        <f aca="false">$C$7*B848</f>
        <v>11.6527777777778</v>
      </c>
      <c r="D848" s="49" t="n">
        <f aca="false">0.5*c_rho*'P3 Energie'!E8*'P3 Energie'!E7*(C848-c_Vv)^2+'P3 Energie'!E13+'P3 Energie'!E15+'P3 Energie'!E6*$C$7</f>
        <v>18465.5048544113</v>
      </c>
      <c r="E848" s="50" t="n">
        <f aca="false">D848*C848</f>
        <v>215174.424622932</v>
      </c>
      <c r="F848" s="46" t="n">
        <v>840</v>
      </c>
      <c r="G848" s="47" t="n">
        <f aca="false">(F848-1)*$H$6</f>
        <v>1.51467424086757</v>
      </c>
      <c r="H848" s="48" t="n">
        <f aca="false">$H$7*G848</f>
        <v>11.6527777777778</v>
      </c>
      <c r="I848" s="49" t="n">
        <f aca="false">0.5*c_rho*'P3 Energie'!F8*'P3 Energie'!F7*(H848-c_Vv)^2+'P3 Energie'!F13+'P3 Energie'!F15+'P3 Energie'!F6*$H$7</f>
        <v>19286.2590872965</v>
      </c>
      <c r="J848" s="50" t="n">
        <f aca="false">I848*H848</f>
        <v>224738.491308914</v>
      </c>
    </row>
    <row r="849" customFormat="false" ht="15" hidden="false" customHeight="false" outlineLevel="0" collapsed="false">
      <c r="A849" s="46" t="n">
        <v>841</v>
      </c>
      <c r="B849" s="47" t="n">
        <f aca="false">(A849-1)*$C$6</f>
        <v>1.5175633482038</v>
      </c>
      <c r="C849" s="48" t="n">
        <f aca="false">$C$7*B849</f>
        <v>11.6666666666667</v>
      </c>
      <c r="D849" s="49" t="n">
        <f aca="false">0.5*c_rho*'P3 Energie'!E8*'P3 Energie'!E7*(C849-c_Vv)^2+'P3 Energie'!E13+'P3 Energie'!E15+'P3 Energie'!E6*$C$7</f>
        <v>18465.6342250963</v>
      </c>
      <c r="E849" s="50" t="n">
        <f aca="false">D849*C849</f>
        <v>215432.39929279</v>
      </c>
      <c r="F849" s="46" t="n">
        <v>841</v>
      </c>
      <c r="G849" s="47" t="n">
        <f aca="false">(F849-1)*$H$6</f>
        <v>1.5164795736934</v>
      </c>
      <c r="H849" s="48" t="n">
        <f aca="false">$H$7*G849</f>
        <v>11.6666666666667</v>
      </c>
      <c r="I849" s="49" t="n">
        <f aca="false">0.5*c_rho*'P3 Energie'!F8*'P3 Energie'!F7*(H849-c_Vv)^2+'P3 Energie'!F13+'P3 Energie'!F15+'P3 Energie'!F6*$H$7</f>
        <v>19286.3714874074</v>
      </c>
      <c r="J849" s="50" t="n">
        <f aca="false">I849*H849</f>
        <v>225007.667353086</v>
      </c>
    </row>
    <row r="850" customFormat="false" ht="15" hidden="false" customHeight="false" outlineLevel="0" collapsed="false">
      <c r="A850" s="46" t="n">
        <v>842</v>
      </c>
      <c r="B850" s="47" t="n">
        <f aca="false">(A850-1)*$C$6</f>
        <v>1.51936997123738</v>
      </c>
      <c r="C850" s="48" t="n">
        <f aca="false">$C$7*B850</f>
        <v>11.6805555555556</v>
      </c>
      <c r="D850" s="49" t="n">
        <f aca="false">0.5*c_rho*'P3 Energie'!E8*'P3 Energie'!E7*(C850-c_Vv)^2+'P3 Energie'!E13+'P3 Energie'!E15+'P3 Energie'!E6*$C$7</f>
        <v>18465.7637498857</v>
      </c>
      <c r="E850" s="50" t="n">
        <f aca="false">D850*C850</f>
        <v>215690.379356304</v>
      </c>
      <c r="F850" s="46" t="n">
        <v>842</v>
      </c>
      <c r="G850" s="47" t="n">
        <f aca="false">(F850-1)*$H$6</f>
        <v>1.51828490651923</v>
      </c>
      <c r="H850" s="48" t="n">
        <f aca="false">$H$7*G850</f>
        <v>11.6805555555556</v>
      </c>
      <c r="I850" s="49" t="n">
        <f aca="false">0.5*c_rho*'P3 Energie'!F8*'P3 Energie'!F7*(H850-c_Vv)^2+'P3 Energie'!F13+'P3 Energie'!F15+'P3 Energie'!F6*$H$7</f>
        <v>19286.4840214076</v>
      </c>
      <c r="J850" s="50" t="n">
        <f aca="false">I850*H850</f>
        <v>225276.848083387</v>
      </c>
    </row>
    <row r="851" customFormat="false" ht="15" hidden="false" customHeight="false" outlineLevel="0" collapsed="false">
      <c r="A851" s="46" t="n">
        <v>843</v>
      </c>
      <c r="B851" s="47" t="n">
        <f aca="false">(A851-1)*$C$6</f>
        <v>1.52117659427095</v>
      </c>
      <c r="C851" s="48" t="n">
        <f aca="false">$C$7*B851</f>
        <v>11.6944444444444</v>
      </c>
      <c r="D851" s="49" t="n">
        <f aca="false">0.5*c_rho*'P3 Energie'!E8*'P3 Energie'!E7*(C851-c_Vv)^2+'P3 Energie'!E13+'P3 Energie'!E15+'P3 Energie'!E6*$C$7</f>
        <v>18465.8934287796</v>
      </c>
      <c r="E851" s="50" t="n">
        <f aca="false">D851*C851</f>
        <v>215948.364819895</v>
      </c>
      <c r="F851" s="46" t="n">
        <v>843</v>
      </c>
      <c r="G851" s="47" t="n">
        <f aca="false">(F851-1)*$H$6</f>
        <v>1.52009023934505</v>
      </c>
      <c r="H851" s="48" t="n">
        <f aca="false">$H$7*G851</f>
        <v>11.6944444444444</v>
      </c>
      <c r="I851" s="49" t="n">
        <f aca="false">0.5*c_rho*'P3 Energie'!F8*'P3 Energie'!F7*(H851-c_Vv)^2+'P3 Energie'!F13+'P3 Energie'!F15+'P3 Energie'!F6*$H$7</f>
        <v>19286.5966892972</v>
      </c>
      <c r="J851" s="50" t="n">
        <f aca="false">I851*H851</f>
        <v>225546.033505393</v>
      </c>
    </row>
    <row r="852" customFormat="false" ht="15" hidden="false" customHeight="false" outlineLevel="0" collapsed="false">
      <c r="A852" s="46" t="n">
        <v>844</v>
      </c>
      <c r="B852" s="47" t="n">
        <f aca="false">(A852-1)*$C$6</f>
        <v>1.52298321730453</v>
      </c>
      <c r="C852" s="48" t="n">
        <f aca="false">$C$7*B852</f>
        <v>11.7083333333333</v>
      </c>
      <c r="D852" s="49" t="n">
        <f aca="false">0.5*c_rho*'P3 Energie'!E8*'P3 Energie'!E7*(C852-c_Vv)^2+'P3 Energie'!E13+'P3 Energie'!E15+'P3 Energie'!E6*$C$7</f>
        <v>18466.023261778</v>
      </c>
      <c r="E852" s="50" t="n">
        <f aca="false">D852*C852</f>
        <v>216206.355689984</v>
      </c>
      <c r="F852" s="46" t="n">
        <v>844</v>
      </c>
      <c r="G852" s="47" t="n">
        <f aca="false">(F852-1)*$H$6</f>
        <v>1.52189557217088</v>
      </c>
      <c r="H852" s="48" t="n">
        <f aca="false">$H$7*G852</f>
        <v>11.7083333333333</v>
      </c>
      <c r="I852" s="49" t="n">
        <f aca="false">0.5*c_rho*'P3 Energie'!F8*'P3 Energie'!F7*(H852-c_Vv)^2+'P3 Energie'!F13+'P3 Energie'!F15+'P3 Energie'!F6*$H$7</f>
        <v>19286.7094910762</v>
      </c>
      <c r="J852" s="50" t="n">
        <f aca="false">I852*H852</f>
        <v>225815.223624683</v>
      </c>
    </row>
    <row r="853" customFormat="false" ht="15" hidden="false" customHeight="false" outlineLevel="0" collapsed="false">
      <c r="A853" s="46" t="n">
        <v>845</v>
      </c>
      <c r="B853" s="47" t="n">
        <f aca="false">(A853-1)*$C$6</f>
        <v>1.5247898403381</v>
      </c>
      <c r="C853" s="48" t="n">
        <f aca="false">$C$7*B853</f>
        <v>11.7222222222222</v>
      </c>
      <c r="D853" s="49" t="n">
        <f aca="false">0.5*c_rho*'P3 Energie'!E8*'P3 Energie'!E7*(C853-c_Vv)^2+'P3 Energie'!E13+'P3 Energie'!E15+'P3 Energie'!E6*$C$7</f>
        <v>18466.1532488808</v>
      </c>
      <c r="E853" s="50" t="n">
        <f aca="false">D853*C853</f>
        <v>216464.351972991</v>
      </c>
      <c r="F853" s="46" t="n">
        <v>845</v>
      </c>
      <c r="G853" s="47" t="n">
        <f aca="false">(F853-1)*$H$6</f>
        <v>1.5237009049967</v>
      </c>
      <c r="H853" s="48" t="n">
        <f aca="false">$H$7*G853</f>
        <v>11.7222222222222</v>
      </c>
      <c r="I853" s="49" t="n">
        <f aca="false">0.5*c_rho*'P3 Energie'!F8*'P3 Energie'!F7*(H853-c_Vv)^2+'P3 Energie'!F13+'P3 Energie'!F15+'P3 Energie'!F6*$H$7</f>
        <v>19286.8224267444</v>
      </c>
      <c r="J853" s="50" t="n">
        <f aca="false">I853*H853</f>
        <v>226084.418446838</v>
      </c>
    </row>
    <row r="854" customFormat="false" ht="15" hidden="false" customHeight="false" outlineLevel="0" collapsed="false">
      <c r="A854" s="46" t="n">
        <v>846</v>
      </c>
      <c r="B854" s="47" t="n">
        <f aca="false">(A854-1)*$C$6</f>
        <v>1.52659646337168</v>
      </c>
      <c r="C854" s="48" t="n">
        <f aca="false">$C$7*B854</f>
        <v>11.7361111111111</v>
      </c>
      <c r="D854" s="49" t="n">
        <f aca="false">0.5*c_rho*'P3 Energie'!E8*'P3 Energie'!E7*(C854-c_Vv)^2+'P3 Energie'!E13+'P3 Energie'!E15+'P3 Energie'!E6*$C$7</f>
        <v>18466.283390088</v>
      </c>
      <c r="E854" s="50" t="n">
        <f aca="false">D854*C854</f>
        <v>216722.353675339</v>
      </c>
      <c r="F854" s="46" t="n">
        <v>846</v>
      </c>
      <c r="G854" s="47" t="n">
        <f aca="false">(F854-1)*$H$6</f>
        <v>1.52550623782253</v>
      </c>
      <c r="H854" s="48" t="n">
        <f aca="false">$H$7*G854</f>
        <v>11.7361111111111</v>
      </c>
      <c r="I854" s="49" t="n">
        <f aca="false">0.5*c_rho*'P3 Energie'!F8*'P3 Energie'!F7*(H854-c_Vv)^2+'P3 Energie'!F13+'P3 Energie'!F15+'P3 Energie'!F6*$H$7</f>
        <v>19286.9354963021</v>
      </c>
      <c r="J854" s="50" t="n">
        <f aca="false">I854*H854</f>
        <v>226353.617977434</v>
      </c>
    </row>
    <row r="855" customFormat="false" ht="15" hidden="false" customHeight="false" outlineLevel="0" collapsed="false">
      <c r="A855" s="46" t="n">
        <v>847</v>
      </c>
      <c r="B855" s="47" t="n">
        <f aca="false">(A855-1)*$C$6</f>
        <v>1.52840308640526</v>
      </c>
      <c r="C855" s="48" t="n">
        <f aca="false">$C$7*B855</f>
        <v>11.75</v>
      </c>
      <c r="D855" s="49" t="n">
        <f aca="false">0.5*c_rho*'P3 Energie'!E8*'P3 Energie'!E7*(C855-c_Vv)^2+'P3 Energie'!E13+'P3 Energie'!E15+'P3 Energie'!E6*$C$7</f>
        <v>18466.4136853997</v>
      </c>
      <c r="E855" s="50" t="n">
        <f aca="false">D855*C855</f>
        <v>216980.360803447</v>
      </c>
      <c r="F855" s="46" t="n">
        <v>847</v>
      </c>
      <c r="G855" s="47" t="n">
        <f aca="false">(F855-1)*$H$6</f>
        <v>1.52731157064835</v>
      </c>
      <c r="H855" s="48" t="n">
        <f aca="false">$H$7*G855</f>
        <v>11.75</v>
      </c>
      <c r="I855" s="49" t="n">
        <f aca="false">0.5*c_rho*'P3 Energie'!F8*'P3 Energie'!F7*(H855-c_Vv)^2+'P3 Energie'!F13+'P3 Energie'!F15+'P3 Energie'!F6*$H$7</f>
        <v>19287.0486997491</v>
      </c>
      <c r="J855" s="50" t="n">
        <f aca="false">I855*H855</f>
        <v>226622.822222052</v>
      </c>
    </row>
    <row r="856" customFormat="false" ht="15" hidden="false" customHeight="false" outlineLevel="0" collapsed="false">
      <c r="A856" s="46" t="n">
        <v>848</v>
      </c>
      <c r="B856" s="47" t="n">
        <f aca="false">(A856-1)*$C$6</f>
        <v>1.53020970943883</v>
      </c>
      <c r="C856" s="48" t="n">
        <f aca="false">$C$7*B856</f>
        <v>11.7638888888889</v>
      </c>
      <c r="D856" s="49" t="n">
        <f aca="false">0.5*c_rho*'P3 Energie'!E8*'P3 Energie'!E7*(C856-c_Vv)^2+'P3 Energie'!E13+'P3 Energie'!E15+'P3 Energie'!E6*$C$7</f>
        <v>18466.5441348159</v>
      </c>
      <c r="E856" s="50" t="n">
        <f aca="false">D856*C856</f>
        <v>217238.373363737</v>
      </c>
      <c r="F856" s="46" t="n">
        <v>848</v>
      </c>
      <c r="G856" s="47" t="n">
        <f aca="false">(F856-1)*$H$6</f>
        <v>1.52911690347418</v>
      </c>
      <c r="H856" s="48" t="n">
        <f aca="false">$H$7*G856</f>
        <v>11.7638888888889</v>
      </c>
      <c r="I856" s="49" t="n">
        <f aca="false">0.5*c_rho*'P3 Energie'!F8*'P3 Energie'!F7*(H856-c_Vv)^2+'P3 Energie'!F13+'P3 Energie'!F15+'P3 Energie'!F6*$H$7</f>
        <v>19287.1620370854</v>
      </c>
      <c r="J856" s="50" t="n">
        <f aca="false">I856*H856</f>
        <v>226892.031186269</v>
      </c>
    </row>
    <row r="857" customFormat="false" ht="15" hidden="false" customHeight="false" outlineLevel="0" collapsed="false">
      <c r="A857" s="46" t="n">
        <v>849</v>
      </c>
      <c r="B857" s="47" t="n">
        <f aca="false">(A857-1)*$C$6</f>
        <v>1.53201633247241</v>
      </c>
      <c r="C857" s="48" t="n">
        <f aca="false">$C$7*B857</f>
        <v>11.7777777777778</v>
      </c>
      <c r="D857" s="49" t="n">
        <f aca="false">0.5*c_rho*'P3 Energie'!E8*'P3 Energie'!E7*(C857-c_Vv)^2+'P3 Energie'!E13+'P3 Energie'!E15+'P3 Energie'!E6*$C$7</f>
        <v>18466.6747383365</v>
      </c>
      <c r="E857" s="50" t="n">
        <f aca="false">D857*C857</f>
        <v>217496.391362629</v>
      </c>
      <c r="F857" s="46" t="n">
        <v>849</v>
      </c>
      <c r="G857" s="47" t="n">
        <f aca="false">(F857-1)*$H$6</f>
        <v>1.5309222363</v>
      </c>
      <c r="H857" s="48" t="n">
        <f aca="false">$H$7*G857</f>
        <v>11.7777777777778</v>
      </c>
      <c r="I857" s="49" t="n">
        <f aca="false">0.5*c_rho*'P3 Energie'!F8*'P3 Energie'!F7*(H857-c_Vv)^2+'P3 Energie'!F13+'P3 Energie'!F15+'P3 Energie'!F6*$H$7</f>
        <v>19287.2755083111</v>
      </c>
      <c r="J857" s="50" t="n">
        <f aca="false">I857*H857</f>
        <v>227161.244875664</v>
      </c>
    </row>
    <row r="858" customFormat="false" ht="15" hidden="false" customHeight="false" outlineLevel="0" collapsed="false">
      <c r="A858" s="46" t="n">
        <v>850</v>
      </c>
      <c r="B858" s="47" t="n">
        <f aca="false">(A858-1)*$C$6</f>
        <v>1.53382295550598</v>
      </c>
      <c r="C858" s="48" t="n">
        <f aca="false">$C$7*B858</f>
        <v>11.7916666666667</v>
      </c>
      <c r="D858" s="49" t="n">
        <f aca="false">0.5*c_rho*'P3 Energie'!E8*'P3 Energie'!E7*(C858-c_Vv)^2+'P3 Energie'!E13+'P3 Energie'!E15+'P3 Energie'!E6*$C$7</f>
        <v>18466.8054959615</v>
      </c>
      <c r="E858" s="50" t="n">
        <f aca="false">D858*C858</f>
        <v>217754.414806546</v>
      </c>
      <c r="F858" s="46" t="n">
        <v>850</v>
      </c>
      <c r="G858" s="47" t="n">
        <f aca="false">(F858-1)*$H$6</f>
        <v>1.53272756912583</v>
      </c>
      <c r="H858" s="48" t="n">
        <f aca="false">$H$7*G858</f>
        <v>11.7916666666667</v>
      </c>
      <c r="I858" s="49" t="n">
        <f aca="false">0.5*c_rho*'P3 Energie'!F8*'P3 Energie'!F7*(H858-c_Vv)^2+'P3 Energie'!F13+'P3 Energie'!F15+'P3 Energie'!F6*$H$7</f>
        <v>19287.3891134262</v>
      </c>
      <c r="J858" s="50" t="n">
        <f aca="false">I858*H858</f>
        <v>227430.463295817</v>
      </c>
    </row>
    <row r="859" customFormat="false" ht="15" hidden="false" customHeight="false" outlineLevel="0" collapsed="false">
      <c r="A859" s="46" t="n">
        <v>851</v>
      </c>
      <c r="B859" s="47" t="n">
        <f aca="false">(A859-1)*$C$6</f>
        <v>1.53562957853956</v>
      </c>
      <c r="C859" s="48" t="n">
        <f aca="false">$C$7*B859</f>
        <v>11.8055555555556</v>
      </c>
      <c r="D859" s="49" t="n">
        <f aca="false">0.5*c_rho*'P3 Energie'!E8*'P3 Energie'!E7*(C859-c_Vv)^2+'P3 Energie'!E13+'P3 Energie'!E15+'P3 Energie'!E6*$C$7</f>
        <v>18466.936407691</v>
      </c>
      <c r="E859" s="50" t="n">
        <f aca="false">D859*C859</f>
        <v>218012.443701907</v>
      </c>
      <c r="F859" s="46" t="n">
        <v>851</v>
      </c>
      <c r="G859" s="47" t="n">
        <f aca="false">(F859-1)*$H$6</f>
        <v>1.53453290195165</v>
      </c>
      <c r="H859" s="48" t="n">
        <f aca="false">$H$7*G859</f>
        <v>11.8055555555556</v>
      </c>
      <c r="I859" s="49" t="n">
        <f aca="false">0.5*c_rho*'P3 Energie'!F8*'P3 Energie'!F7*(H859-c_Vv)^2+'P3 Energie'!F13+'P3 Energie'!F15+'P3 Energie'!F6*$H$7</f>
        <v>19287.5028524306</v>
      </c>
      <c r="J859" s="50" t="n">
        <f aca="false">I859*H859</f>
        <v>227699.686452305</v>
      </c>
    </row>
    <row r="860" customFormat="false" ht="15" hidden="false" customHeight="false" outlineLevel="0" collapsed="false">
      <c r="A860" s="46" t="n">
        <v>852</v>
      </c>
      <c r="B860" s="47" t="n">
        <f aca="false">(A860-1)*$C$6</f>
        <v>1.53743620157314</v>
      </c>
      <c r="C860" s="48" t="n">
        <f aca="false">$C$7*B860</f>
        <v>11.8194444444444</v>
      </c>
      <c r="D860" s="49" t="n">
        <f aca="false">0.5*c_rho*'P3 Energie'!E8*'P3 Energie'!E7*(C860-c_Vv)^2+'P3 Energie'!E13+'P3 Energie'!E15+'P3 Energie'!E6*$C$7</f>
        <v>18467.0674735249</v>
      </c>
      <c r="E860" s="50" t="n">
        <f aca="false">D860*C860</f>
        <v>218270.478055135</v>
      </c>
      <c r="F860" s="46" t="n">
        <v>852</v>
      </c>
      <c r="G860" s="47" t="n">
        <f aca="false">(F860-1)*$H$6</f>
        <v>1.53633823477748</v>
      </c>
      <c r="H860" s="48" t="n">
        <f aca="false">$H$7*G860</f>
        <v>11.8194444444444</v>
      </c>
      <c r="I860" s="49" t="n">
        <f aca="false">0.5*c_rho*'P3 Energie'!F8*'P3 Energie'!F7*(H860-c_Vv)^2+'P3 Energie'!F13+'P3 Energie'!F15+'P3 Energie'!F6*$H$7</f>
        <v>19287.6167253243</v>
      </c>
      <c r="J860" s="50" t="n">
        <f aca="false">I860*H860</f>
        <v>227968.914350708</v>
      </c>
    </row>
    <row r="861" customFormat="false" ht="15" hidden="false" customHeight="false" outlineLevel="0" collapsed="false">
      <c r="A861" s="46" t="n">
        <v>853</v>
      </c>
      <c r="B861" s="47" t="n">
        <f aca="false">(A861-1)*$C$6</f>
        <v>1.53924282460671</v>
      </c>
      <c r="C861" s="48" t="n">
        <f aca="false">$C$7*B861</f>
        <v>11.8333333333333</v>
      </c>
      <c r="D861" s="49" t="n">
        <f aca="false">0.5*c_rho*'P3 Energie'!E8*'P3 Energie'!E7*(C861-c_Vv)^2+'P3 Energie'!E13+'P3 Energie'!E15+'P3 Energie'!E6*$C$7</f>
        <v>18467.1986934633</v>
      </c>
      <c r="E861" s="50" t="n">
        <f aca="false">D861*C861</f>
        <v>218528.517872649</v>
      </c>
      <c r="F861" s="46" t="n">
        <v>853</v>
      </c>
      <c r="G861" s="47" t="n">
        <f aca="false">(F861-1)*$H$6</f>
        <v>1.53814356760331</v>
      </c>
      <c r="H861" s="48" t="n">
        <f aca="false">$H$7*G861</f>
        <v>11.8333333333333</v>
      </c>
      <c r="I861" s="49" t="n">
        <f aca="false">0.5*c_rho*'P3 Energie'!F8*'P3 Energie'!F7*(H861-c_Vv)^2+'P3 Energie'!F13+'P3 Energie'!F15+'P3 Energie'!F6*$H$7</f>
        <v>19287.7307321074</v>
      </c>
      <c r="J861" s="50" t="n">
        <f aca="false">I861*H861</f>
        <v>228238.146996604</v>
      </c>
    </row>
    <row r="862" customFormat="false" ht="15" hidden="false" customHeight="false" outlineLevel="0" collapsed="false">
      <c r="A862" s="46" t="n">
        <v>854</v>
      </c>
      <c r="B862" s="47" t="n">
        <f aca="false">(A862-1)*$C$6</f>
        <v>1.54104944764029</v>
      </c>
      <c r="C862" s="48" t="n">
        <f aca="false">$C$7*B862</f>
        <v>11.8472222222222</v>
      </c>
      <c r="D862" s="49" t="n">
        <f aca="false">0.5*c_rho*'P3 Energie'!E8*'P3 Energie'!E7*(C862-c_Vv)^2+'P3 Energie'!E13+'P3 Energie'!E15+'P3 Energie'!E6*$C$7</f>
        <v>18467.3300675061</v>
      </c>
      <c r="E862" s="50" t="n">
        <f aca="false">D862*C862</f>
        <v>218786.563160871</v>
      </c>
      <c r="F862" s="46" t="n">
        <v>854</v>
      </c>
      <c r="G862" s="47" t="n">
        <f aca="false">(F862-1)*$H$6</f>
        <v>1.53994890042913</v>
      </c>
      <c r="H862" s="48" t="n">
        <f aca="false">$H$7*G862</f>
        <v>11.8472222222222</v>
      </c>
      <c r="I862" s="49" t="n">
        <f aca="false">0.5*c_rho*'P3 Energie'!F8*'P3 Energie'!F7*(H862-c_Vv)^2+'P3 Energie'!F13+'P3 Energie'!F15+'P3 Energie'!F6*$H$7</f>
        <v>19287.8448727799</v>
      </c>
      <c r="J862" s="50" t="n">
        <f aca="false">I862*H862</f>
        <v>228507.384395573</v>
      </c>
    </row>
    <row r="863" customFormat="false" ht="15" hidden="false" customHeight="false" outlineLevel="0" collapsed="false">
      <c r="A863" s="46" t="n">
        <v>855</v>
      </c>
      <c r="B863" s="47" t="n">
        <f aca="false">(A863-1)*$C$6</f>
        <v>1.54285607067386</v>
      </c>
      <c r="C863" s="48" t="n">
        <f aca="false">$C$7*B863</f>
        <v>11.8611111111111</v>
      </c>
      <c r="D863" s="49" t="n">
        <f aca="false">0.5*c_rho*'P3 Energie'!E8*'P3 Energie'!E7*(C863-c_Vv)^2+'P3 Energie'!E13+'P3 Energie'!E15+'P3 Energie'!E6*$C$7</f>
        <v>18467.4615956534</v>
      </c>
      <c r="E863" s="50" t="n">
        <f aca="false">D863*C863</f>
        <v>219044.613926223</v>
      </c>
      <c r="F863" s="46" t="n">
        <v>855</v>
      </c>
      <c r="G863" s="47" t="n">
        <f aca="false">(F863-1)*$H$6</f>
        <v>1.54175423325496</v>
      </c>
      <c r="H863" s="48" t="n">
        <f aca="false">$H$7*G863</f>
        <v>11.8611111111111</v>
      </c>
      <c r="I863" s="49" t="n">
        <f aca="false">0.5*c_rho*'P3 Energie'!F8*'P3 Energie'!F7*(H863-c_Vv)^2+'P3 Energie'!F13+'P3 Energie'!F15+'P3 Energie'!F6*$H$7</f>
        <v>19287.9591473417</v>
      </c>
      <c r="J863" s="50" t="n">
        <f aca="false">I863*H863</f>
        <v>228776.626553191</v>
      </c>
    </row>
    <row r="864" customFormat="false" ht="15" hidden="false" customHeight="false" outlineLevel="0" collapsed="false">
      <c r="A864" s="46" t="n">
        <v>856</v>
      </c>
      <c r="B864" s="47" t="n">
        <f aca="false">(A864-1)*$C$6</f>
        <v>1.54466269370744</v>
      </c>
      <c r="C864" s="48" t="n">
        <f aca="false">$C$7*B864</f>
        <v>11.875</v>
      </c>
      <c r="D864" s="49" t="n">
        <f aca="false">0.5*c_rho*'P3 Energie'!E8*'P3 Energie'!E7*(C864-c_Vv)^2+'P3 Energie'!E13+'P3 Energie'!E15+'P3 Energie'!E6*$C$7</f>
        <v>18467.5932779052</v>
      </c>
      <c r="E864" s="50" t="n">
        <f aca="false">D864*C864</f>
        <v>219302.670175124</v>
      </c>
      <c r="F864" s="46" t="n">
        <v>856</v>
      </c>
      <c r="G864" s="47" t="n">
        <f aca="false">(F864-1)*$H$6</f>
        <v>1.54355956608078</v>
      </c>
      <c r="H864" s="48" t="n">
        <f aca="false">$H$7*G864</f>
        <v>11.875</v>
      </c>
      <c r="I864" s="49" t="n">
        <f aca="false">0.5*c_rho*'P3 Energie'!F8*'P3 Energie'!F7*(H864-c_Vv)^2+'P3 Energie'!F13+'P3 Energie'!F15+'P3 Energie'!F6*$H$7</f>
        <v>19288.0735557928</v>
      </c>
      <c r="J864" s="50" t="n">
        <f aca="false">I864*H864</f>
        <v>229045.87347504</v>
      </c>
    </row>
    <row r="865" customFormat="false" ht="15" hidden="false" customHeight="false" outlineLevel="0" collapsed="false">
      <c r="A865" s="46" t="n">
        <v>857</v>
      </c>
      <c r="B865" s="47" t="n">
        <f aca="false">(A865-1)*$C$6</f>
        <v>1.54646931674102</v>
      </c>
      <c r="C865" s="48" t="n">
        <f aca="false">$C$7*B865</f>
        <v>11.8888888888889</v>
      </c>
      <c r="D865" s="49" t="n">
        <f aca="false">0.5*c_rho*'P3 Energie'!E8*'P3 Energie'!E7*(C865-c_Vv)^2+'P3 Energie'!E13+'P3 Energie'!E15+'P3 Energie'!E6*$C$7</f>
        <v>18467.7251142613</v>
      </c>
      <c r="E865" s="50" t="n">
        <f aca="false">D865*C865</f>
        <v>219560.731913996</v>
      </c>
      <c r="F865" s="46" t="n">
        <v>857</v>
      </c>
      <c r="G865" s="47" t="n">
        <f aca="false">(F865-1)*$H$6</f>
        <v>1.54536489890661</v>
      </c>
      <c r="H865" s="48" t="n">
        <f aca="false">$H$7*G865</f>
        <v>11.8888888888889</v>
      </c>
      <c r="I865" s="49" t="n">
        <f aca="false">0.5*c_rho*'P3 Energie'!F8*'P3 Energie'!F7*(H865-c_Vv)^2+'P3 Energie'!F13+'P3 Energie'!F15+'P3 Energie'!F6*$H$7</f>
        <v>19288.1880981333</v>
      </c>
      <c r="J865" s="50" t="n">
        <f aca="false">I865*H865</f>
        <v>229315.125166696</v>
      </c>
    </row>
    <row r="866" customFormat="false" ht="15" hidden="false" customHeight="false" outlineLevel="0" collapsed="false">
      <c r="A866" s="46" t="n">
        <v>858</v>
      </c>
      <c r="B866" s="47" t="n">
        <f aca="false">(A866-1)*$C$6</f>
        <v>1.54827593977459</v>
      </c>
      <c r="C866" s="48" t="n">
        <f aca="false">$C$7*B866</f>
        <v>11.9027777777778</v>
      </c>
      <c r="D866" s="49" t="n">
        <f aca="false">0.5*c_rho*'P3 Energie'!E8*'P3 Energie'!E7*(C866-c_Vv)^2+'P3 Energie'!E13+'P3 Energie'!E15+'P3 Energie'!E6*$C$7</f>
        <v>18467.857104722</v>
      </c>
      <c r="E866" s="50" t="n">
        <f aca="false">D866*C866</f>
        <v>219818.79914926</v>
      </c>
      <c r="F866" s="46" t="n">
        <v>858</v>
      </c>
      <c r="G866" s="47" t="n">
        <f aca="false">(F866-1)*$H$6</f>
        <v>1.54717023173243</v>
      </c>
      <c r="H866" s="48" t="n">
        <f aca="false">$H$7*G866</f>
        <v>11.9027777777778</v>
      </c>
      <c r="I866" s="49" t="n">
        <f aca="false">0.5*c_rho*'P3 Energie'!F8*'P3 Energie'!F7*(H866-c_Vv)^2+'P3 Energie'!F13+'P3 Energie'!F15+'P3 Energie'!F6*$H$7</f>
        <v>19288.3027743632</v>
      </c>
      <c r="J866" s="50" t="n">
        <f aca="false">I866*H866</f>
        <v>229584.38163374</v>
      </c>
    </row>
    <row r="867" customFormat="false" ht="15" hidden="false" customHeight="false" outlineLevel="0" collapsed="false">
      <c r="A867" s="46" t="n">
        <v>859</v>
      </c>
      <c r="B867" s="47" t="n">
        <f aca="false">(A867-1)*$C$6</f>
        <v>1.55008256280817</v>
      </c>
      <c r="C867" s="48" t="n">
        <f aca="false">$C$7*B867</f>
        <v>11.9166666666667</v>
      </c>
      <c r="D867" s="49" t="n">
        <f aca="false">0.5*c_rho*'P3 Energie'!E8*'P3 Energie'!E7*(C867-c_Vv)^2+'P3 Energie'!E13+'P3 Energie'!E15+'P3 Energie'!E6*$C$7</f>
        <v>18467.9892492871</v>
      </c>
      <c r="E867" s="50" t="n">
        <f aca="false">D867*C867</f>
        <v>220076.871887337</v>
      </c>
      <c r="F867" s="46" t="n">
        <v>859</v>
      </c>
      <c r="G867" s="47" t="n">
        <f aca="false">(F867-1)*$H$6</f>
        <v>1.54897556455826</v>
      </c>
      <c r="H867" s="48" t="n">
        <f aca="false">$H$7*G867</f>
        <v>11.9166666666667</v>
      </c>
      <c r="I867" s="49" t="n">
        <f aca="false">0.5*c_rho*'P3 Energie'!F8*'P3 Energie'!F7*(H867-c_Vv)^2+'P3 Energie'!F13+'P3 Energie'!F15+'P3 Energie'!F6*$H$7</f>
        <v>19288.4175844824</v>
      </c>
      <c r="J867" s="50" t="n">
        <f aca="false">I867*H867</f>
        <v>229853.642881749</v>
      </c>
    </row>
    <row r="868" customFormat="false" ht="15" hidden="false" customHeight="false" outlineLevel="0" collapsed="false">
      <c r="A868" s="46" t="n">
        <v>860</v>
      </c>
      <c r="B868" s="47" t="n">
        <f aca="false">(A868-1)*$C$6</f>
        <v>1.55188918584174</v>
      </c>
      <c r="C868" s="48" t="n">
        <f aca="false">$C$7*B868</f>
        <v>11.9305555555556</v>
      </c>
      <c r="D868" s="49" t="n">
        <f aca="false">0.5*c_rho*'P3 Energie'!E8*'P3 Energie'!E7*(C868-c_Vv)^2+'P3 Energie'!E13+'P3 Energie'!E15+'P3 Energie'!E6*$C$7</f>
        <v>18468.1215479566</v>
      </c>
      <c r="E868" s="50" t="n">
        <f aca="false">D868*C868</f>
        <v>220334.950134649</v>
      </c>
      <c r="F868" s="46" t="n">
        <v>860</v>
      </c>
      <c r="G868" s="47" t="n">
        <f aca="false">(F868-1)*$H$6</f>
        <v>1.55078089738408</v>
      </c>
      <c r="H868" s="48" t="n">
        <f aca="false">$H$7*G868</f>
        <v>11.9305555555556</v>
      </c>
      <c r="I868" s="49" t="n">
        <f aca="false">0.5*c_rho*'P3 Energie'!F8*'P3 Energie'!F7*(H868-c_Vv)^2+'P3 Energie'!F13+'P3 Energie'!F15+'P3 Energie'!F6*$H$7</f>
        <v>19288.532528491</v>
      </c>
      <c r="J868" s="50" t="n">
        <f aca="false">I868*H868</f>
        <v>230122.908916302</v>
      </c>
    </row>
    <row r="869" customFormat="false" ht="15" hidden="false" customHeight="false" outlineLevel="0" collapsed="false">
      <c r="A869" s="46" t="n">
        <v>861</v>
      </c>
      <c r="B869" s="47" t="n">
        <f aca="false">(A869-1)*$C$6</f>
        <v>1.55369580887532</v>
      </c>
      <c r="C869" s="48" t="n">
        <f aca="false">$C$7*B869</f>
        <v>11.9444444444444</v>
      </c>
      <c r="D869" s="49" t="n">
        <f aca="false">0.5*c_rho*'P3 Energie'!E8*'P3 Energie'!E7*(C869-c_Vv)^2+'P3 Energie'!E13+'P3 Energie'!E15+'P3 Energie'!E6*$C$7</f>
        <v>18468.2540007306</v>
      </c>
      <c r="E869" s="50" t="n">
        <f aca="false">D869*C869</f>
        <v>220593.033897615</v>
      </c>
      <c r="F869" s="46" t="n">
        <v>861</v>
      </c>
      <c r="G869" s="47" t="n">
        <f aca="false">(F869-1)*$H$6</f>
        <v>1.55258623020991</v>
      </c>
      <c r="H869" s="48" t="n">
        <f aca="false">$H$7*G869</f>
        <v>11.9444444444444</v>
      </c>
      <c r="I869" s="49" t="n">
        <f aca="false">0.5*c_rho*'P3 Energie'!F8*'P3 Energie'!F7*(H869-c_Vv)^2+'P3 Energie'!F13+'P3 Energie'!F15+'P3 Energie'!F6*$H$7</f>
        <v>19288.6476063889</v>
      </c>
      <c r="J869" s="50" t="n">
        <f aca="false">I869*H869</f>
        <v>230392.179742978</v>
      </c>
    </row>
    <row r="870" customFormat="false" ht="15" hidden="false" customHeight="false" outlineLevel="0" collapsed="false">
      <c r="A870" s="46" t="n">
        <v>862</v>
      </c>
      <c r="B870" s="47" t="n">
        <f aca="false">(A870-1)*$C$6</f>
        <v>1.5555024319089</v>
      </c>
      <c r="C870" s="48" t="n">
        <f aca="false">$C$7*B870</f>
        <v>11.9583333333333</v>
      </c>
      <c r="D870" s="49" t="n">
        <f aca="false">0.5*c_rho*'P3 Energie'!E8*'P3 Energie'!E7*(C870-c_Vv)^2+'P3 Energie'!E13+'P3 Energie'!E15+'P3 Energie'!E6*$C$7</f>
        <v>18468.386607609</v>
      </c>
      <c r="E870" s="50" t="n">
        <f aca="false">D870*C870</f>
        <v>220851.123182657</v>
      </c>
      <c r="F870" s="46" t="n">
        <v>862</v>
      </c>
      <c r="G870" s="47" t="n">
        <f aca="false">(F870-1)*$H$6</f>
        <v>1.55439156303573</v>
      </c>
      <c r="H870" s="48" t="n">
        <f aca="false">$H$7*G870</f>
        <v>11.9583333333333</v>
      </c>
      <c r="I870" s="49" t="n">
        <f aca="false">0.5*c_rho*'P3 Energie'!F8*'P3 Energie'!F7*(H870-c_Vv)^2+'P3 Energie'!F13+'P3 Energie'!F15+'P3 Energie'!F6*$H$7</f>
        <v>19288.7628181762</v>
      </c>
      <c r="J870" s="50" t="n">
        <f aca="false">I870*H870</f>
        <v>230661.455367357</v>
      </c>
    </row>
    <row r="871" customFormat="false" ht="15" hidden="false" customHeight="false" outlineLevel="0" collapsed="false">
      <c r="A871" s="46" t="n">
        <v>863</v>
      </c>
      <c r="B871" s="47" t="n">
        <f aca="false">(A871-1)*$C$6</f>
        <v>1.55730905494247</v>
      </c>
      <c r="C871" s="48" t="n">
        <f aca="false">$C$7*B871</f>
        <v>11.9722222222222</v>
      </c>
      <c r="D871" s="49" t="n">
        <f aca="false">0.5*c_rho*'P3 Energie'!E8*'P3 Energie'!E7*(C871-c_Vv)^2+'P3 Energie'!E13+'P3 Energie'!E15+'P3 Energie'!E6*$C$7</f>
        <v>18468.5193685919</v>
      </c>
      <c r="E871" s="50" t="n">
        <f aca="false">D871*C871</f>
        <v>221109.217996197</v>
      </c>
      <c r="F871" s="46" t="n">
        <v>863</v>
      </c>
      <c r="G871" s="47" t="n">
        <f aca="false">(F871-1)*$H$6</f>
        <v>1.55619689586156</v>
      </c>
      <c r="H871" s="48" t="n">
        <f aca="false">$H$7*G871</f>
        <v>11.9722222222222</v>
      </c>
      <c r="I871" s="49" t="n">
        <f aca="false">0.5*c_rho*'P3 Energie'!F8*'P3 Energie'!F7*(H871-c_Vv)^2+'P3 Energie'!F13+'P3 Energie'!F15+'P3 Energie'!F6*$H$7</f>
        <v>19288.8781638528</v>
      </c>
      <c r="J871" s="50" t="n">
        <f aca="false">I871*H871</f>
        <v>230930.735795015</v>
      </c>
    </row>
    <row r="872" customFormat="false" ht="15" hidden="false" customHeight="false" outlineLevel="0" collapsed="false">
      <c r="A872" s="46" t="n">
        <v>864</v>
      </c>
      <c r="B872" s="47" t="n">
        <f aca="false">(A872-1)*$C$6</f>
        <v>1.55911567797605</v>
      </c>
      <c r="C872" s="48" t="n">
        <f aca="false">$C$7*B872</f>
        <v>11.9861111111111</v>
      </c>
      <c r="D872" s="49" t="n">
        <f aca="false">0.5*c_rho*'P3 Energie'!E8*'P3 Energie'!E7*(C872-c_Vv)^2+'P3 Energie'!E13+'P3 Energie'!E15+'P3 Energie'!E6*$C$7</f>
        <v>18468.6522836792</v>
      </c>
      <c r="E872" s="50" t="n">
        <f aca="false">D872*C872</f>
        <v>221367.318344655</v>
      </c>
      <c r="F872" s="46" t="n">
        <v>864</v>
      </c>
      <c r="G872" s="47" t="n">
        <f aca="false">(F872-1)*$H$6</f>
        <v>1.55800222868739</v>
      </c>
      <c r="H872" s="48" t="n">
        <f aca="false">$H$7*G872</f>
        <v>11.9861111111111</v>
      </c>
      <c r="I872" s="49" t="n">
        <f aca="false">0.5*c_rho*'P3 Energie'!F8*'P3 Energie'!F7*(H872-c_Vv)^2+'P3 Energie'!F13+'P3 Energie'!F15+'P3 Energie'!F6*$H$7</f>
        <v>19288.9936434188</v>
      </c>
      <c r="J872" s="50" t="n">
        <f aca="false">I872*H872</f>
        <v>231200.021031533</v>
      </c>
    </row>
    <row r="873" customFormat="false" ht="15" hidden="false" customHeight="false" outlineLevel="0" collapsed="false">
      <c r="A873" s="46" t="n">
        <v>865</v>
      </c>
      <c r="B873" s="47" t="n">
        <f aca="false">(A873-1)*$C$6</f>
        <v>1.56092230100962</v>
      </c>
      <c r="C873" s="48" t="n">
        <f aca="false">$C$7*B873</f>
        <v>12</v>
      </c>
      <c r="D873" s="49" t="n">
        <f aca="false">0.5*c_rho*'P3 Energie'!E8*'P3 Energie'!E7*(C873-c_Vv)^2+'P3 Energie'!E13+'P3 Energie'!E15+'P3 Energie'!E6*$C$7</f>
        <v>18468.785352871</v>
      </c>
      <c r="E873" s="50" t="n">
        <f aca="false">D873*C873</f>
        <v>221625.424234452</v>
      </c>
      <c r="F873" s="46" t="n">
        <v>865</v>
      </c>
      <c r="G873" s="47" t="n">
        <f aca="false">(F873-1)*$H$6</f>
        <v>1.55980756151321</v>
      </c>
      <c r="H873" s="48" t="n">
        <f aca="false">$H$7*G873</f>
        <v>12</v>
      </c>
      <c r="I873" s="49" t="n">
        <f aca="false">0.5*c_rho*'P3 Energie'!F8*'P3 Energie'!F7*(H873-c_Vv)^2+'P3 Energie'!F13+'P3 Energie'!F15+'P3 Energie'!F6*$H$7</f>
        <v>19289.1092568741</v>
      </c>
      <c r="J873" s="50" t="n">
        <f aca="false">I873*H873</f>
        <v>231469.311082489</v>
      </c>
    </row>
    <row r="874" customFormat="false" ht="15" hidden="false" customHeight="false" outlineLevel="0" collapsed="false">
      <c r="A874" s="46" t="n">
        <v>866</v>
      </c>
      <c r="B874" s="47" t="n">
        <f aca="false">(A874-1)*$C$6</f>
        <v>1.5627289240432</v>
      </c>
      <c r="C874" s="48" t="n">
        <f aca="false">$C$7*B874</f>
        <v>12.0138888888889</v>
      </c>
      <c r="D874" s="49" t="n">
        <f aca="false">0.5*c_rho*'P3 Energie'!E8*'P3 Energie'!E7*(C874-c_Vv)^2+'P3 Energie'!E13+'P3 Energie'!E15+'P3 Energie'!E6*$C$7</f>
        <v>18468.9185761672</v>
      </c>
      <c r="E874" s="50" t="n">
        <f aca="false">D874*C874</f>
        <v>221883.535672009</v>
      </c>
      <c r="F874" s="46" t="n">
        <v>866</v>
      </c>
      <c r="G874" s="47" t="n">
        <f aca="false">(F874-1)*$H$6</f>
        <v>1.56161289433904</v>
      </c>
      <c r="H874" s="48" t="n">
        <f aca="false">$H$7*G874</f>
        <v>12.0138888888889</v>
      </c>
      <c r="I874" s="49" t="n">
        <f aca="false">0.5*c_rho*'P3 Energie'!F8*'P3 Energie'!F7*(H874-c_Vv)^2+'P3 Energie'!F13+'P3 Energie'!F15+'P3 Energie'!F6*$H$7</f>
        <v>19289.2250042188</v>
      </c>
      <c r="J874" s="50" t="n">
        <f aca="false">I874*H874</f>
        <v>231738.605953461</v>
      </c>
    </row>
    <row r="875" customFormat="false" ht="15" hidden="false" customHeight="false" outlineLevel="0" collapsed="false">
      <c r="A875" s="46" t="n">
        <v>867</v>
      </c>
      <c r="B875" s="47" t="n">
        <f aca="false">(A875-1)*$C$6</f>
        <v>1.56453554707678</v>
      </c>
      <c r="C875" s="48" t="n">
        <f aca="false">$C$7*B875</f>
        <v>12.0277777777778</v>
      </c>
      <c r="D875" s="49" t="n">
        <f aca="false">0.5*c_rho*'P3 Energie'!E8*'P3 Energie'!E7*(C875-c_Vv)^2+'P3 Energie'!E13+'P3 Energie'!E15+'P3 Energie'!E6*$C$7</f>
        <v>18469.0519535679</v>
      </c>
      <c r="E875" s="50" t="n">
        <f aca="false">D875*C875</f>
        <v>222141.652663747</v>
      </c>
      <c r="F875" s="46" t="n">
        <v>867</v>
      </c>
      <c r="G875" s="47" t="n">
        <f aca="false">(F875-1)*$H$6</f>
        <v>1.56341822716486</v>
      </c>
      <c r="H875" s="48" t="n">
        <f aca="false">$H$7*G875</f>
        <v>12.0277777777778</v>
      </c>
      <c r="I875" s="49" t="n">
        <f aca="false">0.5*c_rho*'P3 Energie'!F8*'P3 Energie'!F7*(H875-c_Vv)^2+'P3 Energie'!F13+'P3 Energie'!F15+'P3 Energie'!F6*$H$7</f>
        <v>19289.3408854528</v>
      </c>
      <c r="J875" s="50" t="n">
        <f aca="false">I875*H875</f>
        <v>232007.905650029</v>
      </c>
    </row>
    <row r="876" customFormat="false" ht="15" hidden="false" customHeight="false" outlineLevel="0" collapsed="false">
      <c r="A876" s="46" t="n">
        <v>868</v>
      </c>
      <c r="B876" s="47" t="n">
        <f aca="false">(A876-1)*$C$6</f>
        <v>1.56634217011035</v>
      </c>
      <c r="C876" s="48" t="n">
        <f aca="false">$C$7*B876</f>
        <v>12.0416666666667</v>
      </c>
      <c r="D876" s="49" t="n">
        <f aca="false">0.5*c_rho*'P3 Energie'!E8*'P3 Energie'!E7*(C876-c_Vv)^2+'P3 Energie'!E13+'P3 Energie'!E15+'P3 Energie'!E6*$C$7</f>
        <v>18469.185485073</v>
      </c>
      <c r="E876" s="50" t="n">
        <f aca="false">D876*C876</f>
        <v>222399.775216087</v>
      </c>
      <c r="F876" s="46" t="n">
        <v>868</v>
      </c>
      <c r="G876" s="47" t="n">
        <f aca="false">(F876-1)*$H$6</f>
        <v>1.56522355999069</v>
      </c>
      <c r="H876" s="48" t="n">
        <f aca="false">$H$7*G876</f>
        <v>12.0416666666667</v>
      </c>
      <c r="I876" s="49" t="n">
        <f aca="false">0.5*c_rho*'P3 Energie'!F8*'P3 Energie'!F7*(H876-c_Vv)^2+'P3 Energie'!F13+'P3 Energie'!F15+'P3 Energie'!F6*$H$7</f>
        <v>19289.4569005762</v>
      </c>
      <c r="J876" s="50" t="n">
        <f aca="false">I876*H876</f>
        <v>232277.210177771</v>
      </c>
    </row>
    <row r="877" customFormat="false" ht="15" hidden="false" customHeight="false" outlineLevel="0" collapsed="false">
      <c r="A877" s="46" t="n">
        <v>869</v>
      </c>
      <c r="B877" s="47" t="n">
        <f aca="false">(A877-1)*$C$6</f>
        <v>1.56814879314393</v>
      </c>
      <c r="C877" s="48" t="n">
        <f aca="false">$C$7*B877</f>
        <v>12.0555555555556</v>
      </c>
      <c r="D877" s="49" t="n">
        <f aca="false">0.5*c_rho*'P3 Energie'!E8*'P3 Energie'!E7*(C877-c_Vv)^2+'P3 Energie'!E13+'P3 Energie'!E15+'P3 Energie'!E6*$C$7</f>
        <v>18469.3191706826</v>
      </c>
      <c r="E877" s="50" t="n">
        <f aca="false">D877*C877</f>
        <v>222657.903335451</v>
      </c>
      <c r="F877" s="46" t="n">
        <v>869</v>
      </c>
      <c r="G877" s="47" t="n">
        <f aca="false">(F877-1)*$H$6</f>
        <v>1.56702889281651</v>
      </c>
      <c r="H877" s="48" t="n">
        <f aca="false">$H$7*G877</f>
        <v>12.0555555555556</v>
      </c>
      <c r="I877" s="49" t="n">
        <f aca="false">0.5*c_rho*'P3 Energie'!F8*'P3 Energie'!F7*(H877-c_Vv)^2+'P3 Energie'!F13+'P3 Energie'!F15+'P3 Energie'!F6*$H$7</f>
        <v>19289.5730495889</v>
      </c>
      <c r="J877" s="50" t="n">
        <f aca="false">I877*H877</f>
        <v>232546.519542266</v>
      </c>
    </row>
    <row r="878" customFormat="false" ht="15" hidden="false" customHeight="false" outlineLevel="0" collapsed="false">
      <c r="A878" s="46" t="n">
        <v>870</v>
      </c>
      <c r="B878" s="47" t="n">
        <f aca="false">(A878-1)*$C$6</f>
        <v>1.5699554161775</v>
      </c>
      <c r="C878" s="48" t="n">
        <f aca="false">$C$7*B878</f>
        <v>12.0694444444444</v>
      </c>
      <c r="D878" s="49" t="n">
        <f aca="false">0.5*c_rho*'P3 Energie'!E8*'P3 Energie'!E7*(C878-c_Vv)^2+'P3 Energie'!E13+'P3 Energie'!E15+'P3 Energie'!E6*$C$7</f>
        <v>18469.4530103966</v>
      </c>
      <c r="E878" s="50" t="n">
        <f aca="false">D878*C878</f>
        <v>222916.037028259</v>
      </c>
      <c r="F878" s="46" t="n">
        <v>870</v>
      </c>
      <c r="G878" s="47" t="n">
        <f aca="false">(F878-1)*$H$6</f>
        <v>1.56883422564234</v>
      </c>
      <c r="H878" s="48" t="n">
        <f aca="false">$H$7*G878</f>
        <v>12.0694444444444</v>
      </c>
      <c r="I878" s="49" t="n">
        <f aca="false">0.5*c_rho*'P3 Energie'!F8*'P3 Energie'!F7*(H878-c_Vv)^2+'P3 Energie'!F13+'P3 Energie'!F15+'P3 Energie'!F6*$H$7</f>
        <v>19289.689332491</v>
      </c>
      <c r="J878" s="50" t="n">
        <f aca="false">I878*H878</f>
        <v>232815.833749092</v>
      </c>
    </row>
    <row r="879" customFormat="false" ht="15" hidden="false" customHeight="false" outlineLevel="0" collapsed="false">
      <c r="A879" s="46" t="n">
        <v>871</v>
      </c>
      <c r="B879" s="47" t="n">
        <f aca="false">(A879-1)*$C$6</f>
        <v>1.57176203921108</v>
      </c>
      <c r="C879" s="48" t="n">
        <f aca="false">$C$7*B879</f>
        <v>12.0833333333333</v>
      </c>
      <c r="D879" s="49" t="n">
        <f aca="false">0.5*c_rho*'P3 Energie'!E8*'P3 Energie'!E7*(C879-c_Vv)^2+'P3 Energie'!E13+'P3 Energie'!E15+'P3 Energie'!E6*$C$7</f>
        <v>18469.5870042151</v>
      </c>
      <c r="E879" s="50" t="n">
        <f aca="false">D879*C879</f>
        <v>223174.176300932</v>
      </c>
      <c r="F879" s="46" t="n">
        <v>871</v>
      </c>
      <c r="G879" s="47" t="n">
        <f aca="false">(F879-1)*$H$6</f>
        <v>1.57063955846816</v>
      </c>
      <c r="H879" s="48" t="n">
        <f aca="false">$H$7*G879</f>
        <v>12.0833333333333</v>
      </c>
      <c r="I879" s="49" t="n">
        <f aca="false">0.5*c_rho*'P3 Energie'!F8*'P3 Energie'!F7*(H879-c_Vv)^2+'P3 Energie'!F13+'P3 Energie'!F15+'P3 Energie'!F6*$H$7</f>
        <v>19289.8057492824</v>
      </c>
      <c r="J879" s="50" t="n">
        <f aca="false">I879*H879</f>
        <v>233085.152803829</v>
      </c>
    </row>
    <row r="880" customFormat="false" ht="15" hidden="false" customHeight="false" outlineLevel="0" collapsed="false">
      <c r="A880" s="46" t="n">
        <v>872</v>
      </c>
      <c r="B880" s="47" t="n">
        <f aca="false">(A880-1)*$C$6</f>
        <v>1.57356866224466</v>
      </c>
      <c r="C880" s="48" t="n">
        <f aca="false">$C$7*B880</f>
        <v>12.0972222222222</v>
      </c>
      <c r="D880" s="49" t="n">
        <f aca="false">0.5*c_rho*'P3 Energie'!E8*'P3 Energie'!E7*(C880-c_Vv)^2+'P3 Energie'!E13+'P3 Energie'!E15+'P3 Energie'!E6*$C$7</f>
        <v>18469.721152138</v>
      </c>
      <c r="E880" s="50" t="n">
        <f aca="false">D880*C880</f>
        <v>223432.321159891</v>
      </c>
      <c r="F880" s="46" t="n">
        <v>872</v>
      </c>
      <c r="G880" s="47" t="n">
        <f aca="false">(F880-1)*$H$6</f>
        <v>1.57244489129399</v>
      </c>
      <c r="H880" s="48" t="n">
        <f aca="false">$H$7*G880</f>
        <v>12.0972222222222</v>
      </c>
      <c r="I880" s="49" t="n">
        <f aca="false">0.5*c_rho*'P3 Energie'!F8*'P3 Energie'!F7*(H880-c_Vv)^2+'P3 Energie'!F13+'P3 Energie'!F15+'P3 Energie'!F6*$H$7</f>
        <v>19289.9222999632</v>
      </c>
      <c r="J880" s="50" t="n">
        <f aca="false">I880*H880</f>
        <v>233354.476712055</v>
      </c>
    </row>
    <row r="881" customFormat="false" ht="15" hidden="false" customHeight="false" outlineLevel="0" collapsed="false">
      <c r="A881" s="46" t="n">
        <v>873</v>
      </c>
      <c r="B881" s="47" t="n">
        <f aca="false">(A881-1)*$C$6</f>
        <v>1.57537528527823</v>
      </c>
      <c r="C881" s="48" t="n">
        <f aca="false">$C$7*B881</f>
        <v>12.1111111111111</v>
      </c>
      <c r="D881" s="49" t="n">
        <f aca="false">0.5*c_rho*'P3 Energie'!E8*'P3 Energie'!E7*(C881-c_Vv)^2+'P3 Energie'!E13+'P3 Energie'!E15+'P3 Energie'!E6*$C$7</f>
        <v>18469.8554541653</v>
      </c>
      <c r="E881" s="50" t="n">
        <f aca="false">D881*C881</f>
        <v>223690.471611558</v>
      </c>
      <c r="F881" s="46" t="n">
        <v>873</v>
      </c>
      <c r="G881" s="47" t="n">
        <f aca="false">(F881-1)*$H$6</f>
        <v>1.57425022411981</v>
      </c>
      <c r="H881" s="48" t="n">
        <f aca="false">$H$7*G881</f>
        <v>12.1111111111111</v>
      </c>
      <c r="I881" s="49" t="n">
        <f aca="false">0.5*c_rho*'P3 Energie'!F8*'P3 Energie'!F7*(H881-c_Vv)^2+'P3 Energie'!F13+'P3 Energie'!F15+'P3 Energie'!F6*$H$7</f>
        <v>19290.0389845333</v>
      </c>
      <c r="J881" s="50" t="n">
        <f aca="false">I881*H881</f>
        <v>233623.805479348</v>
      </c>
    </row>
    <row r="882" customFormat="false" ht="15" hidden="false" customHeight="false" outlineLevel="0" collapsed="false">
      <c r="A882" s="46" t="n">
        <v>874</v>
      </c>
      <c r="B882" s="47" t="n">
        <f aca="false">(A882-1)*$C$6</f>
        <v>1.57718190831181</v>
      </c>
      <c r="C882" s="48" t="n">
        <f aca="false">$C$7*B882</f>
        <v>12.125</v>
      </c>
      <c r="D882" s="49" t="n">
        <f aca="false">0.5*c_rho*'P3 Energie'!E8*'P3 Energie'!E7*(C882-c_Vv)^2+'P3 Energie'!E13+'P3 Energie'!E15+'P3 Energie'!E6*$C$7</f>
        <v>18469.9899102972</v>
      </c>
      <c r="E882" s="50" t="n">
        <f aca="false">D882*C882</f>
        <v>223948.627662353</v>
      </c>
      <c r="F882" s="46" t="n">
        <v>874</v>
      </c>
      <c r="G882" s="47" t="n">
        <f aca="false">(F882-1)*$H$6</f>
        <v>1.57605555694564</v>
      </c>
      <c r="H882" s="48" t="n">
        <f aca="false">$H$7*G882</f>
        <v>12.125</v>
      </c>
      <c r="I882" s="49" t="n">
        <f aca="false">0.5*c_rho*'P3 Energie'!F8*'P3 Energie'!F7*(H882-c_Vv)^2+'P3 Energie'!F13+'P3 Energie'!F15+'P3 Energie'!F6*$H$7</f>
        <v>19290.1558029928</v>
      </c>
      <c r="J882" s="50" t="n">
        <f aca="false">I882*H882</f>
        <v>233893.139111288</v>
      </c>
    </row>
    <row r="883" customFormat="false" ht="15" hidden="false" customHeight="false" outlineLevel="0" collapsed="false">
      <c r="A883" s="46" t="n">
        <v>875</v>
      </c>
      <c r="B883" s="47" t="n">
        <f aca="false">(A883-1)*$C$6</f>
        <v>1.57898853134538</v>
      </c>
      <c r="C883" s="48" t="n">
        <f aca="false">$C$7*B883</f>
        <v>12.1388888888889</v>
      </c>
      <c r="D883" s="49" t="n">
        <f aca="false">0.5*c_rho*'P3 Energie'!E8*'P3 Energie'!E7*(C883-c_Vv)^2+'P3 Energie'!E13+'P3 Energie'!E15+'P3 Energie'!E6*$C$7</f>
        <v>18470.1245205334</v>
      </c>
      <c r="E883" s="50" t="n">
        <f aca="false">D883*C883</f>
        <v>224206.789318697</v>
      </c>
      <c r="F883" s="46" t="n">
        <v>875</v>
      </c>
      <c r="G883" s="47" t="n">
        <f aca="false">(F883-1)*$H$6</f>
        <v>1.57786088977147</v>
      </c>
      <c r="H883" s="48" t="n">
        <f aca="false">$H$7*G883</f>
        <v>12.1388888888889</v>
      </c>
      <c r="I883" s="49" t="n">
        <f aca="false">0.5*c_rho*'P3 Energie'!F8*'P3 Energie'!F7*(H883-c_Vv)^2+'P3 Energie'!F13+'P3 Energie'!F15+'P3 Energie'!F6*$H$7</f>
        <v>19290.2727553417</v>
      </c>
      <c r="J883" s="50" t="n">
        <f aca="false">I883*H883</f>
        <v>234162.477613453</v>
      </c>
    </row>
    <row r="884" customFormat="false" ht="15" hidden="false" customHeight="false" outlineLevel="0" collapsed="false">
      <c r="A884" s="46" t="n">
        <v>876</v>
      </c>
      <c r="B884" s="47" t="n">
        <f aca="false">(A884-1)*$C$6</f>
        <v>1.58079515437896</v>
      </c>
      <c r="C884" s="48" t="n">
        <f aca="false">$C$7*B884</f>
        <v>12.1527777777778</v>
      </c>
      <c r="D884" s="49" t="n">
        <f aca="false">0.5*c_rho*'P3 Energie'!E8*'P3 Energie'!E7*(C884-c_Vv)^2+'P3 Energie'!E13+'P3 Energie'!E15+'P3 Energie'!E6*$C$7</f>
        <v>18470.2592848741</v>
      </c>
      <c r="E884" s="50" t="n">
        <f aca="false">D884*C884</f>
        <v>224464.956587012</v>
      </c>
      <c r="F884" s="46" t="n">
        <v>876</v>
      </c>
      <c r="G884" s="47" t="n">
        <f aca="false">(F884-1)*$H$6</f>
        <v>1.57966622259729</v>
      </c>
      <c r="H884" s="48" t="n">
        <f aca="false">$H$7*G884</f>
        <v>12.1527777777778</v>
      </c>
      <c r="I884" s="49" t="n">
        <f aca="false">0.5*c_rho*'P3 Energie'!F8*'P3 Energie'!F7*(H884-c_Vv)^2+'P3 Energie'!F13+'P3 Energie'!F15+'P3 Energie'!F6*$H$7</f>
        <v>19290.3898415799</v>
      </c>
      <c r="J884" s="50" t="n">
        <f aca="false">I884*H884</f>
        <v>234431.820991422</v>
      </c>
    </row>
    <row r="885" customFormat="false" ht="15" hidden="false" customHeight="false" outlineLevel="0" collapsed="false">
      <c r="A885" s="46" t="n">
        <v>877</v>
      </c>
      <c r="B885" s="47" t="n">
        <f aca="false">(A885-1)*$C$6</f>
        <v>1.58260177741254</v>
      </c>
      <c r="C885" s="48" t="n">
        <f aca="false">$C$7*B885</f>
        <v>12.1666666666667</v>
      </c>
      <c r="D885" s="49" t="n">
        <f aca="false">0.5*c_rho*'P3 Energie'!E8*'P3 Energie'!E7*(C885-c_Vv)^2+'P3 Energie'!E13+'P3 Energie'!E15+'P3 Energie'!E6*$C$7</f>
        <v>18470.3942033193</v>
      </c>
      <c r="E885" s="50" t="n">
        <f aca="false">D885*C885</f>
        <v>224723.129473718</v>
      </c>
      <c r="F885" s="46" t="n">
        <v>877</v>
      </c>
      <c r="G885" s="47" t="n">
        <f aca="false">(F885-1)*$H$6</f>
        <v>1.58147155542312</v>
      </c>
      <c r="H885" s="48" t="n">
        <f aca="false">$H$7*G885</f>
        <v>12.1666666666667</v>
      </c>
      <c r="I885" s="49" t="n">
        <f aca="false">0.5*c_rho*'P3 Energie'!F8*'P3 Energie'!F7*(H885-c_Vv)^2+'P3 Energie'!F13+'P3 Energie'!F15+'P3 Energie'!F6*$H$7</f>
        <v>19290.5070617074</v>
      </c>
      <c r="J885" s="50" t="n">
        <f aca="false">I885*H885</f>
        <v>234701.169250773</v>
      </c>
    </row>
    <row r="886" customFormat="false" ht="15" hidden="false" customHeight="false" outlineLevel="0" collapsed="false">
      <c r="A886" s="46" t="n">
        <v>878</v>
      </c>
      <c r="B886" s="47" t="n">
        <f aca="false">(A886-1)*$C$6</f>
        <v>1.58440840044611</v>
      </c>
      <c r="C886" s="48" t="n">
        <f aca="false">$C$7*B886</f>
        <v>12.1805555555556</v>
      </c>
      <c r="D886" s="49" t="n">
        <f aca="false">0.5*c_rho*'P3 Energie'!E8*'P3 Energie'!E7*(C886-c_Vv)^2+'P3 Energie'!E13+'P3 Energie'!E15+'P3 Energie'!E6*$C$7</f>
        <v>18470.5292758689</v>
      </c>
      <c r="E886" s="50" t="n">
        <f aca="false">D886*C886</f>
        <v>224981.307985237</v>
      </c>
      <c r="F886" s="46" t="n">
        <v>878</v>
      </c>
      <c r="G886" s="47" t="n">
        <f aca="false">(F886-1)*$H$6</f>
        <v>1.58327688824894</v>
      </c>
      <c r="H886" s="48" t="n">
        <f aca="false">$H$7*G886</f>
        <v>12.1805555555556</v>
      </c>
      <c r="I886" s="49" t="n">
        <f aca="false">0.5*c_rho*'P3 Energie'!F8*'P3 Energie'!F7*(H886-c_Vv)^2+'P3 Energie'!F13+'P3 Energie'!F15+'P3 Energie'!F6*$H$7</f>
        <v>19290.6244157243</v>
      </c>
      <c r="J886" s="50" t="n">
        <f aca="false">I886*H886</f>
        <v>234970.522397086</v>
      </c>
    </row>
    <row r="887" customFormat="false" ht="15" hidden="false" customHeight="false" outlineLevel="0" collapsed="false">
      <c r="A887" s="46" t="n">
        <v>879</v>
      </c>
      <c r="B887" s="47" t="n">
        <f aca="false">(A887-1)*$C$6</f>
        <v>1.58621502347969</v>
      </c>
      <c r="C887" s="48" t="n">
        <f aca="false">$C$7*B887</f>
        <v>12.1944444444444</v>
      </c>
      <c r="D887" s="49" t="n">
        <f aca="false">0.5*c_rho*'P3 Energie'!E8*'P3 Energie'!E7*(C887-c_Vv)^2+'P3 Energie'!E13+'P3 Energie'!E15+'P3 Energie'!E6*$C$7</f>
        <v>18470.664502523</v>
      </c>
      <c r="E887" s="50" t="n">
        <f aca="false">D887*C887</f>
        <v>225239.492127989</v>
      </c>
      <c r="F887" s="46" t="n">
        <v>879</v>
      </c>
      <c r="G887" s="47" t="n">
        <f aca="false">(F887-1)*$H$6</f>
        <v>1.58508222107477</v>
      </c>
      <c r="H887" s="48" t="n">
        <f aca="false">$H$7*G887</f>
        <v>12.1944444444444</v>
      </c>
      <c r="I887" s="49" t="n">
        <f aca="false">0.5*c_rho*'P3 Energie'!F8*'P3 Energie'!F7*(H887-c_Vv)^2+'P3 Energie'!F13+'P3 Energie'!F15+'P3 Energie'!F6*$H$7</f>
        <v>19290.7419036306</v>
      </c>
      <c r="J887" s="50" t="n">
        <f aca="false">I887*H887</f>
        <v>235239.880435939</v>
      </c>
    </row>
    <row r="888" customFormat="false" ht="15" hidden="false" customHeight="false" outlineLevel="0" collapsed="false">
      <c r="A888" s="46" t="n">
        <v>880</v>
      </c>
      <c r="B888" s="47" t="n">
        <f aca="false">(A888-1)*$C$6</f>
        <v>1.58802164651326</v>
      </c>
      <c r="C888" s="48" t="n">
        <f aca="false">$C$7*B888</f>
        <v>12.2083333333333</v>
      </c>
      <c r="D888" s="49" t="n">
        <f aca="false">0.5*c_rho*'P3 Energie'!E8*'P3 Energie'!E7*(C888-c_Vv)^2+'P3 Energie'!E13+'P3 Energie'!E15+'P3 Energie'!E6*$C$7</f>
        <v>18470.7998832815</v>
      </c>
      <c r="E888" s="50" t="n">
        <f aca="false">D888*C888</f>
        <v>225497.681908395</v>
      </c>
      <c r="F888" s="46" t="n">
        <v>880</v>
      </c>
      <c r="G888" s="47" t="n">
        <f aca="false">(F888-1)*$H$6</f>
        <v>1.58688755390059</v>
      </c>
      <c r="H888" s="48" t="n">
        <f aca="false">$H$7*G888</f>
        <v>12.2083333333333</v>
      </c>
      <c r="I888" s="49" t="n">
        <f aca="false">0.5*c_rho*'P3 Energie'!F8*'P3 Energie'!F7*(H888-c_Vv)^2+'P3 Energie'!F13+'P3 Energie'!F15+'P3 Energie'!F6*$H$7</f>
        <v>19290.8595254262</v>
      </c>
      <c r="J888" s="50" t="n">
        <f aca="false">I888*H888</f>
        <v>235509.243372911</v>
      </c>
    </row>
    <row r="889" customFormat="false" ht="15" hidden="false" customHeight="false" outlineLevel="0" collapsed="false">
      <c r="A889" s="46" t="n">
        <v>881</v>
      </c>
      <c r="B889" s="47" t="n">
        <f aca="false">(A889-1)*$C$6</f>
        <v>1.58982826954684</v>
      </c>
      <c r="C889" s="48" t="n">
        <f aca="false">$C$7*B889</f>
        <v>12.2222222222222</v>
      </c>
      <c r="D889" s="49" t="n">
        <f aca="false">0.5*c_rho*'P3 Energie'!E8*'P3 Energie'!E7*(C889-c_Vv)^2+'P3 Energie'!E13+'P3 Energie'!E15+'P3 Energie'!E6*$C$7</f>
        <v>18470.9354181445</v>
      </c>
      <c r="E889" s="50" t="n">
        <f aca="false">D889*C889</f>
        <v>225755.877332877</v>
      </c>
      <c r="F889" s="46" t="n">
        <v>881</v>
      </c>
      <c r="G889" s="47" t="n">
        <f aca="false">(F889-1)*$H$6</f>
        <v>1.58869288672642</v>
      </c>
      <c r="H889" s="48" t="n">
        <f aca="false">$H$7*G889</f>
        <v>12.2222222222222</v>
      </c>
      <c r="I889" s="49" t="n">
        <f aca="false">0.5*c_rho*'P3 Energie'!F8*'P3 Energie'!F7*(H889-c_Vv)^2+'P3 Energie'!F13+'P3 Energie'!F15+'P3 Energie'!F6*$H$7</f>
        <v>19290.9772811111</v>
      </c>
      <c r="J889" s="50" t="n">
        <f aca="false">I889*H889</f>
        <v>235778.61121358</v>
      </c>
    </row>
    <row r="890" customFormat="false" ht="15" hidden="false" customHeight="false" outlineLevel="0" collapsed="false">
      <c r="A890" s="46" t="n">
        <v>882</v>
      </c>
      <c r="B890" s="47" t="n">
        <f aca="false">(A890-1)*$C$6</f>
        <v>1.59163489258042</v>
      </c>
      <c r="C890" s="48" t="n">
        <f aca="false">$C$7*B890</f>
        <v>12.2361111111111</v>
      </c>
      <c r="D890" s="49" t="n">
        <f aca="false">0.5*c_rho*'P3 Energie'!E8*'P3 Energie'!E7*(C890-c_Vv)^2+'P3 Energie'!E13+'P3 Energie'!E15+'P3 Energie'!E6*$C$7</f>
        <v>18471.0711071119</v>
      </c>
      <c r="E890" s="50" t="n">
        <f aca="false">D890*C890</f>
        <v>226014.078407855</v>
      </c>
      <c r="F890" s="46" t="n">
        <v>882</v>
      </c>
      <c r="G890" s="47" t="n">
        <f aca="false">(F890-1)*$H$6</f>
        <v>1.59049821955224</v>
      </c>
      <c r="H890" s="48" t="n">
        <f aca="false">$H$7*G890</f>
        <v>12.2361111111111</v>
      </c>
      <c r="I890" s="49" t="n">
        <f aca="false">0.5*c_rho*'P3 Energie'!F8*'P3 Energie'!F7*(H890-c_Vv)^2+'P3 Energie'!F13+'P3 Energie'!F15+'P3 Energie'!F6*$H$7</f>
        <v>19291.0951706854</v>
      </c>
      <c r="J890" s="50" t="n">
        <f aca="false">I890*H890</f>
        <v>236047.983963526</v>
      </c>
    </row>
    <row r="891" customFormat="false" ht="15" hidden="false" customHeight="false" outlineLevel="0" collapsed="false">
      <c r="A891" s="46" t="n">
        <v>883</v>
      </c>
      <c r="B891" s="47" t="n">
        <f aca="false">(A891-1)*$C$6</f>
        <v>1.59344151561399</v>
      </c>
      <c r="C891" s="48" t="n">
        <f aca="false">$C$7*B891</f>
        <v>12.25</v>
      </c>
      <c r="D891" s="49" t="n">
        <f aca="false">0.5*c_rho*'P3 Energie'!E8*'P3 Energie'!E7*(C891-c_Vv)^2+'P3 Energie'!E13+'P3 Energie'!E15+'P3 Energie'!E6*$C$7</f>
        <v>18471.2069501837</v>
      </c>
      <c r="E891" s="50" t="n">
        <f aca="false">D891*C891</f>
        <v>226272.285139751</v>
      </c>
      <c r="F891" s="46" t="n">
        <v>883</v>
      </c>
      <c r="G891" s="47" t="n">
        <f aca="false">(F891-1)*$H$6</f>
        <v>1.59230355237807</v>
      </c>
      <c r="H891" s="48" t="n">
        <f aca="false">$H$7*G891</f>
        <v>12.25</v>
      </c>
      <c r="I891" s="49" t="n">
        <f aca="false">0.5*c_rho*'P3 Energie'!F8*'P3 Energie'!F7*(H891-c_Vv)^2+'P3 Energie'!F13+'P3 Energie'!F15+'P3 Energie'!F6*$H$7</f>
        <v>19291.2131941491</v>
      </c>
      <c r="J891" s="50" t="n">
        <f aca="false">I891*H891</f>
        <v>236317.361628326</v>
      </c>
    </row>
    <row r="892" customFormat="false" ht="15" hidden="false" customHeight="false" outlineLevel="0" collapsed="false">
      <c r="A892" s="46" t="n">
        <v>884</v>
      </c>
      <c r="B892" s="47" t="n">
        <f aca="false">(A892-1)*$C$6</f>
        <v>1.59524813864757</v>
      </c>
      <c r="C892" s="48" t="n">
        <f aca="false">$C$7*B892</f>
        <v>12.2638888888889</v>
      </c>
      <c r="D892" s="49" t="n">
        <f aca="false">0.5*c_rho*'P3 Energie'!E8*'P3 Energie'!E7*(C892-c_Vv)^2+'P3 Energie'!E13+'P3 Energie'!E15+'P3 Energie'!E6*$C$7</f>
        <v>18471.34294736</v>
      </c>
      <c r="E892" s="50" t="n">
        <f aca="false">D892*C892</f>
        <v>226530.497534985</v>
      </c>
      <c r="F892" s="46" t="n">
        <v>884</v>
      </c>
      <c r="G892" s="47" t="n">
        <f aca="false">(F892-1)*$H$6</f>
        <v>1.5941088852039</v>
      </c>
      <c r="H892" s="48" t="n">
        <f aca="false">$H$7*G892</f>
        <v>12.2638888888889</v>
      </c>
      <c r="I892" s="49" t="n">
        <f aca="false">0.5*c_rho*'P3 Energie'!F8*'P3 Energie'!F7*(H892-c_Vv)^2+'P3 Energie'!F13+'P3 Energie'!F15+'P3 Energie'!F6*$H$7</f>
        <v>19291.3313515021</v>
      </c>
      <c r="J892" s="50" t="n">
        <f aca="false">I892*H892</f>
        <v>236586.74421356</v>
      </c>
    </row>
    <row r="893" customFormat="false" ht="15" hidden="false" customHeight="false" outlineLevel="0" collapsed="false">
      <c r="A893" s="46" t="n">
        <v>885</v>
      </c>
      <c r="B893" s="47" t="n">
        <f aca="false">(A893-1)*$C$6</f>
        <v>1.59705476168114</v>
      </c>
      <c r="C893" s="48" t="n">
        <f aca="false">$C$7*B893</f>
        <v>12.2777777777778</v>
      </c>
      <c r="D893" s="49" t="n">
        <f aca="false">0.5*c_rho*'P3 Energie'!E8*'P3 Energie'!E7*(C893-c_Vv)^2+'P3 Energie'!E13+'P3 Energie'!E15+'P3 Energie'!E6*$C$7</f>
        <v>18471.4790986408</v>
      </c>
      <c r="E893" s="50" t="n">
        <f aca="false">D893*C893</f>
        <v>226788.715599979</v>
      </c>
      <c r="F893" s="46" t="n">
        <v>885</v>
      </c>
      <c r="G893" s="47" t="n">
        <f aca="false">(F893-1)*$H$6</f>
        <v>1.59591421802972</v>
      </c>
      <c r="H893" s="48" t="n">
        <f aca="false">$H$7*G893</f>
        <v>12.2777777777778</v>
      </c>
      <c r="I893" s="49" t="n">
        <f aca="false">0.5*c_rho*'P3 Energie'!F8*'P3 Energie'!F7*(H893-c_Vv)^2+'P3 Energie'!F13+'P3 Energie'!F15+'P3 Energie'!F6*$H$7</f>
        <v>19291.4496427444</v>
      </c>
      <c r="J893" s="50" t="n">
        <f aca="false">I893*H893</f>
        <v>236856.131724807</v>
      </c>
    </row>
    <row r="894" customFormat="false" ht="15" hidden="false" customHeight="false" outlineLevel="0" collapsed="false">
      <c r="A894" s="46" t="n">
        <v>886</v>
      </c>
      <c r="B894" s="47" t="n">
        <f aca="false">(A894-1)*$C$6</f>
        <v>1.59886138471472</v>
      </c>
      <c r="C894" s="48" t="n">
        <f aca="false">$C$7*B894</f>
        <v>12.2916666666667</v>
      </c>
      <c r="D894" s="49" t="n">
        <f aca="false">0.5*c_rho*'P3 Energie'!E8*'P3 Energie'!E7*(C894-c_Vv)^2+'P3 Energie'!E13+'P3 Energie'!E15+'P3 Energie'!E6*$C$7</f>
        <v>18471.615404026</v>
      </c>
      <c r="E894" s="50" t="n">
        <f aca="false">D894*C894</f>
        <v>227046.939341153</v>
      </c>
      <c r="F894" s="46" t="n">
        <v>886</v>
      </c>
      <c r="G894" s="47" t="n">
        <f aca="false">(F894-1)*$H$6</f>
        <v>1.59771955085555</v>
      </c>
      <c r="H894" s="48" t="n">
        <f aca="false">$H$7*G894</f>
        <v>12.2916666666667</v>
      </c>
      <c r="I894" s="49" t="n">
        <f aca="false">0.5*c_rho*'P3 Energie'!F8*'P3 Energie'!F7*(H894-c_Vv)^2+'P3 Energie'!F13+'P3 Energie'!F15+'P3 Energie'!F6*$H$7</f>
        <v>19291.5680678762</v>
      </c>
      <c r="J894" s="50" t="n">
        <f aca="false">I894*H894</f>
        <v>237125.524167644</v>
      </c>
    </row>
    <row r="895" customFormat="false" ht="15" hidden="false" customHeight="false" outlineLevel="0" collapsed="false">
      <c r="A895" s="46" t="n">
        <v>887</v>
      </c>
      <c r="B895" s="47" t="n">
        <f aca="false">(A895-1)*$C$6</f>
        <v>1.60066800774829</v>
      </c>
      <c r="C895" s="48" t="n">
        <f aca="false">$C$7*B895</f>
        <v>12.3055555555556</v>
      </c>
      <c r="D895" s="49" t="n">
        <f aca="false">0.5*c_rho*'P3 Energie'!E8*'P3 Energie'!E7*(C895-c_Vv)^2+'P3 Energie'!E13+'P3 Energie'!E15+'P3 Energie'!E6*$C$7</f>
        <v>18471.7518635156</v>
      </c>
      <c r="E895" s="50" t="n">
        <f aca="false">D895*C895</f>
        <v>227305.168764929</v>
      </c>
      <c r="F895" s="46" t="n">
        <v>887</v>
      </c>
      <c r="G895" s="47" t="n">
        <f aca="false">(F895-1)*$H$6</f>
        <v>1.59952488368137</v>
      </c>
      <c r="H895" s="48" t="n">
        <f aca="false">$H$7*G895</f>
        <v>12.3055555555556</v>
      </c>
      <c r="I895" s="49" t="n">
        <f aca="false">0.5*c_rho*'P3 Energie'!F8*'P3 Energie'!F7*(H895-c_Vv)^2+'P3 Energie'!F13+'P3 Energie'!F15+'P3 Energie'!F6*$H$7</f>
        <v>19291.6866268972</v>
      </c>
      <c r="J895" s="50" t="n">
        <f aca="false">I895*H895</f>
        <v>237394.921547652</v>
      </c>
    </row>
    <row r="896" customFormat="false" ht="15" hidden="false" customHeight="false" outlineLevel="0" collapsed="false">
      <c r="A896" s="46" t="n">
        <v>888</v>
      </c>
      <c r="B896" s="47" t="n">
        <f aca="false">(A896-1)*$C$6</f>
        <v>1.60247463078187</v>
      </c>
      <c r="C896" s="48" t="n">
        <f aca="false">$C$7*B896</f>
        <v>12.3194444444444</v>
      </c>
      <c r="D896" s="49" t="n">
        <f aca="false">0.5*c_rho*'P3 Energie'!E8*'P3 Energie'!E7*(C896-c_Vv)^2+'P3 Energie'!E13+'P3 Energie'!E15+'P3 Energie'!E6*$C$7</f>
        <v>18471.8884771097</v>
      </c>
      <c r="E896" s="50" t="n">
        <f aca="false">D896*C896</f>
        <v>227563.403877727</v>
      </c>
      <c r="F896" s="46" t="n">
        <v>888</v>
      </c>
      <c r="G896" s="47" t="n">
        <f aca="false">(F896-1)*$H$6</f>
        <v>1.6013302165072</v>
      </c>
      <c r="H896" s="48" t="n">
        <f aca="false">$H$7*G896</f>
        <v>12.3194444444444</v>
      </c>
      <c r="I896" s="49" t="n">
        <f aca="false">0.5*c_rho*'P3 Energie'!F8*'P3 Energie'!F7*(H896-c_Vv)^2+'P3 Energie'!F13+'P3 Energie'!F15+'P3 Energie'!F6*$H$7</f>
        <v>19291.8053198076</v>
      </c>
      <c r="J896" s="50" t="n">
        <f aca="false">I896*H896</f>
        <v>237664.323870408</v>
      </c>
    </row>
    <row r="897" customFormat="false" ht="15" hidden="false" customHeight="false" outlineLevel="0" collapsed="false">
      <c r="A897" s="46" t="n">
        <v>889</v>
      </c>
      <c r="B897" s="47" t="n">
        <f aca="false">(A897-1)*$C$6</f>
        <v>1.60428125381545</v>
      </c>
      <c r="C897" s="48" t="n">
        <f aca="false">$C$7*B897</f>
        <v>12.3333333333333</v>
      </c>
      <c r="D897" s="49" t="n">
        <f aca="false">0.5*c_rho*'P3 Energie'!E8*'P3 Energie'!E7*(C897-c_Vv)^2+'P3 Energie'!E13+'P3 Energie'!E15+'P3 Energie'!E6*$C$7</f>
        <v>18472.0252448083</v>
      </c>
      <c r="E897" s="50" t="n">
        <f aca="false">D897*C897</f>
        <v>227821.644685969</v>
      </c>
      <c r="F897" s="46" t="n">
        <v>889</v>
      </c>
      <c r="G897" s="47" t="n">
        <f aca="false">(F897-1)*$H$6</f>
        <v>1.60313554933302</v>
      </c>
      <c r="H897" s="48" t="n">
        <f aca="false">$H$7*G897</f>
        <v>12.3333333333333</v>
      </c>
      <c r="I897" s="49" t="n">
        <f aca="false">0.5*c_rho*'P3 Energie'!F8*'P3 Energie'!F7*(H897-c_Vv)^2+'P3 Energie'!F13+'P3 Energie'!F15+'P3 Energie'!F6*$H$7</f>
        <v>19291.9241466074</v>
      </c>
      <c r="J897" s="50" t="n">
        <f aca="false">I897*H897</f>
        <v>237933.731141491</v>
      </c>
    </row>
    <row r="898" customFormat="false" ht="15" hidden="false" customHeight="false" outlineLevel="0" collapsed="false">
      <c r="A898" s="46" t="n">
        <v>890</v>
      </c>
      <c r="B898" s="47" t="n">
        <f aca="false">(A898-1)*$C$6</f>
        <v>1.60608787684902</v>
      </c>
      <c r="C898" s="48" t="n">
        <f aca="false">$C$7*B898</f>
        <v>12.3472222222222</v>
      </c>
      <c r="D898" s="49" t="n">
        <f aca="false">0.5*c_rho*'P3 Energie'!E8*'P3 Energie'!E7*(C898-c_Vv)^2+'P3 Energie'!E13+'P3 Energie'!E15+'P3 Energie'!E6*$C$7</f>
        <v>18472.1621666113</v>
      </c>
      <c r="E898" s="50" t="n">
        <f aca="false">D898*C898</f>
        <v>228079.891196076</v>
      </c>
      <c r="F898" s="46" t="n">
        <v>890</v>
      </c>
      <c r="G898" s="47" t="n">
        <f aca="false">(F898-1)*$H$6</f>
        <v>1.60494088215885</v>
      </c>
      <c r="H898" s="48" t="n">
        <f aca="false">$H$7*G898</f>
        <v>12.3472222222222</v>
      </c>
      <c r="I898" s="49" t="n">
        <f aca="false">0.5*c_rho*'P3 Energie'!F8*'P3 Energie'!F7*(H898-c_Vv)^2+'P3 Energie'!F13+'P3 Energie'!F15+'P3 Energie'!F6*$H$7</f>
        <v>19292.0431072965</v>
      </c>
      <c r="J898" s="50" t="n">
        <f aca="false">I898*H898</f>
        <v>238203.143366481</v>
      </c>
    </row>
    <row r="899" customFormat="false" ht="15" hidden="false" customHeight="false" outlineLevel="0" collapsed="false">
      <c r="A899" s="46" t="n">
        <v>891</v>
      </c>
      <c r="B899" s="47" t="n">
        <f aca="false">(A899-1)*$C$6</f>
        <v>1.6078944998826</v>
      </c>
      <c r="C899" s="48" t="n">
        <f aca="false">$C$7*B899</f>
        <v>12.3611111111111</v>
      </c>
      <c r="D899" s="49" t="n">
        <f aca="false">0.5*c_rho*'P3 Energie'!E8*'P3 Energie'!E7*(C899-c_Vv)^2+'P3 Energie'!E13+'P3 Energie'!E15+'P3 Energie'!E6*$C$7</f>
        <v>18472.2992425188</v>
      </c>
      <c r="E899" s="50" t="n">
        <f aca="false">D899*C899</f>
        <v>228338.143414468</v>
      </c>
      <c r="F899" s="46" t="n">
        <v>891</v>
      </c>
      <c r="G899" s="47" t="n">
        <f aca="false">(F899-1)*$H$6</f>
        <v>1.60674621498467</v>
      </c>
      <c r="H899" s="48" t="n">
        <f aca="false">$H$7*G899</f>
        <v>12.3611111111111</v>
      </c>
      <c r="I899" s="49" t="n">
        <f aca="false">0.5*c_rho*'P3 Energie'!F8*'P3 Energie'!F7*(H899-c_Vv)^2+'P3 Energie'!F13+'P3 Energie'!F15+'P3 Energie'!F6*$H$7</f>
        <v>19292.162201875</v>
      </c>
      <c r="J899" s="50" t="n">
        <f aca="false">I899*H899</f>
        <v>238472.560550955</v>
      </c>
    </row>
    <row r="900" customFormat="false" ht="15" hidden="false" customHeight="false" outlineLevel="0" collapsed="false">
      <c r="A900" s="46" t="n">
        <v>892</v>
      </c>
      <c r="B900" s="47" t="n">
        <f aca="false">(A900-1)*$C$6</f>
        <v>1.60970112291617</v>
      </c>
      <c r="C900" s="48" t="n">
        <f aca="false">$C$7*B900</f>
        <v>12.375</v>
      </c>
      <c r="D900" s="49" t="n">
        <f aca="false">0.5*c_rho*'P3 Energie'!E8*'P3 Energie'!E7*(C900-c_Vv)^2+'P3 Energie'!E13+'P3 Energie'!E15+'P3 Energie'!E6*$C$7</f>
        <v>18472.4364725307</v>
      </c>
      <c r="E900" s="50" t="n">
        <f aca="false">D900*C900</f>
        <v>228596.401347567</v>
      </c>
      <c r="F900" s="46" t="n">
        <v>892</v>
      </c>
      <c r="G900" s="47" t="n">
        <f aca="false">(F900-1)*$H$6</f>
        <v>1.6085515478105</v>
      </c>
      <c r="H900" s="48" t="n">
        <f aca="false">$H$7*G900</f>
        <v>12.375</v>
      </c>
      <c r="I900" s="49" t="n">
        <f aca="false">0.5*c_rho*'P3 Energie'!F8*'P3 Energie'!F7*(H900-c_Vv)^2+'P3 Energie'!F13+'P3 Energie'!F15+'P3 Energie'!F6*$H$7</f>
        <v>19292.2814303428</v>
      </c>
      <c r="J900" s="50" t="n">
        <f aca="false">I900*H900</f>
        <v>238741.982700492</v>
      </c>
    </row>
    <row r="901" customFormat="false" ht="15" hidden="false" customHeight="false" outlineLevel="0" collapsed="false">
      <c r="A901" s="46" t="n">
        <v>893</v>
      </c>
      <c r="B901" s="47" t="n">
        <f aca="false">(A901-1)*$C$6</f>
        <v>1.61150774594975</v>
      </c>
      <c r="C901" s="48" t="n">
        <f aca="false">$C$7*B901</f>
        <v>12.3888888888889</v>
      </c>
      <c r="D901" s="49" t="n">
        <f aca="false">0.5*c_rho*'P3 Energie'!E8*'P3 Energie'!E7*(C901-c_Vv)^2+'P3 Energie'!E13+'P3 Energie'!E15+'P3 Energie'!E6*$C$7</f>
        <v>18472.573856647</v>
      </c>
      <c r="E901" s="50" t="n">
        <f aca="false">D901*C901</f>
        <v>228854.665001793</v>
      </c>
      <c r="F901" s="46" t="n">
        <v>893</v>
      </c>
      <c r="G901" s="47" t="n">
        <f aca="false">(F901-1)*$H$6</f>
        <v>1.61035688063632</v>
      </c>
      <c r="H901" s="48" t="n">
        <f aca="false">$H$7*G901</f>
        <v>12.3888888888889</v>
      </c>
      <c r="I901" s="49" t="n">
        <f aca="false">0.5*c_rho*'P3 Energie'!F8*'P3 Energie'!F7*(H901-c_Vv)^2+'P3 Energie'!F13+'P3 Energie'!F15+'P3 Energie'!F6*$H$7</f>
        <v>19292.4007927</v>
      </c>
      <c r="J901" s="50" t="n">
        <f aca="false">I901*H901</f>
        <v>239011.409820672</v>
      </c>
    </row>
    <row r="902" customFormat="false" ht="15" hidden="false" customHeight="false" outlineLevel="0" collapsed="false">
      <c r="A902" s="46" t="n">
        <v>894</v>
      </c>
      <c r="B902" s="47" t="n">
        <f aca="false">(A902-1)*$C$6</f>
        <v>1.61331436898333</v>
      </c>
      <c r="C902" s="48" t="n">
        <f aca="false">$C$7*B902</f>
        <v>12.4027777777778</v>
      </c>
      <c r="D902" s="49" t="n">
        <f aca="false">0.5*c_rho*'P3 Energie'!E8*'P3 Energie'!E7*(C902-c_Vv)^2+'P3 Energie'!E13+'P3 Energie'!E15+'P3 Energie'!E6*$C$7</f>
        <v>18472.7113948678</v>
      </c>
      <c r="E902" s="50" t="n">
        <f aca="false">D902*C902</f>
        <v>229112.934383569</v>
      </c>
      <c r="F902" s="46" t="n">
        <v>894</v>
      </c>
      <c r="G902" s="47" t="n">
        <f aca="false">(F902-1)*$H$6</f>
        <v>1.61216221346215</v>
      </c>
      <c r="H902" s="48" t="n">
        <f aca="false">$H$7*G902</f>
        <v>12.4027777777778</v>
      </c>
      <c r="I902" s="49" t="n">
        <f aca="false">0.5*c_rho*'P3 Energie'!F8*'P3 Energie'!F7*(H902-c_Vv)^2+'P3 Energie'!F13+'P3 Energie'!F15+'P3 Energie'!F6*$H$7</f>
        <v>19292.5202889465</v>
      </c>
      <c r="J902" s="50" t="n">
        <f aca="false">I902*H902</f>
        <v>239280.841917073</v>
      </c>
    </row>
    <row r="903" customFormat="false" ht="15" hidden="false" customHeight="false" outlineLevel="0" collapsed="false">
      <c r="A903" s="46" t="n">
        <v>895</v>
      </c>
      <c r="B903" s="47" t="n">
        <f aca="false">(A903-1)*$C$6</f>
        <v>1.6151209920169</v>
      </c>
      <c r="C903" s="48" t="n">
        <f aca="false">$C$7*B903</f>
        <v>12.4166666666667</v>
      </c>
      <c r="D903" s="49" t="n">
        <f aca="false">0.5*c_rho*'P3 Energie'!E8*'P3 Energie'!E7*(C903-c_Vv)^2+'P3 Energie'!E13+'P3 Energie'!E15+'P3 Energie'!E6*$C$7</f>
        <v>18472.8490871931</v>
      </c>
      <c r="E903" s="50" t="n">
        <f aca="false">D903*C903</f>
        <v>229371.209499314</v>
      </c>
      <c r="F903" s="46" t="n">
        <v>895</v>
      </c>
      <c r="G903" s="47" t="n">
        <f aca="false">(F903-1)*$H$6</f>
        <v>1.61396754628798</v>
      </c>
      <c r="H903" s="48" t="n">
        <f aca="false">$H$7*G903</f>
        <v>12.4166666666667</v>
      </c>
      <c r="I903" s="49" t="n">
        <f aca="false">0.5*c_rho*'P3 Energie'!F8*'P3 Energie'!F7*(H903-c_Vv)^2+'P3 Energie'!F13+'P3 Energie'!F15+'P3 Energie'!F6*$H$7</f>
        <v>19292.6399190824</v>
      </c>
      <c r="J903" s="50" t="n">
        <f aca="false">I903*H903</f>
        <v>239550.278995273</v>
      </c>
    </row>
    <row r="904" customFormat="false" ht="15" hidden="false" customHeight="false" outlineLevel="0" collapsed="false">
      <c r="A904" s="46" t="n">
        <v>896</v>
      </c>
      <c r="B904" s="47" t="n">
        <f aca="false">(A904-1)*$C$6</f>
        <v>1.61692761505048</v>
      </c>
      <c r="C904" s="48" t="n">
        <f aca="false">$C$7*B904</f>
        <v>12.4305555555556</v>
      </c>
      <c r="D904" s="49" t="n">
        <f aca="false">0.5*c_rho*'P3 Energie'!E8*'P3 Energie'!E7*(C904-c_Vv)^2+'P3 Energie'!E13+'P3 Energie'!E15+'P3 Energie'!E6*$C$7</f>
        <v>18472.9869336228</v>
      </c>
      <c r="E904" s="50" t="n">
        <f aca="false">D904*C904</f>
        <v>229629.490355449</v>
      </c>
      <c r="F904" s="46" t="n">
        <v>896</v>
      </c>
      <c r="G904" s="47" t="n">
        <f aca="false">(F904-1)*$H$6</f>
        <v>1.6157728791138</v>
      </c>
      <c r="H904" s="48" t="n">
        <f aca="false">$H$7*G904</f>
        <v>12.4305555555556</v>
      </c>
      <c r="I904" s="49" t="n">
        <f aca="false">0.5*c_rho*'P3 Energie'!F8*'P3 Energie'!F7*(H904-c_Vv)^2+'P3 Energie'!F13+'P3 Energie'!F15+'P3 Energie'!F6*$H$7</f>
        <v>19292.7596831076</v>
      </c>
      <c r="J904" s="50" t="n">
        <f aca="false">I904*H904</f>
        <v>239819.721060852</v>
      </c>
    </row>
    <row r="905" customFormat="false" ht="15" hidden="false" customHeight="false" outlineLevel="0" collapsed="false">
      <c r="A905" s="46" t="n">
        <v>897</v>
      </c>
      <c r="B905" s="47" t="n">
        <f aca="false">(A905-1)*$C$6</f>
        <v>1.61873423808405</v>
      </c>
      <c r="C905" s="48" t="n">
        <f aca="false">$C$7*B905</f>
        <v>12.4444444444444</v>
      </c>
      <c r="D905" s="49" t="n">
        <f aca="false">0.5*c_rho*'P3 Energie'!E8*'P3 Energie'!E7*(C905-c_Vv)^2+'P3 Energie'!E13+'P3 Energie'!E15+'P3 Energie'!E6*$C$7</f>
        <v>18473.1249341569</v>
      </c>
      <c r="E905" s="50" t="n">
        <f aca="false">D905*C905</f>
        <v>229887.776958397</v>
      </c>
      <c r="F905" s="46" t="n">
        <v>897</v>
      </c>
      <c r="G905" s="47" t="n">
        <f aca="false">(F905-1)*$H$6</f>
        <v>1.61757821193963</v>
      </c>
      <c r="H905" s="48" t="n">
        <f aca="false">$H$7*G905</f>
        <v>12.4444444444444</v>
      </c>
      <c r="I905" s="49" t="n">
        <f aca="false">0.5*c_rho*'P3 Energie'!F8*'P3 Energie'!F7*(H905-c_Vv)^2+'P3 Energie'!F13+'P3 Energie'!F15+'P3 Energie'!F6*$H$7</f>
        <v>19292.8795810222</v>
      </c>
      <c r="J905" s="50" t="n">
        <f aca="false">I905*H905</f>
        <v>240089.168119388</v>
      </c>
    </row>
    <row r="906" customFormat="false" ht="15" hidden="false" customHeight="false" outlineLevel="0" collapsed="false">
      <c r="A906" s="46" t="n">
        <v>898</v>
      </c>
      <c r="B906" s="47" t="n">
        <f aca="false">(A906-1)*$C$6</f>
        <v>1.62054086111763</v>
      </c>
      <c r="C906" s="48" t="n">
        <f aca="false">$C$7*B906</f>
        <v>12.4583333333333</v>
      </c>
      <c r="D906" s="49" t="n">
        <f aca="false">0.5*c_rho*'P3 Energie'!E8*'P3 Energie'!E7*(C906-c_Vv)^2+'P3 Energie'!E13+'P3 Energie'!E15+'P3 Energie'!E6*$C$7</f>
        <v>18473.2630887955</v>
      </c>
      <c r="E906" s="50" t="n">
        <f aca="false">D906*C906</f>
        <v>230146.069314577</v>
      </c>
      <c r="F906" s="46" t="n">
        <v>898</v>
      </c>
      <c r="G906" s="47" t="n">
        <f aca="false">(F906-1)*$H$6</f>
        <v>1.61938354476545</v>
      </c>
      <c r="H906" s="48" t="n">
        <f aca="false">$H$7*G906</f>
        <v>12.4583333333333</v>
      </c>
      <c r="I906" s="49" t="n">
        <f aca="false">0.5*c_rho*'P3 Energie'!F8*'P3 Energie'!F7*(H906-c_Vv)^2+'P3 Energie'!F13+'P3 Energie'!F15+'P3 Energie'!F6*$H$7</f>
        <v>19292.9996128262</v>
      </c>
      <c r="J906" s="50" t="n">
        <f aca="false">I906*H906</f>
        <v>240358.620176459</v>
      </c>
    </row>
    <row r="907" customFormat="false" ht="15" hidden="false" customHeight="false" outlineLevel="0" collapsed="false">
      <c r="A907" s="46" t="n">
        <v>899</v>
      </c>
      <c r="B907" s="47" t="n">
        <f aca="false">(A907-1)*$C$6</f>
        <v>1.62234748415121</v>
      </c>
      <c r="C907" s="48" t="n">
        <f aca="false">$C$7*B907</f>
        <v>12.4722222222222</v>
      </c>
      <c r="D907" s="49" t="n">
        <f aca="false">0.5*c_rho*'P3 Energie'!E8*'P3 Energie'!E7*(C907-c_Vv)^2+'P3 Energie'!E13+'P3 Energie'!E15+'P3 Energie'!E6*$C$7</f>
        <v>18473.4013975385</v>
      </c>
      <c r="E907" s="50" t="n">
        <f aca="false">D907*C907</f>
        <v>230404.367430411</v>
      </c>
      <c r="F907" s="46" t="n">
        <v>899</v>
      </c>
      <c r="G907" s="47" t="n">
        <f aca="false">(F907-1)*$H$6</f>
        <v>1.62118887759128</v>
      </c>
      <c r="H907" s="48" t="n">
        <f aca="false">$H$7*G907</f>
        <v>12.4722222222222</v>
      </c>
      <c r="I907" s="49" t="n">
        <f aca="false">0.5*c_rho*'P3 Energie'!F8*'P3 Energie'!F7*(H907-c_Vv)^2+'P3 Energie'!F13+'P3 Energie'!F15+'P3 Energie'!F6*$H$7</f>
        <v>19293.1197785194</v>
      </c>
      <c r="J907" s="50" t="n">
        <f aca="false">I907*H907</f>
        <v>240628.077237645</v>
      </c>
    </row>
    <row r="908" customFormat="false" ht="15" hidden="false" customHeight="false" outlineLevel="0" collapsed="false">
      <c r="A908" s="46" t="n">
        <v>900</v>
      </c>
      <c r="B908" s="47" t="n">
        <f aca="false">(A908-1)*$C$6</f>
        <v>1.62415410718478</v>
      </c>
      <c r="C908" s="48" t="n">
        <f aca="false">$C$7*B908</f>
        <v>12.4861111111111</v>
      </c>
      <c r="D908" s="49" t="n">
        <f aca="false">0.5*c_rho*'P3 Energie'!E8*'P3 Energie'!E7*(C908-c_Vv)^2+'P3 Energie'!E13+'P3 Energie'!E15+'P3 Energie'!E6*$C$7</f>
        <v>18473.539860386</v>
      </c>
      <c r="E908" s="50" t="n">
        <f aca="false">D908*C908</f>
        <v>230662.67131232</v>
      </c>
      <c r="F908" s="46" t="n">
        <v>900</v>
      </c>
      <c r="G908" s="47" t="n">
        <f aca="false">(F908-1)*$H$6</f>
        <v>1.6229942104171</v>
      </c>
      <c r="H908" s="48" t="n">
        <f aca="false">$H$7*G908</f>
        <v>12.4861111111111</v>
      </c>
      <c r="I908" s="49" t="n">
        <f aca="false">0.5*c_rho*'P3 Energie'!F8*'P3 Energie'!F7*(H908-c_Vv)^2+'P3 Energie'!F13+'P3 Energie'!F15+'P3 Energie'!F6*$H$7</f>
        <v>19293.2400781021</v>
      </c>
      <c r="J908" s="50" t="n">
        <f aca="false">I908*H908</f>
        <v>240897.539308525</v>
      </c>
    </row>
    <row r="909" customFormat="false" ht="15" hidden="false" customHeight="false" outlineLevel="0" collapsed="false">
      <c r="A909" s="46" t="n">
        <v>901</v>
      </c>
      <c r="B909" s="47" t="n">
        <f aca="false">(A909-1)*$C$6</f>
        <v>1.62596073021836</v>
      </c>
      <c r="C909" s="48" t="n">
        <f aca="false">$C$7*B909</f>
        <v>12.5</v>
      </c>
      <c r="D909" s="49" t="n">
        <f aca="false">0.5*c_rho*'P3 Energie'!E8*'P3 Energie'!E7*(C909-c_Vv)^2+'P3 Energie'!E13+'P3 Energie'!E15+'P3 Energie'!E6*$C$7</f>
        <v>18473.678477338</v>
      </c>
      <c r="E909" s="50" t="n">
        <f aca="false">D909*C909</f>
        <v>230920.980966725</v>
      </c>
      <c r="F909" s="46" t="n">
        <v>901</v>
      </c>
      <c r="G909" s="47" t="n">
        <f aca="false">(F909-1)*$H$6</f>
        <v>1.62479954324293</v>
      </c>
      <c r="H909" s="48" t="n">
        <f aca="false">$H$7*G909</f>
        <v>12.5</v>
      </c>
      <c r="I909" s="49" t="n">
        <f aca="false">0.5*c_rho*'P3 Energie'!F8*'P3 Energie'!F7*(H909-c_Vv)^2+'P3 Energie'!F13+'P3 Energie'!F15+'P3 Energie'!F6*$H$7</f>
        <v>19293.3605115741</v>
      </c>
      <c r="J909" s="50" t="n">
        <f aca="false">I909*H909</f>
        <v>241167.006394676</v>
      </c>
    </row>
    <row r="910" customFormat="false" ht="15" hidden="false" customHeight="false" outlineLevel="0" collapsed="false">
      <c r="A910" s="46" t="n">
        <v>902</v>
      </c>
      <c r="B910" s="47" t="n">
        <f aca="false">(A910-1)*$C$6</f>
        <v>1.62776735325193</v>
      </c>
      <c r="C910" s="48" t="n">
        <f aca="false">$C$7*B910</f>
        <v>12.5138888888889</v>
      </c>
      <c r="D910" s="49" t="n">
        <f aca="false">0.5*c_rho*'P3 Energie'!E8*'P3 Energie'!E7*(C910-c_Vv)^2+'P3 Energie'!E13+'P3 Energie'!E15+'P3 Energie'!E6*$C$7</f>
        <v>18473.8172483944</v>
      </c>
      <c r="E910" s="50" t="n">
        <f aca="false">D910*C910</f>
        <v>231179.296400046</v>
      </c>
      <c r="F910" s="46" t="n">
        <v>902</v>
      </c>
      <c r="G910" s="47" t="n">
        <f aca="false">(F910-1)*$H$6</f>
        <v>1.62660487606875</v>
      </c>
      <c r="H910" s="48" t="n">
        <f aca="false">$H$7*G910</f>
        <v>12.5138888888889</v>
      </c>
      <c r="I910" s="49" t="n">
        <f aca="false">0.5*c_rho*'P3 Energie'!F8*'P3 Energie'!F7*(H910-c_Vv)^2+'P3 Energie'!F13+'P3 Energie'!F15+'P3 Energie'!F6*$H$7</f>
        <v>19293.4810789354</v>
      </c>
      <c r="J910" s="50" t="n">
        <f aca="false">I910*H910</f>
        <v>241436.478501678</v>
      </c>
    </row>
    <row r="911" customFormat="false" ht="15" hidden="false" customHeight="false" outlineLevel="0" collapsed="false">
      <c r="A911" s="46" t="n">
        <v>903</v>
      </c>
      <c r="B911" s="47" t="n">
        <f aca="false">(A911-1)*$C$6</f>
        <v>1.62957397628551</v>
      </c>
      <c r="C911" s="48" t="n">
        <f aca="false">$C$7*B911</f>
        <v>12.5277777777778</v>
      </c>
      <c r="D911" s="49" t="n">
        <f aca="false">0.5*c_rho*'P3 Energie'!E8*'P3 Energie'!E7*(C911-c_Vv)^2+'P3 Energie'!E13+'P3 Energie'!E15+'P3 Energie'!E6*$C$7</f>
        <v>18473.9561735552</v>
      </c>
      <c r="E911" s="50" t="n">
        <f aca="false">D911*C911</f>
        <v>231437.617618705</v>
      </c>
      <c r="F911" s="46" t="n">
        <v>903</v>
      </c>
      <c r="G911" s="47" t="n">
        <f aca="false">(F911-1)*$H$6</f>
        <v>1.62841020889458</v>
      </c>
      <c r="H911" s="48" t="n">
        <f aca="false">$H$7*G911</f>
        <v>12.5277777777778</v>
      </c>
      <c r="I911" s="49" t="n">
        <f aca="false">0.5*c_rho*'P3 Energie'!F8*'P3 Energie'!F7*(H911-c_Vv)^2+'P3 Energie'!F13+'P3 Energie'!F15+'P3 Energie'!F6*$H$7</f>
        <v>19293.6017801861</v>
      </c>
      <c r="J911" s="50" t="n">
        <f aca="false">I911*H911</f>
        <v>241705.955635109</v>
      </c>
    </row>
    <row r="912" customFormat="false" ht="15" hidden="false" customHeight="false" outlineLevel="0" collapsed="false">
      <c r="A912" s="46" t="n">
        <v>904</v>
      </c>
      <c r="B912" s="47" t="n">
        <f aca="false">(A912-1)*$C$6</f>
        <v>1.63138059931909</v>
      </c>
      <c r="C912" s="48" t="n">
        <f aca="false">$C$7*B912</f>
        <v>12.5416666666667</v>
      </c>
      <c r="D912" s="49" t="n">
        <f aca="false">0.5*c_rho*'P3 Energie'!E8*'P3 Energie'!E7*(C912-c_Vv)^2+'P3 Energie'!E13+'P3 Energie'!E15+'P3 Energie'!E6*$C$7</f>
        <v>18474.0952528205</v>
      </c>
      <c r="E912" s="50" t="n">
        <f aca="false">D912*C912</f>
        <v>231695.944629124</v>
      </c>
      <c r="F912" s="46" t="n">
        <v>904</v>
      </c>
      <c r="G912" s="47" t="n">
        <f aca="false">(F912-1)*$H$6</f>
        <v>1.6302155417204</v>
      </c>
      <c r="H912" s="48" t="n">
        <f aca="false">$H$7*G912</f>
        <v>12.5416666666667</v>
      </c>
      <c r="I912" s="49" t="n">
        <f aca="false">0.5*c_rho*'P3 Energie'!F8*'P3 Energie'!F7*(H912-c_Vv)^2+'P3 Energie'!F13+'P3 Energie'!F15+'P3 Energie'!F6*$H$7</f>
        <v>19293.7226153262</v>
      </c>
      <c r="J912" s="50" t="n">
        <f aca="false">I912*H912</f>
        <v>241975.437800549</v>
      </c>
    </row>
    <row r="913" customFormat="false" ht="15" hidden="false" customHeight="false" outlineLevel="0" collapsed="false">
      <c r="A913" s="46" t="n">
        <v>905</v>
      </c>
      <c r="B913" s="47" t="n">
        <f aca="false">(A913-1)*$C$6</f>
        <v>1.63318722235266</v>
      </c>
      <c r="C913" s="48" t="n">
        <f aca="false">$C$7*B913</f>
        <v>12.5555555555556</v>
      </c>
      <c r="D913" s="49" t="n">
        <f aca="false">0.5*c_rho*'P3 Energie'!E8*'P3 Energie'!E7*(C913-c_Vv)^2+'P3 Energie'!E13+'P3 Energie'!E15+'P3 Energie'!E6*$C$7</f>
        <v>18474.2344861902</v>
      </c>
      <c r="E913" s="50" t="n">
        <f aca="false">D913*C913</f>
        <v>231954.277437722</v>
      </c>
      <c r="F913" s="46" t="n">
        <v>905</v>
      </c>
      <c r="G913" s="47" t="n">
        <f aca="false">(F913-1)*$H$6</f>
        <v>1.63202087454623</v>
      </c>
      <c r="H913" s="48" t="n">
        <f aca="false">$H$7*G913</f>
        <v>12.5555555555556</v>
      </c>
      <c r="I913" s="49" t="n">
        <f aca="false">0.5*c_rho*'P3 Energie'!F8*'P3 Energie'!F7*(H913-c_Vv)^2+'P3 Energie'!F13+'P3 Energie'!F15+'P3 Energie'!F6*$H$7</f>
        <v>19293.8435843556</v>
      </c>
      <c r="J913" s="50" t="n">
        <f aca="false">I913*H913</f>
        <v>242244.925003575</v>
      </c>
    </row>
    <row r="914" customFormat="false" ht="15" hidden="false" customHeight="false" outlineLevel="0" collapsed="false">
      <c r="A914" s="46" t="n">
        <v>906</v>
      </c>
      <c r="B914" s="47" t="n">
        <f aca="false">(A914-1)*$C$6</f>
        <v>1.63499384538624</v>
      </c>
      <c r="C914" s="48" t="n">
        <f aca="false">$C$7*B914</f>
        <v>12.5694444444444</v>
      </c>
      <c r="D914" s="49" t="n">
        <f aca="false">0.5*c_rho*'P3 Energie'!E8*'P3 Energie'!E7*(C914-c_Vv)^2+'P3 Energie'!E13+'P3 Energie'!E15+'P3 Energie'!E6*$C$7</f>
        <v>18474.3738736644</v>
      </c>
      <c r="E914" s="50" t="n">
        <f aca="false">D914*C914</f>
        <v>232212.616050921</v>
      </c>
      <c r="F914" s="46" t="n">
        <v>906</v>
      </c>
      <c r="G914" s="47" t="n">
        <f aca="false">(F914-1)*$H$6</f>
        <v>1.63382620737206</v>
      </c>
      <c r="H914" s="48" t="n">
        <f aca="false">$H$7*G914</f>
        <v>12.5694444444444</v>
      </c>
      <c r="I914" s="49" t="n">
        <f aca="false">0.5*c_rho*'P3 Energie'!F8*'P3 Energie'!F7*(H914-c_Vv)^2+'P3 Energie'!F13+'P3 Energie'!F15+'P3 Energie'!F6*$H$7</f>
        <v>19293.9646872743</v>
      </c>
      <c r="J914" s="50" t="n">
        <f aca="false">I914*H914</f>
        <v>242514.417249767</v>
      </c>
    </row>
    <row r="915" customFormat="false" ht="15" hidden="false" customHeight="false" outlineLevel="0" collapsed="false">
      <c r="A915" s="46" t="n">
        <v>907</v>
      </c>
      <c r="B915" s="47" t="n">
        <f aca="false">(A915-1)*$C$6</f>
        <v>1.63680046841981</v>
      </c>
      <c r="C915" s="48" t="n">
        <f aca="false">$C$7*B915</f>
        <v>12.5833333333333</v>
      </c>
      <c r="D915" s="49" t="n">
        <f aca="false">0.5*c_rho*'P3 Energie'!E8*'P3 Energie'!E7*(C915-c_Vv)^2+'P3 Energie'!E13+'P3 Energie'!E15+'P3 Energie'!E6*$C$7</f>
        <v>18474.5134152431</v>
      </c>
      <c r="E915" s="50" t="n">
        <f aca="false">D915*C915</f>
        <v>232470.960475142</v>
      </c>
      <c r="F915" s="46" t="n">
        <v>907</v>
      </c>
      <c r="G915" s="47" t="n">
        <f aca="false">(F915-1)*$H$6</f>
        <v>1.63563154019788</v>
      </c>
      <c r="H915" s="48" t="n">
        <f aca="false">$H$7*G915</f>
        <v>12.5833333333333</v>
      </c>
      <c r="I915" s="49" t="n">
        <f aca="false">0.5*c_rho*'P3 Energie'!F8*'P3 Energie'!F7*(H915-c_Vv)^2+'P3 Energie'!F13+'P3 Energie'!F15+'P3 Energie'!F6*$H$7</f>
        <v>19294.0859240824</v>
      </c>
      <c r="J915" s="50" t="n">
        <f aca="false">I915*H915</f>
        <v>242783.914544704</v>
      </c>
    </row>
    <row r="916" customFormat="false" ht="15" hidden="false" customHeight="false" outlineLevel="0" collapsed="false">
      <c r="A916" s="46" t="n">
        <v>908</v>
      </c>
      <c r="B916" s="47" t="n">
        <f aca="false">(A916-1)*$C$6</f>
        <v>1.63860709145339</v>
      </c>
      <c r="C916" s="48" t="n">
        <f aca="false">$C$7*B916</f>
        <v>12.5972222222222</v>
      </c>
      <c r="D916" s="49" t="n">
        <f aca="false">0.5*c_rho*'P3 Energie'!E8*'P3 Energie'!E7*(C916-c_Vv)^2+'P3 Energie'!E13+'P3 Energie'!E15+'P3 Energie'!E6*$C$7</f>
        <v>18474.6531109261</v>
      </c>
      <c r="E916" s="50" t="n">
        <f aca="false">D916*C916</f>
        <v>232729.310716806</v>
      </c>
      <c r="F916" s="46" t="n">
        <v>908</v>
      </c>
      <c r="G916" s="47" t="n">
        <f aca="false">(F916-1)*$H$6</f>
        <v>1.63743687302371</v>
      </c>
      <c r="H916" s="48" t="n">
        <f aca="false">$H$7*G916</f>
        <v>12.5972222222222</v>
      </c>
      <c r="I916" s="49" t="n">
        <f aca="false">0.5*c_rho*'P3 Energie'!F8*'P3 Energie'!F7*(H916-c_Vv)^2+'P3 Energie'!F13+'P3 Energie'!F15+'P3 Energie'!F6*$H$7</f>
        <v>19294.2072947799</v>
      </c>
      <c r="J916" s="50" t="n">
        <f aca="false">I916*H916</f>
        <v>243053.416893963</v>
      </c>
    </row>
    <row r="917" customFormat="false" ht="15" hidden="false" customHeight="false" outlineLevel="0" collapsed="false">
      <c r="A917" s="46" t="n">
        <v>909</v>
      </c>
      <c r="B917" s="47" t="n">
        <f aca="false">(A917-1)*$C$6</f>
        <v>1.64041371448697</v>
      </c>
      <c r="C917" s="48" t="n">
        <f aca="false">$C$7*B917</f>
        <v>12.6111111111111</v>
      </c>
      <c r="D917" s="49" t="n">
        <f aca="false">0.5*c_rho*'P3 Energie'!E8*'P3 Energie'!E7*(C917-c_Vv)^2+'P3 Energie'!E13+'P3 Energie'!E15+'P3 Energie'!E6*$C$7</f>
        <v>18474.7929607137</v>
      </c>
      <c r="E917" s="50" t="n">
        <f aca="false">D917*C917</f>
        <v>232987.666782334</v>
      </c>
      <c r="F917" s="46" t="n">
        <v>909</v>
      </c>
      <c r="G917" s="47" t="n">
        <f aca="false">(F917-1)*$H$6</f>
        <v>1.63924220584953</v>
      </c>
      <c r="H917" s="48" t="n">
        <f aca="false">$H$7*G917</f>
        <v>12.6111111111111</v>
      </c>
      <c r="I917" s="49" t="n">
        <f aca="false">0.5*c_rho*'P3 Energie'!F8*'P3 Energie'!F7*(H917-c_Vv)^2+'P3 Energie'!F13+'P3 Energie'!F15+'P3 Energie'!F6*$H$7</f>
        <v>19294.3287993667</v>
      </c>
      <c r="J917" s="50" t="n">
        <f aca="false">I917*H917</f>
        <v>243322.924303124</v>
      </c>
    </row>
    <row r="918" customFormat="false" ht="15" hidden="false" customHeight="false" outlineLevel="0" collapsed="false">
      <c r="A918" s="46" t="n">
        <v>910</v>
      </c>
      <c r="B918" s="47" t="n">
        <f aca="false">(A918-1)*$C$6</f>
        <v>1.64222033752054</v>
      </c>
      <c r="C918" s="48" t="n">
        <f aca="false">$C$7*B918</f>
        <v>12.625</v>
      </c>
      <c r="D918" s="49" t="n">
        <f aca="false">0.5*c_rho*'P3 Energie'!E8*'P3 Energie'!E7*(C918-c_Vv)^2+'P3 Energie'!E13+'P3 Energie'!E15+'P3 Energie'!E6*$C$7</f>
        <v>18474.9329646057</v>
      </c>
      <c r="E918" s="50" t="n">
        <f aca="false">D918*C918</f>
        <v>233246.028678146</v>
      </c>
      <c r="F918" s="46" t="n">
        <v>910</v>
      </c>
      <c r="G918" s="47" t="n">
        <f aca="false">(F918-1)*$H$6</f>
        <v>1.64104753867536</v>
      </c>
      <c r="H918" s="48" t="n">
        <f aca="false">$H$7*G918</f>
        <v>12.625</v>
      </c>
      <c r="I918" s="49" t="n">
        <f aca="false">0.5*c_rho*'P3 Energie'!F8*'P3 Energie'!F7*(H918-c_Vv)^2+'P3 Energie'!F13+'P3 Energie'!F15+'P3 Energie'!F6*$H$7</f>
        <v>19294.4504378428</v>
      </c>
      <c r="J918" s="50" t="n">
        <f aca="false">I918*H918</f>
        <v>243592.436777766</v>
      </c>
    </row>
    <row r="919" customFormat="false" ht="15" hidden="false" customHeight="false" outlineLevel="0" collapsed="false">
      <c r="A919" s="46" t="n">
        <v>911</v>
      </c>
      <c r="B919" s="47" t="n">
        <f aca="false">(A919-1)*$C$6</f>
        <v>1.64402696055412</v>
      </c>
      <c r="C919" s="48" t="n">
        <f aca="false">$C$7*B919</f>
        <v>12.6388888888889</v>
      </c>
      <c r="D919" s="49" t="n">
        <f aca="false">0.5*c_rho*'P3 Energie'!E8*'P3 Energie'!E7*(C919-c_Vv)^2+'P3 Energie'!E13+'P3 Energie'!E15+'P3 Energie'!E6*$C$7</f>
        <v>18475.0731226021</v>
      </c>
      <c r="E919" s="50" t="n">
        <f aca="false">D919*C919</f>
        <v>233504.396410665</v>
      </c>
      <c r="F919" s="46" t="n">
        <v>911</v>
      </c>
      <c r="G919" s="47" t="n">
        <f aca="false">(F919-1)*$H$6</f>
        <v>1.64285287150118</v>
      </c>
      <c r="H919" s="48" t="n">
        <f aca="false">$H$7*G919</f>
        <v>12.6388888888889</v>
      </c>
      <c r="I919" s="49" t="n">
        <f aca="false">0.5*c_rho*'P3 Energie'!F8*'P3 Energie'!F7*(H919-c_Vv)^2+'P3 Energie'!F13+'P3 Energie'!F15+'P3 Energie'!F6*$H$7</f>
        <v>19294.5722102083</v>
      </c>
      <c r="J919" s="50" t="n">
        <f aca="false">I919*H919</f>
        <v>243861.954323466</v>
      </c>
    </row>
    <row r="920" customFormat="false" ht="15" hidden="false" customHeight="false" outlineLevel="0" collapsed="false">
      <c r="A920" s="46" t="n">
        <v>912</v>
      </c>
      <c r="B920" s="47" t="n">
        <f aca="false">(A920-1)*$C$6</f>
        <v>1.64583358358769</v>
      </c>
      <c r="C920" s="48" t="n">
        <f aca="false">$C$7*B920</f>
        <v>12.6527777777778</v>
      </c>
      <c r="D920" s="49" t="n">
        <f aca="false">0.5*c_rho*'P3 Energie'!E8*'P3 Energie'!E7*(C920-c_Vv)^2+'P3 Energie'!E13+'P3 Energie'!E15+'P3 Energie'!E6*$C$7</f>
        <v>18475.213434703</v>
      </c>
      <c r="E920" s="50" t="n">
        <f aca="false">D920*C920</f>
        <v>233762.769986311</v>
      </c>
      <c r="F920" s="46" t="n">
        <v>912</v>
      </c>
      <c r="G920" s="47" t="n">
        <f aca="false">(F920-1)*$H$6</f>
        <v>1.64465820432701</v>
      </c>
      <c r="H920" s="48" t="n">
        <f aca="false">$H$7*G920</f>
        <v>12.6527777777778</v>
      </c>
      <c r="I920" s="49" t="n">
        <f aca="false">0.5*c_rho*'P3 Energie'!F8*'P3 Energie'!F7*(H920-c_Vv)^2+'P3 Energie'!F13+'P3 Energie'!F15+'P3 Energie'!F6*$H$7</f>
        <v>19294.6941164632</v>
      </c>
      <c r="J920" s="50" t="n">
        <f aca="false">I920*H920</f>
        <v>244131.476945805</v>
      </c>
    </row>
    <row r="921" customFormat="false" ht="15" hidden="false" customHeight="false" outlineLevel="0" collapsed="false">
      <c r="A921" s="46" t="n">
        <v>913</v>
      </c>
      <c r="B921" s="47" t="n">
        <f aca="false">(A921-1)*$C$6</f>
        <v>1.64764020662127</v>
      </c>
      <c r="C921" s="48" t="n">
        <f aca="false">$C$7*B921</f>
        <v>12.6666666666667</v>
      </c>
      <c r="D921" s="49" t="n">
        <f aca="false">0.5*c_rho*'P3 Energie'!E8*'P3 Energie'!E7*(C921-c_Vv)^2+'P3 Energie'!E13+'P3 Energie'!E15+'P3 Energie'!E6*$C$7</f>
        <v>18475.3539009083</v>
      </c>
      <c r="E921" s="50" t="n">
        <f aca="false">D921*C921</f>
        <v>234021.149411505</v>
      </c>
      <c r="F921" s="46" t="n">
        <v>913</v>
      </c>
      <c r="G921" s="47" t="n">
        <f aca="false">(F921-1)*$H$6</f>
        <v>1.64646353715283</v>
      </c>
      <c r="H921" s="48" t="n">
        <f aca="false">$H$7*G921</f>
        <v>12.6666666666667</v>
      </c>
      <c r="I921" s="49" t="n">
        <f aca="false">0.5*c_rho*'P3 Energie'!F8*'P3 Energie'!F7*(H921-c_Vv)^2+'P3 Energie'!F13+'P3 Energie'!F15+'P3 Energie'!F6*$H$7</f>
        <v>19294.8161566074</v>
      </c>
      <c r="J921" s="50" t="n">
        <f aca="false">I921*H921</f>
        <v>244401.004650361</v>
      </c>
    </row>
    <row r="922" customFormat="false" ht="15" hidden="false" customHeight="false" outlineLevel="0" collapsed="false">
      <c r="A922" s="46" t="n">
        <v>914</v>
      </c>
      <c r="B922" s="47" t="n">
        <f aca="false">(A922-1)*$C$6</f>
        <v>1.64944682965485</v>
      </c>
      <c r="C922" s="48" t="n">
        <f aca="false">$C$7*B922</f>
        <v>12.6805555555556</v>
      </c>
      <c r="D922" s="49" t="n">
        <f aca="false">0.5*c_rho*'P3 Energie'!E8*'P3 Energie'!E7*(C922-c_Vv)^2+'P3 Energie'!E13+'P3 Energie'!E15+'P3 Energie'!E6*$C$7</f>
        <v>18475.4945212181</v>
      </c>
      <c r="E922" s="50" t="n">
        <f aca="false">D922*C922</f>
        <v>234279.534692668</v>
      </c>
      <c r="F922" s="46" t="n">
        <v>914</v>
      </c>
      <c r="G922" s="47" t="n">
        <f aca="false">(F922-1)*$H$6</f>
        <v>1.64826886997866</v>
      </c>
      <c r="H922" s="48" t="n">
        <f aca="false">$H$7*G922</f>
        <v>12.6805555555556</v>
      </c>
      <c r="I922" s="49" t="n">
        <f aca="false">0.5*c_rho*'P3 Energie'!F8*'P3 Energie'!F7*(H922-c_Vv)^2+'P3 Energie'!F13+'P3 Energie'!F15+'P3 Energie'!F6*$H$7</f>
        <v>19294.938330641</v>
      </c>
      <c r="J922" s="50" t="n">
        <f aca="false">I922*H922</f>
        <v>244670.537442711</v>
      </c>
    </row>
    <row r="923" customFormat="false" ht="15" hidden="false" customHeight="false" outlineLevel="0" collapsed="false">
      <c r="A923" s="46" t="n">
        <v>915</v>
      </c>
      <c r="B923" s="47" t="n">
        <f aca="false">(A923-1)*$C$6</f>
        <v>1.65125345268842</v>
      </c>
      <c r="C923" s="48" t="n">
        <f aca="false">$C$7*B923</f>
        <v>12.6944444444444</v>
      </c>
      <c r="D923" s="49" t="n">
        <f aca="false">0.5*c_rho*'P3 Energie'!E8*'P3 Energie'!E7*(C923-c_Vv)^2+'P3 Energie'!E13+'P3 Energie'!E15+'P3 Energie'!E6*$C$7</f>
        <v>18475.6352956323</v>
      </c>
      <c r="E923" s="50" t="n">
        <f aca="false">D923*C923</f>
        <v>234537.925836221</v>
      </c>
      <c r="F923" s="46" t="n">
        <v>915</v>
      </c>
      <c r="G923" s="47" t="n">
        <f aca="false">(F923-1)*$H$6</f>
        <v>1.65007420280448</v>
      </c>
      <c r="H923" s="48" t="n">
        <f aca="false">$H$7*G923</f>
        <v>12.6944444444444</v>
      </c>
      <c r="I923" s="49" t="n">
        <f aca="false">0.5*c_rho*'P3 Energie'!F8*'P3 Energie'!F7*(H923-c_Vv)^2+'P3 Energie'!F13+'P3 Energie'!F15+'P3 Energie'!F6*$H$7</f>
        <v>19295.0606385639</v>
      </c>
      <c r="J923" s="50" t="n">
        <f aca="false">I923*H923</f>
        <v>244940.075328436</v>
      </c>
    </row>
    <row r="924" customFormat="false" ht="15" hidden="false" customHeight="false" outlineLevel="0" collapsed="false">
      <c r="A924" s="46" t="n">
        <v>916</v>
      </c>
      <c r="B924" s="47" t="n">
        <f aca="false">(A924-1)*$C$6</f>
        <v>1.653060075722</v>
      </c>
      <c r="C924" s="48" t="n">
        <f aca="false">$C$7*B924</f>
        <v>12.7083333333333</v>
      </c>
      <c r="D924" s="49" t="n">
        <f aca="false">0.5*c_rho*'P3 Energie'!E8*'P3 Energie'!E7*(C924-c_Vv)^2+'P3 Energie'!E13+'P3 Energie'!E15+'P3 Energie'!E6*$C$7</f>
        <v>18475.776224151</v>
      </c>
      <c r="E924" s="50" t="n">
        <f aca="false">D924*C924</f>
        <v>234796.322848586</v>
      </c>
      <c r="F924" s="46" t="n">
        <v>916</v>
      </c>
      <c r="G924" s="47" t="n">
        <f aca="false">(F924-1)*$H$6</f>
        <v>1.65187953563031</v>
      </c>
      <c r="H924" s="48" t="n">
        <f aca="false">$H$7*G924</f>
        <v>12.7083333333333</v>
      </c>
      <c r="I924" s="49" t="n">
        <f aca="false">0.5*c_rho*'P3 Energie'!F8*'P3 Energie'!F7*(H924-c_Vv)^2+'P3 Energie'!F13+'P3 Energie'!F15+'P3 Energie'!F6*$H$7</f>
        <v>19295.1830803762</v>
      </c>
      <c r="J924" s="50" t="n">
        <f aca="false">I924*H924</f>
        <v>245209.618313114</v>
      </c>
    </row>
    <row r="925" customFormat="false" ht="15" hidden="false" customHeight="false" outlineLevel="0" collapsed="false">
      <c r="A925" s="46" t="n">
        <v>917</v>
      </c>
      <c r="B925" s="47" t="n">
        <f aca="false">(A925-1)*$C$6</f>
        <v>1.65486669875557</v>
      </c>
      <c r="C925" s="48" t="n">
        <f aca="false">$C$7*B925</f>
        <v>12.7222222222222</v>
      </c>
      <c r="D925" s="49" t="n">
        <f aca="false">0.5*c_rho*'P3 Energie'!E8*'P3 Energie'!E7*(C925-c_Vv)^2+'P3 Energie'!E13+'P3 Energie'!E15+'P3 Energie'!E6*$C$7</f>
        <v>18475.9173067741</v>
      </c>
      <c r="E925" s="50" t="n">
        <f aca="false">D925*C925</f>
        <v>235054.725736182</v>
      </c>
      <c r="F925" s="46" t="n">
        <v>917</v>
      </c>
      <c r="G925" s="47" t="n">
        <f aca="false">(F925-1)*$H$6</f>
        <v>1.65368486845614</v>
      </c>
      <c r="H925" s="48" t="n">
        <f aca="false">$H$7*G925</f>
        <v>12.7222222222222</v>
      </c>
      <c r="I925" s="49" t="n">
        <f aca="false">0.5*c_rho*'P3 Energie'!F8*'P3 Energie'!F7*(H925-c_Vv)^2+'P3 Energie'!F13+'P3 Energie'!F15+'P3 Energie'!F6*$H$7</f>
        <v>19295.3056560778</v>
      </c>
      <c r="J925" s="50" t="n">
        <f aca="false">I925*H925</f>
        <v>245479.166402323</v>
      </c>
    </row>
    <row r="926" customFormat="false" ht="15" hidden="false" customHeight="false" outlineLevel="0" collapsed="false">
      <c r="A926" s="46" t="n">
        <v>918</v>
      </c>
      <c r="B926" s="47" t="n">
        <f aca="false">(A926-1)*$C$6</f>
        <v>1.65667332178915</v>
      </c>
      <c r="C926" s="48" t="n">
        <f aca="false">$C$7*B926</f>
        <v>12.7361111111111</v>
      </c>
      <c r="D926" s="49" t="n">
        <f aca="false">0.5*c_rho*'P3 Energie'!E8*'P3 Energie'!E7*(C926-c_Vv)^2+'P3 Energie'!E13+'P3 Energie'!E15+'P3 Energie'!E6*$C$7</f>
        <v>18476.0585435017</v>
      </c>
      <c r="E926" s="50" t="n">
        <f aca="false">D926*C926</f>
        <v>235313.134505431</v>
      </c>
      <c r="F926" s="46" t="n">
        <v>918</v>
      </c>
      <c r="G926" s="47" t="n">
        <f aca="false">(F926-1)*$H$6</f>
        <v>1.65549020128196</v>
      </c>
      <c r="H926" s="48" t="n">
        <f aca="false">$H$7*G926</f>
        <v>12.7361111111111</v>
      </c>
      <c r="I926" s="49" t="n">
        <f aca="false">0.5*c_rho*'P3 Energie'!F8*'P3 Energie'!F7*(H926-c_Vv)^2+'P3 Energie'!F13+'P3 Energie'!F15+'P3 Energie'!F6*$H$7</f>
        <v>19295.4283656688</v>
      </c>
      <c r="J926" s="50" t="n">
        <f aca="false">I926*H926</f>
        <v>245748.719601642</v>
      </c>
    </row>
    <row r="927" customFormat="false" ht="15" hidden="false" customHeight="false" outlineLevel="0" collapsed="false">
      <c r="A927" s="46" t="n">
        <v>919</v>
      </c>
      <c r="B927" s="47" t="n">
        <f aca="false">(A927-1)*$C$6</f>
        <v>1.65847994482273</v>
      </c>
      <c r="C927" s="48" t="n">
        <f aca="false">$C$7*B927</f>
        <v>12.75</v>
      </c>
      <c r="D927" s="49" t="n">
        <f aca="false">0.5*c_rho*'P3 Energie'!E8*'P3 Energie'!E7*(C927-c_Vv)^2+'P3 Energie'!E13+'P3 Energie'!E15+'P3 Energie'!E6*$C$7</f>
        <v>18476.1999343337</v>
      </c>
      <c r="E927" s="50" t="n">
        <f aca="false">D927*C927</f>
        <v>235571.549162755</v>
      </c>
      <c r="F927" s="46" t="n">
        <v>919</v>
      </c>
      <c r="G927" s="47" t="n">
        <f aca="false">(F927-1)*$H$6</f>
        <v>1.65729553410779</v>
      </c>
      <c r="H927" s="48" t="n">
        <f aca="false">$H$7*G927</f>
        <v>12.75</v>
      </c>
      <c r="I927" s="49" t="n">
        <f aca="false">0.5*c_rho*'P3 Energie'!F8*'P3 Energie'!F7*(H927-c_Vv)^2+'P3 Energie'!F13+'P3 Energie'!F15+'P3 Energie'!F6*$H$7</f>
        <v>19295.5512091491</v>
      </c>
      <c r="J927" s="50" t="n">
        <f aca="false">I927*H927</f>
        <v>246018.277916651</v>
      </c>
    </row>
    <row r="928" customFormat="false" ht="15" hidden="false" customHeight="false" outlineLevel="0" collapsed="false">
      <c r="A928" s="46" t="n">
        <v>920</v>
      </c>
      <c r="B928" s="47" t="n">
        <f aca="false">(A928-1)*$C$6</f>
        <v>1.6602865678563</v>
      </c>
      <c r="C928" s="48" t="n">
        <f aca="false">$C$7*B928</f>
        <v>12.7638888888889</v>
      </c>
      <c r="D928" s="49" t="n">
        <f aca="false">0.5*c_rho*'P3 Energie'!E8*'P3 Energie'!E7*(C928-c_Vv)^2+'P3 Energie'!E13+'P3 Energie'!E15+'P3 Energie'!E6*$C$7</f>
        <v>18476.3414792702</v>
      </c>
      <c r="E928" s="50" t="n">
        <f aca="false">D928*C928</f>
        <v>235829.969714574</v>
      </c>
      <c r="F928" s="46" t="n">
        <v>920</v>
      </c>
      <c r="G928" s="47" t="n">
        <f aca="false">(F928-1)*$H$6</f>
        <v>1.65910086693361</v>
      </c>
      <c r="H928" s="48" t="n">
        <f aca="false">$H$7*G928</f>
        <v>12.7638888888889</v>
      </c>
      <c r="I928" s="49" t="n">
        <f aca="false">0.5*c_rho*'P3 Energie'!F8*'P3 Energie'!F7*(H928-c_Vv)^2+'P3 Energie'!F13+'P3 Energie'!F15+'P3 Energie'!F6*$H$7</f>
        <v>19295.6741865188</v>
      </c>
      <c r="J928" s="50" t="n">
        <f aca="false">I928*H928</f>
        <v>246287.841352927</v>
      </c>
    </row>
    <row r="929" customFormat="false" ht="15" hidden="false" customHeight="false" outlineLevel="0" collapsed="false">
      <c r="A929" s="46" t="n">
        <v>921</v>
      </c>
      <c r="B929" s="47" t="n">
        <f aca="false">(A929-1)*$C$6</f>
        <v>1.66209319088988</v>
      </c>
      <c r="C929" s="48" t="n">
        <f aca="false">$C$7*B929</f>
        <v>12.7777777777778</v>
      </c>
      <c r="D929" s="49" t="n">
        <f aca="false">0.5*c_rho*'P3 Energie'!E8*'P3 Energie'!E7*(C929-c_Vv)^2+'P3 Energie'!E13+'P3 Energie'!E15+'P3 Energie'!E6*$C$7</f>
        <v>18476.4831783111</v>
      </c>
      <c r="E929" s="50" t="n">
        <f aca="false">D929*C929</f>
        <v>236088.396167309</v>
      </c>
      <c r="F929" s="46" t="n">
        <v>921</v>
      </c>
      <c r="G929" s="47" t="n">
        <f aca="false">(F929-1)*$H$6</f>
        <v>1.66090619975944</v>
      </c>
      <c r="H929" s="48" t="n">
        <f aca="false">$H$7*G929</f>
        <v>12.7777777777778</v>
      </c>
      <c r="I929" s="49" t="n">
        <f aca="false">0.5*c_rho*'P3 Energie'!F8*'P3 Energie'!F7*(H929-c_Vv)^2+'P3 Energie'!F13+'P3 Energie'!F15+'P3 Energie'!F6*$H$7</f>
        <v>19295.7972977778</v>
      </c>
      <c r="J929" s="50" t="n">
        <f aca="false">I929*H929</f>
        <v>246557.409916049</v>
      </c>
    </row>
    <row r="930" customFormat="false" ht="15" hidden="false" customHeight="false" outlineLevel="0" collapsed="false">
      <c r="A930" s="46" t="n">
        <v>922</v>
      </c>
      <c r="B930" s="47" t="n">
        <f aca="false">(A930-1)*$C$6</f>
        <v>1.66389981392345</v>
      </c>
      <c r="C930" s="48" t="n">
        <f aca="false">$C$7*B930</f>
        <v>12.7916666666667</v>
      </c>
      <c r="D930" s="49" t="n">
        <f aca="false">0.5*c_rho*'P3 Energie'!E8*'P3 Energie'!E7*(C930-c_Vv)^2+'P3 Energie'!E13+'P3 Energie'!E15+'P3 Energie'!E6*$C$7</f>
        <v>18476.6250314565</v>
      </c>
      <c r="E930" s="50" t="n">
        <f aca="false">D930*C930</f>
        <v>236346.828527381</v>
      </c>
      <c r="F930" s="46" t="n">
        <v>922</v>
      </c>
      <c r="G930" s="47" t="n">
        <f aca="false">(F930-1)*$H$6</f>
        <v>1.66271153258526</v>
      </c>
      <c r="H930" s="48" t="n">
        <f aca="false">$H$7*G930</f>
        <v>12.7916666666667</v>
      </c>
      <c r="I930" s="49" t="n">
        <f aca="false">0.5*c_rho*'P3 Energie'!F8*'P3 Energie'!F7*(H930-c_Vv)^2+'P3 Energie'!F13+'P3 Energie'!F15+'P3 Energie'!F6*$H$7</f>
        <v>19295.9205429262</v>
      </c>
      <c r="J930" s="50" t="n">
        <f aca="false">I930*H930</f>
        <v>246826.983611597</v>
      </c>
    </row>
    <row r="931" customFormat="false" ht="15" hidden="false" customHeight="false" outlineLevel="0" collapsed="false">
      <c r="A931" s="46" t="n">
        <v>923</v>
      </c>
      <c r="B931" s="47" t="n">
        <f aca="false">(A931-1)*$C$6</f>
        <v>1.66570643695703</v>
      </c>
      <c r="C931" s="48" t="n">
        <f aca="false">$C$7*B931</f>
        <v>12.8055555555556</v>
      </c>
      <c r="D931" s="49" t="n">
        <f aca="false">0.5*c_rho*'P3 Energie'!E8*'P3 Energie'!E7*(C931-c_Vv)^2+'P3 Energie'!E13+'P3 Energie'!E15+'P3 Energie'!E6*$C$7</f>
        <v>18476.7670387063</v>
      </c>
      <c r="E931" s="50" t="n">
        <f aca="false">D931*C931</f>
        <v>236605.266801211</v>
      </c>
      <c r="F931" s="46" t="n">
        <v>923</v>
      </c>
      <c r="G931" s="47" t="n">
        <f aca="false">(F931-1)*$H$6</f>
        <v>1.66451686541109</v>
      </c>
      <c r="H931" s="48" t="n">
        <f aca="false">$H$7*G931</f>
        <v>12.8055555555556</v>
      </c>
      <c r="I931" s="49" t="n">
        <f aca="false">0.5*c_rho*'P3 Energie'!F8*'P3 Energie'!F7*(H931-c_Vv)^2+'P3 Energie'!F13+'P3 Energie'!F15+'P3 Energie'!F6*$H$7</f>
        <v>19296.0439219639</v>
      </c>
      <c r="J931" s="50" t="n">
        <f aca="false">I931*H931</f>
        <v>247096.562445149</v>
      </c>
    </row>
    <row r="932" customFormat="false" ht="15" hidden="false" customHeight="false" outlineLevel="0" collapsed="false">
      <c r="A932" s="46" t="n">
        <v>924</v>
      </c>
      <c r="B932" s="47" t="n">
        <f aca="false">(A932-1)*$C$6</f>
        <v>1.66751305999061</v>
      </c>
      <c r="C932" s="48" t="n">
        <f aca="false">$C$7*B932</f>
        <v>12.8194444444444</v>
      </c>
      <c r="D932" s="49" t="n">
        <f aca="false">0.5*c_rho*'P3 Energie'!E8*'P3 Energie'!E7*(C932-c_Vv)^2+'P3 Energie'!E13+'P3 Energie'!E15+'P3 Energie'!E6*$C$7</f>
        <v>18476.9092000606</v>
      </c>
      <c r="E932" s="50" t="n">
        <f aca="false">D932*C932</f>
        <v>236863.710995221</v>
      </c>
      <c r="F932" s="46" t="n">
        <v>924</v>
      </c>
      <c r="G932" s="47" t="n">
        <f aca="false">(F932-1)*$H$6</f>
        <v>1.66632219823691</v>
      </c>
      <c r="H932" s="48" t="n">
        <f aca="false">$H$7*G932</f>
        <v>12.8194444444444</v>
      </c>
      <c r="I932" s="49" t="n">
        <f aca="false">0.5*c_rho*'P3 Energie'!F8*'P3 Energie'!F7*(H932-c_Vv)^2+'P3 Energie'!F13+'P3 Energie'!F15+'P3 Energie'!F6*$H$7</f>
        <v>19296.167434891</v>
      </c>
      <c r="J932" s="50" t="n">
        <f aca="false">I932*H932</f>
        <v>247366.146422283</v>
      </c>
    </row>
    <row r="933" customFormat="false" ht="15" hidden="false" customHeight="false" outlineLevel="0" collapsed="false">
      <c r="A933" s="46" t="n">
        <v>925</v>
      </c>
      <c r="B933" s="47" t="n">
        <f aca="false">(A933-1)*$C$6</f>
        <v>1.66931968302418</v>
      </c>
      <c r="C933" s="48" t="n">
        <f aca="false">$C$7*B933</f>
        <v>12.8333333333333</v>
      </c>
      <c r="D933" s="49" t="n">
        <f aca="false">0.5*c_rho*'P3 Energie'!E8*'P3 Energie'!E7*(C933-c_Vv)^2+'P3 Energie'!E13+'P3 Energie'!E15+'P3 Energie'!E6*$C$7</f>
        <v>18477.0515155193</v>
      </c>
      <c r="E933" s="50" t="n">
        <f aca="false">D933*C933</f>
        <v>237122.161115831</v>
      </c>
      <c r="F933" s="46" t="n">
        <v>925</v>
      </c>
      <c r="G933" s="47" t="n">
        <f aca="false">(F933-1)*$H$6</f>
        <v>1.66812753106274</v>
      </c>
      <c r="H933" s="48" t="n">
        <f aca="false">$H$7*G933</f>
        <v>12.8333333333333</v>
      </c>
      <c r="I933" s="49" t="n">
        <f aca="false">0.5*c_rho*'P3 Energie'!F8*'P3 Energie'!F7*(H933-c_Vv)^2+'P3 Energie'!F13+'P3 Energie'!F15+'P3 Energie'!F6*$H$7</f>
        <v>19296.2910817074</v>
      </c>
      <c r="J933" s="50" t="n">
        <f aca="false">I933*H933</f>
        <v>247635.735548578</v>
      </c>
    </row>
    <row r="934" customFormat="false" ht="15" hidden="false" customHeight="false" outlineLevel="0" collapsed="false">
      <c r="A934" s="46" t="n">
        <v>926</v>
      </c>
      <c r="B934" s="47" t="n">
        <f aca="false">(A934-1)*$C$6</f>
        <v>1.67112630605776</v>
      </c>
      <c r="C934" s="48" t="n">
        <f aca="false">$C$7*B934</f>
        <v>12.8472222222222</v>
      </c>
      <c r="D934" s="49" t="n">
        <f aca="false">0.5*c_rho*'P3 Energie'!E8*'P3 Energie'!E7*(C934-c_Vv)^2+'P3 Energie'!E13+'P3 Energie'!E15+'P3 Energie'!E6*$C$7</f>
        <v>18477.1939850825</v>
      </c>
      <c r="E934" s="50" t="n">
        <f aca="false">D934*C934</f>
        <v>237380.617169462</v>
      </c>
      <c r="F934" s="46" t="n">
        <v>926</v>
      </c>
      <c r="G934" s="47" t="n">
        <f aca="false">(F934-1)*$H$6</f>
        <v>1.66993286388856</v>
      </c>
      <c r="H934" s="48" t="n">
        <f aca="false">$H$7*G934</f>
        <v>12.8472222222222</v>
      </c>
      <c r="I934" s="49" t="n">
        <f aca="false">0.5*c_rho*'P3 Energie'!F8*'P3 Energie'!F7*(H934-c_Vv)^2+'P3 Energie'!F13+'P3 Energie'!F15+'P3 Energie'!F6*$H$7</f>
        <v>19296.4148624132</v>
      </c>
      <c r="J934" s="50" t="n">
        <f aca="false">I934*H934</f>
        <v>247905.329829614</v>
      </c>
    </row>
    <row r="935" customFormat="false" ht="15" hidden="false" customHeight="false" outlineLevel="0" collapsed="false">
      <c r="A935" s="46" t="n">
        <v>927</v>
      </c>
      <c r="B935" s="47" t="n">
        <f aca="false">(A935-1)*$C$6</f>
        <v>1.67293292909133</v>
      </c>
      <c r="C935" s="48" t="n">
        <f aca="false">$C$7*B935</f>
        <v>12.8611111111111</v>
      </c>
      <c r="D935" s="49" t="n">
        <f aca="false">0.5*c_rho*'P3 Energie'!E8*'P3 Energie'!E7*(C935-c_Vv)^2+'P3 Energie'!E13+'P3 Energie'!E15+'P3 Energie'!E6*$C$7</f>
        <v>18477.3366087501</v>
      </c>
      <c r="E935" s="50" t="n">
        <f aca="false">D935*C935</f>
        <v>237639.079162536</v>
      </c>
      <c r="F935" s="46" t="n">
        <v>927</v>
      </c>
      <c r="G935" s="47" t="n">
        <f aca="false">(F935-1)*$H$6</f>
        <v>1.67173819671439</v>
      </c>
      <c r="H935" s="48" t="n">
        <f aca="false">$H$7*G935</f>
        <v>12.8611111111111</v>
      </c>
      <c r="I935" s="49" t="n">
        <f aca="false">0.5*c_rho*'P3 Energie'!F8*'P3 Energie'!F7*(H935-c_Vv)^2+'P3 Energie'!F13+'P3 Energie'!F15+'P3 Energie'!F6*$H$7</f>
        <v>19296.5387770083</v>
      </c>
      <c r="J935" s="50" t="n">
        <f aca="false">I935*H935</f>
        <v>248174.929270968</v>
      </c>
    </row>
    <row r="936" customFormat="false" ht="15" hidden="false" customHeight="false" outlineLevel="0" collapsed="false">
      <c r="A936" s="46" t="n">
        <v>928</v>
      </c>
      <c r="B936" s="47" t="n">
        <f aca="false">(A936-1)*$C$6</f>
        <v>1.67473955212491</v>
      </c>
      <c r="C936" s="48" t="n">
        <f aca="false">$C$7*B936</f>
        <v>12.875</v>
      </c>
      <c r="D936" s="49" t="n">
        <f aca="false">0.5*c_rho*'P3 Energie'!E8*'P3 Energie'!E7*(C936-c_Vv)^2+'P3 Energie'!E13+'P3 Energie'!E15+'P3 Energie'!E6*$C$7</f>
        <v>18477.4793865222</v>
      </c>
      <c r="E936" s="50" t="n">
        <f aca="false">D936*C936</f>
        <v>237897.547101473</v>
      </c>
      <c r="F936" s="46" t="n">
        <v>928</v>
      </c>
      <c r="G936" s="47" t="n">
        <f aca="false">(F936-1)*$H$6</f>
        <v>1.67354352954022</v>
      </c>
      <c r="H936" s="48" t="n">
        <f aca="false">$H$7*G936</f>
        <v>12.875</v>
      </c>
      <c r="I936" s="49" t="n">
        <f aca="false">0.5*c_rho*'P3 Energie'!F8*'P3 Energie'!F7*(H936-c_Vv)^2+'P3 Energie'!F13+'P3 Energie'!F15+'P3 Energie'!F6*$H$7</f>
        <v>19296.6628254928</v>
      </c>
      <c r="J936" s="50" t="n">
        <f aca="false">I936*H936</f>
        <v>248444.53387822</v>
      </c>
    </row>
    <row r="937" customFormat="false" ht="15" hidden="false" customHeight="false" outlineLevel="0" collapsed="false">
      <c r="A937" s="46" t="n">
        <v>929</v>
      </c>
      <c r="B937" s="47" t="n">
        <f aca="false">(A937-1)*$C$6</f>
        <v>1.67654617515848</v>
      </c>
      <c r="C937" s="48" t="n">
        <f aca="false">$C$7*B937</f>
        <v>12.8888888888889</v>
      </c>
      <c r="D937" s="49" t="n">
        <f aca="false">0.5*c_rho*'P3 Energie'!E8*'P3 Energie'!E7*(C937-c_Vv)^2+'P3 Energie'!E13+'P3 Energie'!E15+'P3 Energie'!E6*$C$7</f>
        <v>18477.6223183987</v>
      </c>
      <c r="E937" s="50" t="n">
        <f aca="false">D937*C937</f>
        <v>238156.020992694</v>
      </c>
      <c r="F937" s="46" t="n">
        <v>929</v>
      </c>
      <c r="G937" s="47" t="n">
        <f aca="false">(F937-1)*$H$6</f>
        <v>1.67534886236604</v>
      </c>
      <c r="H937" s="48" t="n">
        <f aca="false">$H$7*G937</f>
        <v>12.8888888888889</v>
      </c>
      <c r="I937" s="49" t="n">
        <f aca="false">0.5*c_rho*'P3 Energie'!F8*'P3 Energie'!F7*(H937-c_Vv)^2+'P3 Energie'!F13+'P3 Energie'!F15+'P3 Energie'!F6*$H$7</f>
        <v>19296.7870078667</v>
      </c>
      <c r="J937" s="50" t="n">
        <f aca="false">I937*H937</f>
        <v>248714.143656948</v>
      </c>
    </row>
    <row r="938" customFormat="false" ht="15" hidden="false" customHeight="false" outlineLevel="0" collapsed="false">
      <c r="A938" s="46" t="n">
        <v>930</v>
      </c>
      <c r="B938" s="47" t="n">
        <f aca="false">(A938-1)*$C$6</f>
        <v>1.67835279819206</v>
      </c>
      <c r="C938" s="48" t="n">
        <f aca="false">$C$7*B938</f>
        <v>12.9027777777778</v>
      </c>
      <c r="D938" s="49" t="n">
        <f aca="false">0.5*c_rho*'P3 Energie'!E8*'P3 Energie'!E7*(C938-c_Vv)^2+'P3 Energie'!E13+'P3 Energie'!E15+'P3 Energie'!E6*$C$7</f>
        <v>18477.7654043796</v>
      </c>
      <c r="E938" s="50" t="n">
        <f aca="false">D938*C938</f>
        <v>238414.500842621</v>
      </c>
      <c r="F938" s="46" t="n">
        <v>930</v>
      </c>
      <c r="G938" s="47" t="n">
        <f aca="false">(F938-1)*$H$6</f>
        <v>1.67715419519187</v>
      </c>
      <c r="H938" s="48" t="n">
        <f aca="false">$H$7*G938</f>
        <v>12.9027777777778</v>
      </c>
      <c r="I938" s="49" t="n">
        <f aca="false">0.5*c_rho*'P3 Energie'!F8*'P3 Energie'!F7*(H938-c_Vv)^2+'P3 Energie'!F13+'P3 Energie'!F15+'P3 Energie'!F6*$H$7</f>
        <v>19296.9113241299</v>
      </c>
      <c r="J938" s="50" t="n">
        <f aca="false">I938*H938</f>
        <v>248983.758612731</v>
      </c>
    </row>
    <row r="939" customFormat="false" ht="15" hidden="false" customHeight="false" outlineLevel="0" collapsed="false">
      <c r="A939" s="46" t="n">
        <v>931</v>
      </c>
      <c r="B939" s="47" t="n">
        <f aca="false">(A939-1)*$C$6</f>
        <v>1.68015942122564</v>
      </c>
      <c r="C939" s="48" t="n">
        <f aca="false">$C$7*B939</f>
        <v>12.9166666666667</v>
      </c>
      <c r="D939" s="49" t="n">
        <f aca="false">0.5*c_rho*'P3 Energie'!E8*'P3 Energie'!E7*(C939-c_Vv)^2+'P3 Energie'!E13+'P3 Energie'!E15+'P3 Energie'!E6*$C$7</f>
        <v>18477.9086444651</v>
      </c>
      <c r="E939" s="50" t="n">
        <f aca="false">D939*C939</f>
        <v>238672.986657674</v>
      </c>
      <c r="F939" s="46" t="n">
        <v>931</v>
      </c>
      <c r="G939" s="47" t="n">
        <f aca="false">(F939-1)*$H$6</f>
        <v>1.67895952801769</v>
      </c>
      <c r="H939" s="48" t="n">
        <f aca="false">$H$7*G939</f>
        <v>12.9166666666667</v>
      </c>
      <c r="I939" s="49" t="n">
        <f aca="false">0.5*c_rho*'P3 Energie'!F8*'P3 Energie'!F7*(H939-c_Vv)^2+'P3 Energie'!F13+'P3 Energie'!F15+'P3 Energie'!F6*$H$7</f>
        <v>19297.0357742824</v>
      </c>
      <c r="J939" s="50" t="n">
        <f aca="false">I939*H939</f>
        <v>249253.378751148</v>
      </c>
    </row>
    <row r="940" customFormat="false" ht="15" hidden="false" customHeight="false" outlineLevel="0" collapsed="false">
      <c r="A940" s="46" t="n">
        <v>932</v>
      </c>
      <c r="B940" s="47" t="n">
        <f aca="false">(A940-1)*$C$6</f>
        <v>1.68196604425921</v>
      </c>
      <c r="C940" s="48" t="n">
        <f aca="false">$C$7*B940</f>
        <v>12.9305555555556</v>
      </c>
      <c r="D940" s="49" t="n">
        <f aca="false">0.5*c_rho*'P3 Energie'!E8*'P3 Energie'!E7*(C940-c_Vv)^2+'P3 Energie'!E13+'P3 Energie'!E15+'P3 Energie'!E6*$C$7</f>
        <v>18478.0520386549</v>
      </c>
      <c r="E940" s="50" t="n">
        <f aca="false">D940*C940</f>
        <v>238931.478444274</v>
      </c>
      <c r="F940" s="46" t="n">
        <v>932</v>
      </c>
      <c r="G940" s="47" t="n">
        <f aca="false">(F940-1)*$H$6</f>
        <v>1.68076486084352</v>
      </c>
      <c r="H940" s="48" t="n">
        <f aca="false">$H$7*G940</f>
        <v>12.9305555555556</v>
      </c>
      <c r="I940" s="49" t="n">
        <f aca="false">0.5*c_rho*'P3 Energie'!F8*'P3 Energie'!F7*(H940-c_Vv)^2+'P3 Energie'!F13+'P3 Energie'!F15+'P3 Energie'!F6*$H$7</f>
        <v>19297.1603583243</v>
      </c>
      <c r="J940" s="50" t="n">
        <f aca="false">I940*H940</f>
        <v>249523.004077777</v>
      </c>
    </row>
    <row r="941" customFormat="false" ht="15" hidden="false" customHeight="false" outlineLevel="0" collapsed="false">
      <c r="A941" s="46" t="n">
        <v>933</v>
      </c>
      <c r="B941" s="47" t="n">
        <f aca="false">(A941-1)*$C$6</f>
        <v>1.68377266729279</v>
      </c>
      <c r="C941" s="48" t="n">
        <f aca="false">$C$7*B941</f>
        <v>12.9444444444444</v>
      </c>
      <c r="D941" s="49" t="n">
        <f aca="false">0.5*c_rho*'P3 Energie'!E8*'P3 Energie'!E7*(C941-c_Vv)^2+'P3 Energie'!E13+'P3 Energie'!E15+'P3 Energie'!E6*$C$7</f>
        <v>18478.1955869492</v>
      </c>
      <c r="E941" s="50" t="n">
        <f aca="false">D941*C941</f>
        <v>239189.976208843</v>
      </c>
      <c r="F941" s="46" t="n">
        <v>933</v>
      </c>
      <c r="G941" s="47" t="n">
        <f aca="false">(F941-1)*$H$6</f>
        <v>1.68257019366934</v>
      </c>
      <c r="H941" s="48" t="n">
        <f aca="false">$H$7*G941</f>
        <v>12.9444444444444</v>
      </c>
      <c r="I941" s="49" t="n">
        <f aca="false">0.5*c_rho*'P3 Energie'!F8*'P3 Energie'!F7*(H941-c_Vv)^2+'P3 Energie'!F13+'P3 Energie'!F15+'P3 Energie'!F6*$H$7</f>
        <v>19297.2850762556</v>
      </c>
      <c r="J941" s="50" t="n">
        <f aca="false">I941*H941</f>
        <v>249792.634598197</v>
      </c>
    </row>
    <row r="942" customFormat="false" ht="15" hidden="false" customHeight="false" outlineLevel="0" collapsed="false">
      <c r="A942" s="46" t="n">
        <v>934</v>
      </c>
      <c r="B942" s="47" t="n">
        <f aca="false">(A942-1)*$C$6</f>
        <v>1.68557929032636</v>
      </c>
      <c r="C942" s="48" t="n">
        <f aca="false">$C$7*B942</f>
        <v>12.9583333333333</v>
      </c>
      <c r="D942" s="49" t="n">
        <f aca="false">0.5*c_rho*'P3 Energie'!E8*'P3 Energie'!E7*(C942-c_Vv)^2+'P3 Energie'!E13+'P3 Energie'!E15+'P3 Energie'!E6*$C$7</f>
        <v>18478.339289348</v>
      </c>
      <c r="E942" s="50" t="n">
        <f aca="false">D942*C942</f>
        <v>239448.479957801</v>
      </c>
      <c r="F942" s="46" t="n">
        <v>934</v>
      </c>
      <c r="G942" s="47" t="n">
        <f aca="false">(F942-1)*$H$6</f>
        <v>1.68437552649517</v>
      </c>
      <c r="H942" s="48" t="n">
        <f aca="false">$H$7*G942</f>
        <v>12.9583333333333</v>
      </c>
      <c r="I942" s="49" t="n">
        <f aca="false">0.5*c_rho*'P3 Energie'!F8*'P3 Energie'!F7*(H942-c_Vv)^2+'P3 Energie'!F13+'P3 Energie'!F15+'P3 Energie'!F6*$H$7</f>
        <v>19297.4099280762</v>
      </c>
      <c r="J942" s="50" t="n">
        <f aca="false">I942*H942</f>
        <v>250062.270317987</v>
      </c>
    </row>
    <row r="943" customFormat="false" ht="15" hidden="false" customHeight="false" outlineLevel="0" collapsed="false">
      <c r="A943" s="46" t="n">
        <v>935</v>
      </c>
      <c r="B943" s="47" t="n">
        <f aca="false">(A943-1)*$C$6</f>
        <v>1.68738591335994</v>
      </c>
      <c r="C943" s="48" t="n">
        <f aca="false">$C$7*B943</f>
        <v>12.9722222222222</v>
      </c>
      <c r="D943" s="49" t="n">
        <f aca="false">0.5*c_rho*'P3 Energie'!E8*'P3 Energie'!E7*(C943-c_Vv)^2+'P3 Energie'!E13+'P3 Energie'!E15+'P3 Energie'!E6*$C$7</f>
        <v>18478.4831458512</v>
      </c>
      <c r="E943" s="50" t="n">
        <f aca="false">D943*C943</f>
        <v>239706.98969757</v>
      </c>
      <c r="F943" s="46" t="n">
        <v>935</v>
      </c>
      <c r="G943" s="47" t="n">
        <f aca="false">(F943-1)*$H$6</f>
        <v>1.68618085932099</v>
      </c>
      <c r="H943" s="48" t="n">
        <f aca="false">$H$7*G943</f>
        <v>12.9722222222222</v>
      </c>
      <c r="I943" s="49" t="n">
        <f aca="false">0.5*c_rho*'P3 Energie'!F8*'P3 Energie'!F7*(H943-c_Vv)^2+'P3 Energie'!F13+'P3 Energie'!F15+'P3 Energie'!F6*$H$7</f>
        <v>19297.5349137861</v>
      </c>
      <c r="J943" s="50" t="n">
        <f aca="false">I943*H943</f>
        <v>250331.911242725</v>
      </c>
    </row>
    <row r="944" customFormat="false" ht="15" hidden="false" customHeight="false" outlineLevel="0" collapsed="false">
      <c r="A944" s="46" t="n">
        <v>936</v>
      </c>
      <c r="B944" s="47" t="n">
        <f aca="false">(A944-1)*$C$6</f>
        <v>1.68919253639352</v>
      </c>
      <c r="C944" s="48" t="n">
        <f aca="false">$C$7*B944</f>
        <v>12.9861111111111</v>
      </c>
      <c r="D944" s="49" t="n">
        <f aca="false">0.5*c_rho*'P3 Energie'!E8*'P3 Energie'!E7*(C944-c_Vv)^2+'P3 Energie'!E13+'P3 Energie'!E15+'P3 Energie'!E6*$C$7</f>
        <v>18478.6271564589</v>
      </c>
      <c r="E944" s="50" t="n">
        <f aca="false">D944*C944</f>
        <v>239965.50543457</v>
      </c>
      <c r="F944" s="46" t="n">
        <v>936</v>
      </c>
      <c r="G944" s="47" t="n">
        <f aca="false">(F944-1)*$H$6</f>
        <v>1.68798619214682</v>
      </c>
      <c r="H944" s="48" t="n">
        <f aca="false">$H$7*G944</f>
        <v>12.9861111111111</v>
      </c>
      <c r="I944" s="49" t="n">
        <f aca="false">0.5*c_rho*'P3 Energie'!F8*'P3 Energie'!F7*(H944-c_Vv)^2+'P3 Energie'!F13+'P3 Energie'!F15+'P3 Energie'!F6*$H$7</f>
        <v>19297.6600333854</v>
      </c>
      <c r="J944" s="50" t="n">
        <f aca="false">I944*H944</f>
        <v>250601.557377991</v>
      </c>
    </row>
    <row r="945" customFormat="false" ht="15" hidden="false" customHeight="false" outlineLevel="0" collapsed="false">
      <c r="A945" s="46" t="n">
        <v>937</v>
      </c>
      <c r="B945" s="47" t="n">
        <f aca="false">(A945-1)*$C$6</f>
        <v>1.69099915942709</v>
      </c>
      <c r="C945" s="48" t="n">
        <f aca="false">$C$7*B945</f>
        <v>13</v>
      </c>
      <c r="D945" s="49" t="n">
        <f aca="false">0.5*c_rho*'P3 Energie'!E8*'P3 Energie'!E7*(C945-c_Vv)^2+'P3 Energie'!E13+'P3 Energie'!E15+'P3 Energie'!E6*$C$7</f>
        <v>18478.771321171</v>
      </c>
      <c r="E945" s="50" t="n">
        <f aca="false">D945*C945</f>
        <v>240224.027175223</v>
      </c>
      <c r="F945" s="46" t="n">
        <v>937</v>
      </c>
      <c r="G945" s="47" t="n">
        <f aca="false">(F945-1)*$H$6</f>
        <v>1.68979152497265</v>
      </c>
      <c r="H945" s="48" t="n">
        <f aca="false">$H$7*G945</f>
        <v>13</v>
      </c>
      <c r="I945" s="49" t="n">
        <f aca="false">0.5*c_rho*'P3 Energie'!F8*'P3 Energie'!F7*(H945-c_Vv)^2+'P3 Energie'!F13+'P3 Energie'!F15+'P3 Energie'!F6*$H$7</f>
        <v>19297.7852868741</v>
      </c>
      <c r="J945" s="50" t="n">
        <f aca="false">I945*H945</f>
        <v>250871.208729363</v>
      </c>
    </row>
    <row r="946" customFormat="false" ht="15" hidden="false" customHeight="false" outlineLevel="0" collapsed="false">
      <c r="A946" s="46" t="n">
        <v>938</v>
      </c>
      <c r="B946" s="47" t="n">
        <f aca="false">(A946-1)*$C$6</f>
        <v>1.69280578246067</v>
      </c>
      <c r="C946" s="48" t="n">
        <f aca="false">$C$7*B946</f>
        <v>13.0138888888889</v>
      </c>
      <c r="D946" s="49" t="n">
        <f aca="false">0.5*c_rho*'P3 Energie'!E8*'P3 Energie'!E7*(C946-c_Vv)^2+'P3 Energie'!E13+'P3 Energie'!E15+'P3 Energie'!E6*$C$7</f>
        <v>18478.9156399875</v>
      </c>
      <c r="E946" s="50" t="n">
        <f aca="false">D946*C946</f>
        <v>240482.554925949</v>
      </c>
      <c r="F946" s="46" t="n">
        <v>938</v>
      </c>
      <c r="G946" s="47" t="n">
        <f aca="false">(F946-1)*$H$6</f>
        <v>1.69159685779847</v>
      </c>
      <c r="H946" s="48" t="n">
        <f aca="false">$H$7*G946</f>
        <v>13.0138888888889</v>
      </c>
      <c r="I946" s="49" t="n">
        <f aca="false">0.5*c_rho*'P3 Energie'!F8*'P3 Energie'!F7*(H946-c_Vv)^2+'P3 Energie'!F13+'P3 Energie'!F15+'P3 Energie'!F6*$H$7</f>
        <v>19297.9106742521</v>
      </c>
      <c r="J946" s="50" t="n">
        <f aca="false">I946*H946</f>
        <v>251140.86530242</v>
      </c>
    </row>
    <row r="947" customFormat="false" ht="15" hidden="false" customHeight="false" outlineLevel="0" collapsed="false">
      <c r="A947" s="46" t="n">
        <v>939</v>
      </c>
      <c r="B947" s="47" t="n">
        <f aca="false">(A947-1)*$C$6</f>
        <v>1.69461240549424</v>
      </c>
      <c r="C947" s="48" t="n">
        <f aca="false">$C$7*B947</f>
        <v>13.0277777777778</v>
      </c>
      <c r="D947" s="49" t="n">
        <f aca="false">0.5*c_rho*'P3 Energie'!E8*'P3 Energie'!E7*(C947-c_Vv)^2+'P3 Energie'!E13+'P3 Energie'!E15+'P3 Energie'!E6*$C$7</f>
        <v>18479.0601129085</v>
      </c>
      <c r="E947" s="50" t="n">
        <f aca="false">D947*C947</f>
        <v>240741.08869317</v>
      </c>
      <c r="F947" s="46" t="n">
        <v>939</v>
      </c>
      <c r="G947" s="47" t="n">
        <f aca="false">(F947-1)*$H$6</f>
        <v>1.6934021906243</v>
      </c>
      <c r="H947" s="48" t="n">
        <f aca="false">$H$7*G947</f>
        <v>13.0277777777778</v>
      </c>
      <c r="I947" s="49" t="n">
        <f aca="false">0.5*c_rho*'P3 Energie'!F8*'P3 Energie'!F7*(H947-c_Vv)^2+'P3 Energie'!F13+'P3 Energie'!F15+'P3 Energie'!F6*$H$7</f>
        <v>19298.0361955194</v>
      </c>
      <c r="J947" s="50" t="n">
        <f aca="false">I947*H947</f>
        <v>251410.527102739</v>
      </c>
    </row>
    <row r="948" customFormat="false" ht="15" hidden="false" customHeight="false" outlineLevel="0" collapsed="false">
      <c r="A948" s="46" t="n">
        <v>940</v>
      </c>
      <c r="B948" s="47" t="n">
        <f aca="false">(A948-1)*$C$6</f>
        <v>1.69641902852782</v>
      </c>
      <c r="C948" s="48" t="n">
        <f aca="false">$C$7*B948</f>
        <v>13.0416666666667</v>
      </c>
      <c r="D948" s="49" t="n">
        <f aca="false">0.5*c_rho*'P3 Energie'!E8*'P3 Energie'!E7*(C948-c_Vv)^2+'P3 Energie'!E13+'P3 Energie'!E15+'P3 Energie'!E6*$C$7</f>
        <v>18479.204739934</v>
      </c>
      <c r="E948" s="50" t="n">
        <f aca="false">D948*C948</f>
        <v>240999.628483306</v>
      </c>
      <c r="F948" s="46" t="n">
        <v>940</v>
      </c>
      <c r="G948" s="47" t="n">
        <f aca="false">(F948-1)*$H$6</f>
        <v>1.69520752345012</v>
      </c>
      <c r="H948" s="48" t="n">
        <f aca="false">$H$7*G948</f>
        <v>13.0416666666667</v>
      </c>
      <c r="I948" s="49" t="n">
        <f aca="false">0.5*c_rho*'P3 Energie'!F8*'P3 Energie'!F7*(H948-c_Vv)^2+'P3 Energie'!F13+'P3 Energie'!F15+'P3 Energie'!F6*$H$7</f>
        <v>19298.1618506762</v>
      </c>
      <c r="J948" s="50" t="n">
        <f aca="false">I948*H948</f>
        <v>251680.194135902</v>
      </c>
    </row>
    <row r="949" customFormat="false" ht="15" hidden="false" customHeight="false" outlineLevel="0" collapsed="false">
      <c r="A949" s="46" t="n">
        <v>941</v>
      </c>
      <c r="B949" s="47" t="n">
        <f aca="false">(A949-1)*$C$6</f>
        <v>1.6982256515614</v>
      </c>
      <c r="C949" s="48" t="n">
        <f aca="false">$C$7*B949</f>
        <v>13.0555555555556</v>
      </c>
      <c r="D949" s="49" t="n">
        <f aca="false">0.5*c_rho*'P3 Energie'!E8*'P3 Energie'!E7*(C949-c_Vv)^2+'P3 Energie'!E13+'P3 Energie'!E15+'P3 Energie'!E6*$C$7</f>
        <v>18479.3495210639</v>
      </c>
      <c r="E949" s="50" t="n">
        <f aca="false">D949*C949</f>
        <v>241258.174302779</v>
      </c>
      <c r="F949" s="46" t="n">
        <v>941</v>
      </c>
      <c r="G949" s="47" t="n">
        <f aca="false">(F949-1)*$H$6</f>
        <v>1.69701285627595</v>
      </c>
      <c r="H949" s="48" t="n">
        <f aca="false">$H$7*G949</f>
        <v>13.0555555555556</v>
      </c>
      <c r="I949" s="49" t="n">
        <f aca="false">0.5*c_rho*'P3 Energie'!F8*'P3 Energie'!F7*(H949-c_Vv)^2+'P3 Energie'!F13+'P3 Energie'!F15+'P3 Energie'!F6*$H$7</f>
        <v>19298.2876397222</v>
      </c>
      <c r="J949" s="50" t="n">
        <f aca="false">I949*H949</f>
        <v>251949.866407485</v>
      </c>
    </row>
    <row r="950" customFormat="false" ht="15" hidden="false" customHeight="false" outlineLevel="0" collapsed="false">
      <c r="A950" s="46" t="n">
        <v>942</v>
      </c>
      <c r="B950" s="47" t="n">
        <f aca="false">(A950-1)*$C$6</f>
        <v>1.70003227459497</v>
      </c>
      <c r="C950" s="48" t="n">
        <f aca="false">$C$7*B950</f>
        <v>13.0694444444444</v>
      </c>
      <c r="D950" s="49" t="n">
        <f aca="false">0.5*c_rho*'P3 Energie'!E8*'P3 Energie'!E7*(C950-c_Vv)^2+'P3 Energie'!E13+'P3 Energie'!E15+'P3 Energie'!E6*$C$7</f>
        <v>18479.4944562983</v>
      </c>
      <c r="E950" s="50" t="n">
        <f aca="false">D950*C950</f>
        <v>241516.726158009</v>
      </c>
      <c r="F950" s="46" t="n">
        <v>942</v>
      </c>
      <c r="G950" s="47" t="n">
        <f aca="false">(F950-1)*$H$6</f>
        <v>1.69881818910177</v>
      </c>
      <c r="H950" s="48" t="n">
        <f aca="false">$H$7*G950</f>
        <v>13.0694444444444</v>
      </c>
      <c r="I950" s="49" t="n">
        <f aca="false">0.5*c_rho*'P3 Energie'!F8*'P3 Energie'!F7*(H950-c_Vv)^2+'P3 Energie'!F13+'P3 Energie'!F15+'P3 Energie'!F6*$H$7</f>
        <v>19298.4135626576</v>
      </c>
      <c r="J950" s="50" t="n">
        <f aca="false">I950*H950</f>
        <v>252219.543923067</v>
      </c>
    </row>
    <row r="951" customFormat="false" ht="15" hidden="false" customHeight="false" outlineLevel="0" collapsed="false">
      <c r="A951" s="46" t="n">
        <v>943</v>
      </c>
      <c r="B951" s="47" t="n">
        <f aca="false">(A951-1)*$C$6</f>
        <v>1.70183889762855</v>
      </c>
      <c r="C951" s="48" t="n">
        <f aca="false">$C$7*B951</f>
        <v>13.0833333333333</v>
      </c>
      <c r="D951" s="49" t="n">
        <f aca="false">0.5*c_rho*'P3 Energie'!E8*'P3 Energie'!E7*(C951-c_Vv)^2+'P3 Energie'!E13+'P3 Energie'!E15+'P3 Energie'!E6*$C$7</f>
        <v>18479.6395456371</v>
      </c>
      <c r="E951" s="50" t="n">
        <f aca="false">D951*C951</f>
        <v>241775.284055418</v>
      </c>
      <c r="F951" s="46" t="n">
        <v>943</v>
      </c>
      <c r="G951" s="47" t="n">
        <f aca="false">(F951-1)*$H$6</f>
        <v>1.7006235219276</v>
      </c>
      <c r="H951" s="48" t="n">
        <f aca="false">$H$7*G951</f>
        <v>13.0833333333333</v>
      </c>
      <c r="I951" s="49" t="n">
        <f aca="false">0.5*c_rho*'P3 Energie'!F8*'P3 Energie'!F7*(H951-c_Vv)^2+'P3 Energie'!F13+'P3 Energie'!F15+'P3 Energie'!F6*$H$7</f>
        <v>19298.5396194824</v>
      </c>
      <c r="J951" s="50" t="n">
        <f aca="false">I951*H951</f>
        <v>252489.226688228</v>
      </c>
    </row>
    <row r="952" customFormat="false" ht="15" hidden="false" customHeight="false" outlineLevel="0" collapsed="false">
      <c r="A952" s="46" t="n">
        <v>944</v>
      </c>
      <c r="B952" s="47" t="n">
        <f aca="false">(A952-1)*$C$6</f>
        <v>1.70364552066212</v>
      </c>
      <c r="C952" s="48" t="n">
        <f aca="false">$C$7*B952</f>
        <v>13.0972222222222</v>
      </c>
      <c r="D952" s="49" t="n">
        <f aca="false">0.5*c_rho*'P3 Energie'!E8*'P3 Energie'!E7*(C952-c_Vv)^2+'P3 Energie'!E13+'P3 Energie'!E15+'P3 Energie'!E6*$C$7</f>
        <v>18479.7847890803</v>
      </c>
      <c r="E952" s="50" t="n">
        <f aca="false">D952*C952</f>
        <v>242033.848001427</v>
      </c>
      <c r="F952" s="46" t="n">
        <v>944</v>
      </c>
      <c r="G952" s="47" t="n">
        <f aca="false">(F952-1)*$H$6</f>
        <v>1.70242885475342</v>
      </c>
      <c r="H952" s="48" t="n">
        <f aca="false">$H$7*G952</f>
        <v>13.0972222222222</v>
      </c>
      <c r="I952" s="49" t="n">
        <f aca="false">0.5*c_rho*'P3 Energie'!F8*'P3 Energie'!F7*(H952-c_Vv)^2+'P3 Energie'!F13+'P3 Energie'!F15+'P3 Energie'!F6*$H$7</f>
        <v>19298.6658101965</v>
      </c>
      <c r="J952" s="50" t="n">
        <f aca="false">I952*H952</f>
        <v>252758.914708546</v>
      </c>
    </row>
    <row r="953" customFormat="false" ht="15" hidden="false" customHeight="false" outlineLevel="0" collapsed="false">
      <c r="A953" s="46" t="n">
        <v>945</v>
      </c>
      <c r="B953" s="47" t="n">
        <f aca="false">(A953-1)*$C$6</f>
        <v>1.7054521436957</v>
      </c>
      <c r="C953" s="48" t="n">
        <f aca="false">$C$7*B953</f>
        <v>13.1111111111111</v>
      </c>
      <c r="D953" s="49" t="n">
        <f aca="false">0.5*c_rho*'P3 Energie'!E8*'P3 Energie'!E7*(C953-c_Vv)^2+'P3 Energie'!E13+'P3 Energie'!E15+'P3 Energie'!E6*$C$7</f>
        <v>18479.930186628</v>
      </c>
      <c r="E953" s="50" t="n">
        <f aca="false">D953*C953</f>
        <v>242292.418002456</v>
      </c>
      <c r="F953" s="46" t="n">
        <v>945</v>
      </c>
      <c r="G953" s="47" t="n">
        <f aca="false">(F953-1)*$H$6</f>
        <v>1.70423418757925</v>
      </c>
      <c r="H953" s="48" t="n">
        <f aca="false">$H$7*G953</f>
        <v>13.1111111111111</v>
      </c>
      <c r="I953" s="49" t="n">
        <f aca="false">0.5*c_rho*'P3 Energie'!F8*'P3 Energie'!F7*(H953-c_Vv)^2+'P3 Energie'!F13+'P3 Energie'!F15+'P3 Energie'!F6*$H$7</f>
        <v>19298.7921348</v>
      </c>
      <c r="J953" s="50" t="n">
        <f aca="false">I953*H953</f>
        <v>253028.6079896</v>
      </c>
    </row>
    <row r="954" customFormat="false" ht="15" hidden="false" customHeight="false" outlineLevel="0" collapsed="false">
      <c r="A954" s="46" t="n">
        <v>946</v>
      </c>
      <c r="B954" s="47" t="n">
        <f aca="false">(A954-1)*$C$6</f>
        <v>1.70725876672928</v>
      </c>
      <c r="C954" s="48" t="n">
        <f aca="false">$C$7*B954</f>
        <v>13.125</v>
      </c>
      <c r="D954" s="49" t="n">
        <f aca="false">0.5*c_rho*'P3 Energie'!E8*'P3 Energie'!E7*(C954-c_Vv)^2+'P3 Energie'!E13+'P3 Energie'!E15+'P3 Energie'!E6*$C$7</f>
        <v>18480.0757382802</v>
      </c>
      <c r="E954" s="50" t="n">
        <f aca="false">D954*C954</f>
        <v>242550.994064927</v>
      </c>
      <c r="F954" s="46" t="n">
        <v>946</v>
      </c>
      <c r="G954" s="47" t="n">
        <f aca="false">(F954-1)*$H$6</f>
        <v>1.70603952040507</v>
      </c>
      <c r="H954" s="48" t="n">
        <f aca="false">$H$7*G954</f>
        <v>13.125</v>
      </c>
      <c r="I954" s="49" t="n">
        <f aca="false">0.5*c_rho*'P3 Energie'!F8*'P3 Energie'!F7*(H954-c_Vv)^2+'P3 Energie'!F13+'P3 Energie'!F15+'P3 Energie'!F6*$H$7</f>
        <v>19298.9185932928</v>
      </c>
      <c r="J954" s="50" t="n">
        <f aca="false">I954*H954</f>
        <v>253298.306536968</v>
      </c>
    </row>
    <row r="955" customFormat="false" ht="15" hidden="false" customHeight="false" outlineLevel="0" collapsed="false">
      <c r="A955" s="46" t="n">
        <v>947</v>
      </c>
      <c r="B955" s="47" t="n">
        <f aca="false">(A955-1)*$C$6</f>
        <v>1.70906538976285</v>
      </c>
      <c r="C955" s="48" t="n">
        <f aca="false">$C$7*B955</f>
        <v>13.1388888888889</v>
      </c>
      <c r="D955" s="49" t="n">
        <f aca="false">0.5*c_rho*'P3 Energie'!E8*'P3 Energie'!E7*(C955-c_Vv)^2+'P3 Energie'!E13+'P3 Energie'!E15+'P3 Energie'!E6*$C$7</f>
        <v>18480.2214440368</v>
      </c>
      <c r="E955" s="50" t="n">
        <f aca="false">D955*C955</f>
        <v>242809.576195261</v>
      </c>
      <c r="F955" s="46" t="n">
        <v>947</v>
      </c>
      <c r="G955" s="47" t="n">
        <f aca="false">(F955-1)*$H$6</f>
        <v>1.7078448532309</v>
      </c>
      <c r="H955" s="48" t="n">
        <f aca="false">$H$7*G955</f>
        <v>13.1388888888889</v>
      </c>
      <c r="I955" s="49" t="n">
        <f aca="false">0.5*c_rho*'P3 Energie'!F8*'P3 Energie'!F7*(H955-c_Vv)^2+'P3 Energie'!F13+'P3 Energie'!F15+'P3 Energie'!F6*$H$7</f>
        <v>19299.045185675</v>
      </c>
      <c r="J955" s="50" t="n">
        <f aca="false">I955*H955</f>
        <v>253568.01035623</v>
      </c>
    </row>
    <row r="956" customFormat="false" ht="15" hidden="false" customHeight="false" outlineLevel="0" collapsed="false">
      <c r="A956" s="46" t="n">
        <v>948</v>
      </c>
      <c r="B956" s="47" t="n">
        <f aca="false">(A956-1)*$C$6</f>
        <v>1.71087201279643</v>
      </c>
      <c r="C956" s="48" t="n">
        <f aca="false">$C$7*B956</f>
        <v>13.1527777777778</v>
      </c>
      <c r="D956" s="49" t="n">
        <f aca="false">0.5*c_rho*'P3 Energie'!E8*'P3 Energie'!E7*(C956-c_Vv)^2+'P3 Energie'!E13+'P3 Energie'!E15+'P3 Energie'!E6*$C$7</f>
        <v>18480.3673038978</v>
      </c>
      <c r="E956" s="50" t="n">
        <f aca="false">D956*C956</f>
        <v>243068.164399878</v>
      </c>
      <c r="F956" s="46" t="n">
        <v>948</v>
      </c>
      <c r="G956" s="47" t="n">
        <f aca="false">(F956-1)*$H$6</f>
        <v>1.70965018605673</v>
      </c>
      <c r="H956" s="48" t="n">
        <f aca="false">$H$7*G956</f>
        <v>13.1527777777778</v>
      </c>
      <c r="I956" s="49" t="n">
        <f aca="false">0.5*c_rho*'P3 Energie'!F8*'P3 Energie'!F7*(H956-c_Vv)^2+'P3 Energie'!F13+'P3 Energie'!F15+'P3 Energie'!F6*$H$7</f>
        <v>19299.1719119465</v>
      </c>
      <c r="J956" s="50" t="n">
        <f aca="false">I956*H956</f>
        <v>253837.719452963</v>
      </c>
    </row>
    <row r="957" customFormat="false" ht="15" hidden="false" customHeight="false" outlineLevel="0" collapsed="false">
      <c r="A957" s="46" t="n">
        <v>949</v>
      </c>
      <c r="B957" s="47" t="n">
        <f aca="false">(A957-1)*$C$6</f>
        <v>1.71267863583</v>
      </c>
      <c r="C957" s="48" t="n">
        <f aca="false">$C$7*B957</f>
        <v>13.1666666666667</v>
      </c>
      <c r="D957" s="49" t="n">
        <f aca="false">0.5*c_rho*'P3 Energie'!E8*'P3 Energie'!E7*(C957-c_Vv)^2+'P3 Energie'!E13+'P3 Energie'!E15+'P3 Energie'!E6*$C$7</f>
        <v>18480.5133178633</v>
      </c>
      <c r="E957" s="50" t="n">
        <f aca="false">D957*C957</f>
        <v>243326.7586852</v>
      </c>
      <c r="F957" s="46" t="n">
        <v>949</v>
      </c>
      <c r="G957" s="47" t="n">
        <f aca="false">(F957-1)*$H$6</f>
        <v>1.71145551888255</v>
      </c>
      <c r="H957" s="48" t="n">
        <f aca="false">$H$7*G957</f>
        <v>13.1666666666667</v>
      </c>
      <c r="I957" s="49" t="n">
        <f aca="false">0.5*c_rho*'P3 Energie'!F8*'P3 Energie'!F7*(H957-c_Vv)^2+'P3 Energie'!F13+'P3 Energie'!F15+'P3 Energie'!F6*$H$7</f>
        <v>19299.2987721074</v>
      </c>
      <c r="J957" s="50" t="n">
        <f aca="false">I957*H957</f>
        <v>254107.433832748</v>
      </c>
    </row>
    <row r="958" customFormat="false" ht="15" hidden="false" customHeight="false" outlineLevel="0" collapsed="false">
      <c r="A958" s="46" t="n">
        <v>950</v>
      </c>
      <c r="B958" s="47" t="n">
        <f aca="false">(A958-1)*$C$6</f>
        <v>1.71448525886358</v>
      </c>
      <c r="C958" s="48" t="n">
        <f aca="false">$C$7*B958</f>
        <v>13.1805555555556</v>
      </c>
      <c r="D958" s="49" t="n">
        <f aca="false">0.5*c_rho*'P3 Energie'!E8*'P3 Energie'!E7*(C958-c_Vv)^2+'P3 Energie'!E13+'P3 Energie'!E15+'P3 Energie'!E6*$C$7</f>
        <v>18480.6594859332</v>
      </c>
      <c r="E958" s="50" t="n">
        <f aca="false">D958*C958</f>
        <v>243585.359057648</v>
      </c>
      <c r="F958" s="46" t="n">
        <v>950</v>
      </c>
      <c r="G958" s="47" t="n">
        <f aca="false">(F958-1)*$H$6</f>
        <v>1.71326085170838</v>
      </c>
      <c r="H958" s="48" t="n">
        <f aca="false">$H$7*G958</f>
        <v>13.1805555555556</v>
      </c>
      <c r="I958" s="49" t="n">
        <f aca="false">0.5*c_rho*'P3 Energie'!F8*'P3 Energie'!F7*(H958-c_Vv)^2+'P3 Energie'!F13+'P3 Energie'!F15+'P3 Energie'!F6*$H$7</f>
        <v>19299.4257661576</v>
      </c>
      <c r="J958" s="50" t="n">
        <f aca="false">I958*H958</f>
        <v>254377.153501161</v>
      </c>
    </row>
    <row r="959" customFormat="false" ht="15" hidden="false" customHeight="false" outlineLevel="0" collapsed="false">
      <c r="A959" s="46" t="n">
        <v>951</v>
      </c>
      <c r="B959" s="47" t="n">
        <f aca="false">(A959-1)*$C$6</f>
        <v>1.71629188189716</v>
      </c>
      <c r="C959" s="48" t="n">
        <f aca="false">$C$7*B959</f>
        <v>13.1944444444444</v>
      </c>
      <c r="D959" s="49" t="n">
        <f aca="false">0.5*c_rho*'P3 Energie'!E8*'P3 Energie'!E7*(C959-c_Vv)^2+'P3 Energie'!E13+'P3 Energie'!E15+'P3 Energie'!E6*$C$7</f>
        <v>18480.8058081076</v>
      </c>
      <c r="E959" s="50" t="n">
        <f aca="false">D959*C959</f>
        <v>243843.965523643</v>
      </c>
      <c r="F959" s="46" t="n">
        <v>951</v>
      </c>
      <c r="G959" s="47" t="n">
        <f aca="false">(F959-1)*$H$6</f>
        <v>1.7150661845342</v>
      </c>
      <c r="H959" s="48" t="n">
        <f aca="false">$H$7*G959</f>
        <v>13.1944444444444</v>
      </c>
      <c r="I959" s="49" t="n">
        <f aca="false">0.5*c_rho*'P3 Energie'!F8*'P3 Energie'!F7*(H959-c_Vv)^2+'P3 Energie'!F13+'P3 Energie'!F15+'P3 Energie'!F6*$H$7</f>
        <v>19299.5528940972</v>
      </c>
      <c r="J959" s="50" t="n">
        <f aca="false">I959*H959</f>
        <v>254646.878463783</v>
      </c>
    </row>
    <row r="960" customFormat="false" ht="15" hidden="false" customHeight="false" outlineLevel="0" collapsed="false">
      <c r="A960" s="46" t="n">
        <v>952</v>
      </c>
      <c r="B960" s="47" t="n">
        <f aca="false">(A960-1)*$C$6</f>
        <v>1.71809850493073</v>
      </c>
      <c r="C960" s="48" t="n">
        <f aca="false">$C$7*B960</f>
        <v>13.2083333333333</v>
      </c>
      <c r="D960" s="49" t="n">
        <f aca="false">0.5*c_rho*'P3 Energie'!E8*'P3 Energie'!E7*(C960-c_Vv)^2+'P3 Energie'!E13+'P3 Energie'!E15+'P3 Energie'!E6*$C$7</f>
        <v>18480.9522843865</v>
      </c>
      <c r="E960" s="50" t="n">
        <f aca="false">D960*C960</f>
        <v>244102.578089605</v>
      </c>
      <c r="F960" s="46" t="n">
        <v>952</v>
      </c>
      <c r="G960" s="47" t="n">
        <f aca="false">(F960-1)*$H$6</f>
        <v>1.71687151736003</v>
      </c>
      <c r="H960" s="48" t="n">
        <f aca="false">$H$7*G960</f>
        <v>13.2083333333333</v>
      </c>
      <c r="I960" s="49" t="n">
        <f aca="false">0.5*c_rho*'P3 Energie'!F8*'P3 Energie'!F7*(H960-c_Vv)^2+'P3 Energie'!F13+'P3 Energie'!F15+'P3 Energie'!F6*$H$7</f>
        <v>19299.6801559262</v>
      </c>
      <c r="J960" s="50" t="n">
        <f aca="false">I960*H960</f>
        <v>254916.608726191</v>
      </c>
    </row>
    <row r="961" customFormat="false" ht="15" hidden="false" customHeight="false" outlineLevel="0" collapsed="false">
      <c r="A961" s="46" t="n">
        <v>953</v>
      </c>
      <c r="B961" s="47" t="n">
        <f aca="false">(A961-1)*$C$6</f>
        <v>1.71990512796431</v>
      </c>
      <c r="C961" s="48" t="n">
        <f aca="false">$C$7*B961</f>
        <v>13.2222222222222</v>
      </c>
      <c r="D961" s="49" t="n">
        <f aca="false">0.5*c_rho*'P3 Energie'!E8*'P3 Energie'!E7*(C961-c_Vv)^2+'P3 Energie'!E13+'P3 Energie'!E15+'P3 Energie'!E6*$C$7</f>
        <v>18481.0989147698</v>
      </c>
      <c r="E961" s="50" t="n">
        <f aca="false">D961*C961</f>
        <v>244361.196761956</v>
      </c>
      <c r="F961" s="46" t="n">
        <v>953</v>
      </c>
      <c r="G961" s="47" t="n">
        <f aca="false">(F961-1)*$H$6</f>
        <v>1.71867685018585</v>
      </c>
      <c r="H961" s="48" t="n">
        <f aca="false">$H$7*G961</f>
        <v>13.2222222222222</v>
      </c>
      <c r="I961" s="49" t="n">
        <f aca="false">0.5*c_rho*'P3 Energie'!F8*'P3 Energie'!F7*(H961-c_Vv)^2+'P3 Energie'!F13+'P3 Energie'!F15+'P3 Energie'!F6*$H$7</f>
        <v>19299.8075516444</v>
      </c>
      <c r="J961" s="50" t="n">
        <f aca="false">I961*H961</f>
        <v>255186.344293966</v>
      </c>
    </row>
    <row r="962" customFormat="false" ht="15" hidden="false" customHeight="false" outlineLevel="0" collapsed="false">
      <c r="A962" s="46" t="n">
        <v>954</v>
      </c>
      <c r="B962" s="47" t="n">
        <f aca="false">(A962-1)*$C$6</f>
        <v>1.72171175099788</v>
      </c>
      <c r="C962" s="48" t="n">
        <f aca="false">$C$7*B962</f>
        <v>13.2361111111111</v>
      </c>
      <c r="D962" s="49" t="n">
        <f aca="false">0.5*c_rho*'P3 Energie'!E8*'P3 Energie'!E7*(C962-c_Vv)^2+'P3 Energie'!E13+'P3 Energie'!E15+'P3 Energie'!E6*$C$7</f>
        <v>18481.2456992575</v>
      </c>
      <c r="E962" s="50" t="n">
        <f aca="false">D962*C962</f>
        <v>244619.821547117</v>
      </c>
      <c r="F962" s="46" t="n">
        <v>954</v>
      </c>
      <c r="G962" s="47" t="n">
        <f aca="false">(F962-1)*$H$6</f>
        <v>1.72048218301168</v>
      </c>
      <c r="H962" s="48" t="n">
        <f aca="false">$H$7*G962</f>
        <v>13.2361111111111</v>
      </c>
      <c r="I962" s="49" t="n">
        <f aca="false">0.5*c_rho*'P3 Energie'!F8*'P3 Energie'!F7*(H962-c_Vv)^2+'P3 Energie'!F13+'P3 Energie'!F15+'P3 Energie'!F6*$H$7</f>
        <v>19299.9350812521</v>
      </c>
      <c r="J962" s="50" t="n">
        <f aca="false">I962*H962</f>
        <v>255456.085172684</v>
      </c>
    </row>
    <row r="963" customFormat="false" ht="15" hidden="false" customHeight="false" outlineLevel="0" collapsed="false">
      <c r="A963" s="46" t="n">
        <v>955</v>
      </c>
      <c r="B963" s="47" t="n">
        <f aca="false">(A963-1)*$C$6</f>
        <v>1.72351837403146</v>
      </c>
      <c r="C963" s="48" t="n">
        <f aca="false">$C$7*B963</f>
        <v>13.25</v>
      </c>
      <c r="D963" s="49" t="n">
        <f aca="false">0.5*c_rho*'P3 Energie'!E8*'P3 Energie'!E7*(C963-c_Vv)^2+'P3 Energie'!E13+'P3 Energie'!E15+'P3 Energie'!E6*$C$7</f>
        <v>18481.3926378497</v>
      </c>
      <c r="E963" s="50" t="n">
        <f aca="false">D963*C963</f>
        <v>244878.452451509</v>
      </c>
      <c r="F963" s="46" t="n">
        <v>955</v>
      </c>
      <c r="G963" s="47" t="n">
        <f aca="false">(F963-1)*$H$6</f>
        <v>1.7222875158375</v>
      </c>
      <c r="H963" s="48" t="n">
        <f aca="false">$H$7*G963</f>
        <v>13.25</v>
      </c>
      <c r="I963" s="49" t="n">
        <f aca="false">0.5*c_rho*'P3 Energie'!F8*'P3 Energie'!F7*(H963-c_Vv)^2+'P3 Energie'!F13+'P3 Energie'!F15+'P3 Energie'!F6*$H$7</f>
        <v>19300.0627447491</v>
      </c>
      <c r="J963" s="50" t="n">
        <f aca="false">I963*H963</f>
        <v>255725.831367925</v>
      </c>
    </row>
    <row r="964" customFormat="false" ht="15" hidden="false" customHeight="false" outlineLevel="0" collapsed="false">
      <c r="A964" s="46" t="n">
        <v>956</v>
      </c>
      <c r="B964" s="47" t="n">
        <f aca="false">(A964-1)*$C$6</f>
        <v>1.72532499706504</v>
      </c>
      <c r="C964" s="48" t="n">
        <f aca="false">$C$7*B964</f>
        <v>13.2638888888889</v>
      </c>
      <c r="D964" s="49" t="n">
        <f aca="false">0.5*c_rho*'P3 Energie'!E8*'P3 Energie'!E7*(C964-c_Vv)^2+'P3 Energie'!E13+'P3 Energie'!E15+'P3 Energie'!E6*$C$7</f>
        <v>18481.5397305464</v>
      </c>
      <c r="E964" s="50" t="n">
        <f aca="false">D964*C964</f>
        <v>245137.089481552</v>
      </c>
      <c r="F964" s="46" t="n">
        <v>956</v>
      </c>
      <c r="G964" s="47" t="n">
        <f aca="false">(F964-1)*$H$6</f>
        <v>1.72409284866333</v>
      </c>
      <c r="H964" s="48" t="n">
        <f aca="false">$H$7*G964</f>
        <v>13.2638888888889</v>
      </c>
      <c r="I964" s="49" t="n">
        <f aca="false">0.5*c_rho*'P3 Energie'!F8*'P3 Energie'!F7*(H964-c_Vv)^2+'P3 Energie'!F13+'P3 Energie'!F15+'P3 Energie'!F6*$H$7</f>
        <v>19300.1905421354</v>
      </c>
      <c r="J964" s="50" t="n">
        <f aca="false">I964*H964</f>
        <v>255995.582885268</v>
      </c>
    </row>
    <row r="965" customFormat="false" ht="15" hidden="false" customHeight="false" outlineLevel="0" collapsed="false">
      <c r="A965" s="46" t="n">
        <v>957</v>
      </c>
      <c r="B965" s="47" t="n">
        <f aca="false">(A965-1)*$C$6</f>
        <v>1.72713162009861</v>
      </c>
      <c r="C965" s="48" t="n">
        <f aca="false">$C$7*B965</f>
        <v>13.2777777777778</v>
      </c>
      <c r="D965" s="49" t="n">
        <f aca="false">0.5*c_rho*'P3 Energie'!E8*'P3 Energie'!E7*(C965-c_Vv)^2+'P3 Energie'!E13+'P3 Energie'!E15+'P3 Energie'!E6*$C$7</f>
        <v>18481.6869773475</v>
      </c>
      <c r="E965" s="50" t="n">
        <f aca="false">D965*C965</f>
        <v>245395.732643669</v>
      </c>
      <c r="F965" s="46" t="n">
        <v>957</v>
      </c>
      <c r="G965" s="47" t="n">
        <f aca="false">(F965-1)*$H$6</f>
        <v>1.72589818148915</v>
      </c>
      <c r="H965" s="48" t="n">
        <f aca="false">$H$7*G965</f>
        <v>13.2777777777778</v>
      </c>
      <c r="I965" s="49" t="n">
        <f aca="false">0.5*c_rho*'P3 Energie'!F8*'P3 Energie'!F7*(H965-c_Vv)^2+'P3 Energie'!F13+'P3 Energie'!F15+'P3 Energie'!F6*$H$7</f>
        <v>19300.3184734111</v>
      </c>
      <c r="J965" s="50" t="n">
        <f aca="false">I965*H965</f>
        <v>256265.339730292</v>
      </c>
    </row>
    <row r="966" customFormat="false" ht="15" hidden="false" customHeight="false" outlineLevel="0" collapsed="false">
      <c r="A966" s="46" t="n">
        <v>958</v>
      </c>
      <c r="B966" s="47" t="n">
        <f aca="false">(A966-1)*$C$6</f>
        <v>1.72893824313219</v>
      </c>
      <c r="C966" s="48" t="n">
        <f aca="false">$C$7*B966</f>
        <v>13.2916666666667</v>
      </c>
      <c r="D966" s="49" t="n">
        <f aca="false">0.5*c_rho*'P3 Energie'!E8*'P3 Energie'!E7*(C966-c_Vv)^2+'P3 Energie'!E13+'P3 Energie'!E15+'P3 Energie'!E6*$C$7</f>
        <v>18481.834378253</v>
      </c>
      <c r="E966" s="50" t="n">
        <f aca="false">D966*C966</f>
        <v>245654.381944279</v>
      </c>
      <c r="F966" s="46" t="n">
        <v>958</v>
      </c>
      <c r="G966" s="47" t="n">
        <f aca="false">(F966-1)*$H$6</f>
        <v>1.72770351431498</v>
      </c>
      <c r="H966" s="48" t="n">
        <f aca="false">$H$7*G966</f>
        <v>13.2916666666667</v>
      </c>
      <c r="I966" s="49" t="n">
        <f aca="false">0.5*c_rho*'P3 Energie'!F8*'P3 Energie'!F7*(H966-c_Vv)^2+'P3 Energie'!F13+'P3 Energie'!F15+'P3 Energie'!F6*$H$7</f>
        <v>19300.4465385762</v>
      </c>
      <c r="J966" s="50" t="n">
        <f aca="false">I966*H966</f>
        <v>256535.101908575</v>
      </c>
    </row>
    <row r="967" customFormat="false" ht="15" hidden="false" customHeight="false" outlineLevel="0" collapsed="false">
      <c r="A967" s="46" t="n">
        <v>959</v>
      </c>
      <c r="B967" s="47" t="n">
        <f aca="false">(A967-1)*$C$6</f>
        <v>1.73074486616576</v>
      </c>
      <c r="C967" s="48" t="n">
        <f aca="false">$C$7*B967</f>
        <v>13.3055555555556</v>
      </c>
      <c r="D967" s="49" t="n">
        <f aca="false">0.5*c_rho*'P3 Energie'!E8*'P3 Energie'!E7*(C967-c_Vv)^2+'P3 Energie'!E13+'P3 Energie'!E15+'P3 Energie'!E6*$C$7</f>
        <v>18481.981933263</v>
      </c>
      <c r="E967" s="50" t="n">
        <f aca="false">D967*C967</f>
        <v>245913.037389805</v>
      </c>
      <c r="F967" s="46" t="n">
        <v>959</v>
      </c>
      <c r="G967" s="47" t="n">
        <f aca="false">(F967-1)*$H$6</f>
        <v>1.72950884714081</v>
      </c>
      <c r="H967" s="48" t="n">
        <f aca="false">$H$7*G967</f>
        <v>13.3055555555556</v>
      </c>
      <c r="I967" s="49" t="n">
        <f aca="false">0.5*c_rho*'P3 Energie'!F8*'P3 Energie'!F7*(H967-c_Vv)^2+'P3 Energie'!F13+'P3 Energie'!F15+'P3 Energie'!F6*$H$7</f>
        <v>19300.5747376306</v>
      </c>
      <c r="J967" s="50" t="n">
        <f aca="false">I967*H967</f>
        <v>256804.869425696</v>
      </c>
    </row>
    <row r="968" customFormat="false" ht="15" hidden="false" customHeight="false" outlineLevel="0" collapsed="false">
      <c r="A968" s="46" t="n">
        <v>960</v>
      </c>
      <c r="B968" s="47" t="n">
        <f aca="false">(A968-1)*$C$6</f>
        <v>1.73255148919934</v>
      </c>
      <c r="C968" s="48" t="n">
        <f aca="false">$C$7*B968</f>
        <v>13.3194444444444</v>
      </c>
      <c r="D968" s="49" t="n">
        <f aca="false">0.5*c_rho*'P3 Energie'!E8*'P3 Energie'!E7*(C968-c_Vv)^2+'P3 Energie'!E13+'P3 Energie'!E15+'P3 Energie'!E6*$C$7</f>
        <v>18482.1296423774</v>
      </c>
      <c r="E968" s="50" t="n">
        <f aca="false">D968*C968</f>
        <v>246171.698986666</v>
      </c>
      <c r="F968" s="46" t="n">
        <v>960</v>
      </c>
      <c r="G968" s="47" t="n">
        <f aca="false">(F968-1)*$H$6</f>
        <v>1.73131417996663</v>
      </c>
      <c r="H968" s="48" t="n">
        <f aca="false">$H$7*G968</f>
        <v>13.3194444444444</v>
      </c>
      <c r="I968" s="49" t="n">
        <f aca="false">0.5*c_rho*'P3 Energie'!F8*'P3 Energie'!F7*(H968-c_Vv)^2+'P3 Energie'!F13+'P3 Energie'!F15+'P3 Energie'!F6*$H$7</f>
        <v>19300.7030705743</v>
      </c>
      <c r="J968" s="50" t="n">
        <f aca="false">I968*H968</f>
        <v>257074.642287233</v>
      </c>
    </row>
    <row r="969" customFormat="false" ht="15" hidden="false" customHeight="false" outlineLevel="0" collapsed="false">
      <c r="A969" s="46" t="n">
        <v>961</v>
      </c>
      <c r="B969" s="47" t="n">
        <f aca="false">(A969-1)*$C$6</f>
        <v>1.73435811223292</v>
      </c>
      <c r="C969" s="48" t="n">
        <f aca="false">$C$7*B969</f>
        <v>13.3333333333333</v>
      </c>
      <c r="D969" s="49" t="n">
        <f aca="false">0.5*c_rho*'P3 Energie'!E8*'P3 Energie'!E7*(C969-c_Vv)^2+'P3 Energie'!E13+'P3 Energie'!E15+'P3 Energie'!E6*$C$7</f>
        <v>18482.2775055963</v>
      </c>
      <c r="E969" s="50" t="n">
        <f aca="false">D969*C969</f>
        <v>246430.366741284</v>
      </c>
      <c r="F969" s="46" t="n">
        <v>961</v>
      </c>
      <c r="G969" s="47" t="n">
        <f aca="false">(F969-1)*$H$6</f>
        <v>1.73311951279246</v>
      </c>
      <c r="H969" s="48" t="n">
        <f aca="false">$H$7*G969</f>
        <v>13.3333333333333</v>
      </c>
      <c r="I969" s="49" t="n">
        <f aca="false">0.5*c_rho*'P3 Energie'!F8*'P3 Energie'!F7*(H969-c_Vv)^2+'P3 Energie'!F13+'P3 Energie'!F15+'P3 Energie'!F6*$H$7</f>
        <v>19300.8315374074</v>
      </c>
      <c r="J969" s="50" t="n">
        <f aca="false">I969*H969</f>
        <v>257344.420498765</v>
      </c>
    </row>
    <row r="970" customFormat="false" ht="15" hidden="false" customHeight="false" outlineLevel="0" collapsed="false">
      <c r="A970" s="46" t="n">
        <v>962</v>
      </c>
      <c r="B970" s="47" t="n">
        <f aca="false">(A970-1)*$C$6</f>
        <v>1.73616473526649</v>
      </c>
      <c r="C970" s="48" t="n">
        <f aca="false">$C$7*B970</f>
        <v>13.3472222222222</v>
      </c>
      <c r="D970" s="49" t="n">
        <f aca="false">0.5*c_rho*'P3 Energie'!E8*'P3 Energie'!E7*(C970-c_Vv)^2+'P3 Energie'!E13+'P3 Energie'!E15+'P3 Energie'!E6*$C$7</f>
        <v>18482.4255229196</v>
      </c>
      <c r="E970" s="50" t="n">
        <f aca="false">D970*C970</f>
        <v>246689.04066008</v>
      </c>
      <c r="F970" s="46" t="n">
        <v>962</v>
      </c>
      <c r="G970" s="47" t="n">
        <f aca="false">(F970-1)*$H$6</f>
        <v>1.73492484561828</v>
      </c>
      <c r="H970" s="48" t="n">
        <f aca="false">$H$7*G970</f>
        <v>13.3472222222222</v>
      </c>
      <c r="I970" s="49" t="n">
        <f aca="false">0.5*c_rho*'P3 Energie'!F8*'P3 Energie'!F7*(H970-c_Vv)^2+'P3 Energie'!F13+'P3 Energie'!F15+'P3 Energie'!F6*$H$7</f>
        <v>19300.9601381299</v>
      </c>
      <c r="J970" s="50" t="n">
        <f aca="false">I970*H970</f>
        <v>257614.204065872</v>
      </c>
    </row>
    <row r="971" customFormat="false" ht="15" hidden="false" customHeight="false" outlineLevel="0" collapsed="false">
      <c r="A971" s="46" t="n">
        <v>963</v>
      </c>
      <c r="B971" s="47" t="n">
        <f aca="false">(A971-1)*$C$6</f>
        <v>1.73797135830007</v>
      </c>
      <c r="C971" s="48" t="n">
        <f aca="false">$C$7*B971</f>
        <v>13.3611111111111</v>
      </c>
      <c r="D971" s="49" t="n">
        <f aca="false">0.5*c_rho*'P3 Energie'!E8*'P3 Energie'!E7*(C971-c_Vv)^2+'P3 Energie'!E13+'P3 Energie'!E15+'P3 Energie'!E6*$C$7</f>
        <v>18482.5736943474</v>
      </c>
      <c r="E971" s="50" t="n">
        <f aca="false">D971*C971</f>
        <v>246947.720749475</v>
      </c>
      <c r="F971" s="46" t="n">
        <v>963</v>
      </c>
      <c r="G971" s="47" t="n">
        <f aca="false">(F971-1)*$H$6</f>
        <v>1.73673017844411</v>
      </c>
      <c r="H971" s="48" t="n">
        <f aca="false">$H$7*G971</f>
        <v>13.3611111111111</v>
      </c>
      <c r="I971" s="49" t="n">
        <f aca="false">0.5*c_rho*'P3 Energie'!F8*'P3 Energie'!F7*(H971-c_Vv)^2+'P3 Energie'!F13+'P3 Energie'!F15+'P3 Energie'!F6*$H$7</f>
        <v>19301.0888727417</v>
      </c>
      <c r="J971" s="50" t="n">
        <f aca="false">I971*H971</f>
        <v>257883.992994132</v>
      </c>
    </row>
    <row r="972" customFormat="false" ht="15" hidden="false" customHeight="false" outlineLevel="0" collapsed="false">
      <c r="A972" s="46" t="n">
        <v>964</v>
      </c>
      <c r="B972" s="47" t="n">
        <f aca="false">(A972-1)*$C$6</f>
        <v>1.73977798133364</v>
      </c>
      <c r="C972" s="48" t="n">
        <f aca="false">$C$7*B972</f>
        <v>13.375</v>
      </c>
      <c r="D972" s="49" t="n">
        <f aca="false">0.5*c_rho*'P3 Energie'!E8*'P3 Energie'!E7*(C972-c_Vv)^2+'P3 Energie'!E13+'P3 Energie'!E15+'P3 Energie'!E6*$C$7</f>
        <v>18482.7220198797</v>
      </c>
      <c r="E972" s="50" t="n">
        <f aca="false">D972*C972</f>
        <v>247206.40701589</v>
      </c>
      <c r="F972" s="46" t="n">
        <v>964</v>
      </c>
      <c r="G972" s="47" t="n">
        <f aca="false">(F972-1)*$H$6</f>
        <v>1.73853551126993</v>
      </c>
      <c r="H972" s="48" t="n">
        <f aca="false">$H$7*G972</f>
        <v>13.375</v>
      </c>
      <c r="I972" s="49" t="n">
        <f aca="false">0.5*c_rho*'P3 Energie'!F8*'P3 Energie'!F7*(H972-c_Vv)^2+'P3 Energie'!F13+'P3 Energie'!F15+'P3 Energie'!F6*$H$7</f>
        <v>19301.2177412428</v>
      </c>
      <c r="J972" s="50" t="n">
        <f aca="false">I972*H972</f>
        <v>258153.787289123</v>
      </c>
    </row>
    <row r="973" customFormat="false" ht="15" hidden="false" customHeight="false" outlineLevel="0" collapsed="false">
      <c r="A973" s="46" t="n">
        <v>965</v>
      </c>
      <c r="B973" s="47" t="n">
        <f aca="false">(A973-1)*$C$6</f>
        <v>1.74158460436722</v>
      </c>
      <c r="C973" s="48" t="n">
        <f aca="false">$C$7*B973</f>
        <v>13.3888888888889</v>
      </c>
      <c r="D973" s="49" t="n">
        <f aca="false">0.5*c_rho*'P3 Energie'!E8*'P3 Energie'!E7*(C973-c_Vv)^2+'P3 Energie'!E13+'P3 Energie'!E15+'P3 Energie'!E6*$C$7</f>
        <v>18482.8704995163</v>
      </c>
      <c r="E973" s="50" t="n">
        <f aca="false">D973*C973</f>
        <v>247465.099465747</v>
      </c>
      <c r="F973" s="46" t="n">
        <v>965</v>
      </c>
      <c r="G973" s="47" t="n">
        <f aca="false">(F973-1)*$H$6</f>
        <v>1.74034084409576</v>
      </c>
      <c r="H973" s="48" t="n">
        <f aca="false">$H$7*G973</f>
        <v>13.3888888888889</v>
      </c>
      <c r="I973" s="49" t="n">
        <f aca="false">0.5*c_rho*'P3 Energie'!F8*'P3 Energie'!F7*(H973-c_Vv)^2+'P3 Energie'!F13+'P3 Energie'!F15+'P3 Energie'!F6*$H$7</f>
        <v>19301.3467436333</v>
      </c>
      <c r="J973" s="50" t="n">
        <f aca="false">I973*H973</f>
        <v>258423.586956424</v>
      </c>
    </row>
    <row r="974" customFormat="false" ht="15" hidden="false" customHeight="false" outlineLevel="0" collapsed="false">
      <c r="A974" s="46" t="n">
        <v>966</v>
      </c>
      <c r="B974" s="47" t="n">
        <f aca="false">(A974-1)*$C$6</f>
        <v>1.7433912274008</v>
      </c>
      <c r="C974" s="48" t="n">
        <f aca="false">$C$7*B974</f>
        <v>13.4027777777778</v>
      </c>
      <c r="D974" s="49" t="n">
        <f aca="false">0.5*c_rho*'P3 Energie'!E8*'P3 Energie'!E7*(C974-c_Vv)^2+'P3 Energie'!E13+'P3 Energie'!E15+'P3 Energie'!E6*$C$7</f>
        <v>18483.0191332575</v>
      </c>
      <c r="E974" s="50" t="n">
        <f aca="false">D974*C974</f>
        <v>247723.798105465</v>
      </c>
      <c r="F974" s="46" t="n">
        <v>966</v>
      </c>
      <c r="G974" s="47" t="n">
        <f aca="false">(F974-1)*$H$6</f>
        <v>1.74214617692158</v>
      </c>
      <c r="H974" s="48" t="n">
        <f aca="false">$H$7*G974</f>
        <v>13.4027777777778</v>
      </c>
      <c r="I974" s="49" t="n">
        <f aca="false">0.5*c_rho*'P3 Energie'!F8*'P3 Energie'!F7*(H974-c_Vv)^2+'P3 Energie'!F13+'P3 Energie'!F15+'P3 Energie'!F6*$H$7</f>
        <v>19301.4758799132</v>
      </c>
      <c r="J974" s="50" t="n">
        <f aca="false">I974*H974</f>
        <v>258693.392001614</v>
      </c>
    </row>
    <row r="975" customFormat="false" ht="15" hidden="false" customHeight="false" outlineLevel="0" collapsed="false">
      <c r="A975" s="46" t="n">
        <v>967</v>
      </c>
      <c r="B975" s="47" t="n">
        <f aca="false">(A975-1)*$C$6</f>
        <v>1.74519785043437</v>
      </c>
      <c r="C975" s="48" t="n">
        <f aca="false">$C$7*B975</f>
        <v>13.4166666666667</v>
      </c>
      <c r="D975" s="49" t="n">
        <f aca="false">0.5*c_rho*'P3 Energie'!E8*'P3 Energie'!E7*(C975-c_Vv)^2+'P3 Energie'!E13+'P3 Energie'!E15+'P3 Energie'!E6*$C$7</f>
        <v>18483.1679211031</v>
      </c>
      <c r="E975" s="50" t="n">
        <f aca="false">D975*C975</f>
        <v>247982.502941466</v>
      </c>
      <c r="F975" s="46" t="n">
        <v>967</v>
      </c>
      <c r="G975" s="47" t="n">
        <f aca="false">(F975-1)*$H$6</f>
        <v>1.74395150974741</v>
      </c>
      <c r="H975" s="48" t="n">
        <f aca="false">$H$7*G975</f>
        <v>13.4166666666667</v>
      </c>
      <c r="I975" s="49" t="n">
        <f aca="false">0.5*c_rho*'P3 Energie'!F8*'P3 Energie'!F7*(H975-c_Vv)^2+'P3 Energie'!F13+'P3 Energie'!F15+'P3 Energie'!F6*$H$7</f>
        <v>19301.6051500824</v>
      </c>
      <c r="J975" s="50" t="n">
        <f aca="false">I975*H975</f>
        <v>258963.202430272</v>
      </c>
    </row>
    <row r="976" customFormat="false" ht="15" hidden="false" customHeight="false" outlineLevel="0" collapsed="false">
      <c r="A976" s="46" t="n">
        <v>968</v>
      </c>
      <c r="B976" s="47" t="n">
        <f aca="false">(A976-1)*$C$6</f>
        <v>1.74700447346795</v>
      </c>
      <c r="C976" s="48" t="n">
        <f aca="false">$C$7*B976</f>
        <v>13.4305555555556</v>
      </c>
      <c r="D976" s="49" t="n">
        <f aca="false">0.5*c_rho*'P3 Energie'!E8*'P3 Energie'!E7*(C976-c_Vv)^2+'P3 Energie'!E13+'P3 Energie'!E15+'P3 Energie'!E6*$C$7</f>
        <v>18483.3168630531</v>
      </c>
      <c r="E976" s="50" t="n">
        <f aca="false">D976*C976</f>
        <v>248241.213980171</v>
      </c>
      <c r="F976" s="46" t="n">
        <v>968</v>
      </c>
      <c r="G976" s="47" t="n">
        <f aca="false">(F976-1)*$H$6</f>
        <v>1.74575684257323</v>
      </c>
      <c r="H976" s="48" t="n">
        <f aca="false">$H$7*G976</f>
        <v>13.4305555555556</v>
      </c>
      <c r="I976" s="49" t="n">
        <f aca="false">0.5*c_rho*'P3 Energie'!F8*'P3 Energie'!F7*(H976-c_Vv)^2+'P3 Energie'!F13+'P3 Energie'!F15+'P3 Energie'!F6*$H$7</f>
        <v>19301.734554141</v>
      </c>
      <c r="J976" s="50" t="n">
        <f aca="false">I976*H976</f>
        <v>259233.018247977</v>
      </c>
    </row>
    <row r="977" customFormat="false" ht="15" hidden="false" customHeight="false" outlineLevel="0" collapsed="false">
      <c r="A977" s="46" t="n">
        <v>969</v>
      </c>
      <c r="B977" s="47" t="n">
        <f aca="false">(A977-1)*$C$6</f>
        <v>1.74881109650152</v>
      </c>
      <c r="C977" s="48" t="n">
        <f aca="false">$C$7*B977</f>
        <v>13.4444444444444</v>
      </c>
      <c r="D977" s="49" t="n">
        <f aca="false">0.5*c_rho*'P3 Energie'!E8*'P3 Energie'!E7*(C977-c_Vv)^2+'P3 Energie'!E13+'P3 Energie'!E15+'P3 Energie'!E6*$C$7</f>
        <v>18483.4659591076</v>
      </c>
      <c r="E977" s="50" t="n">
        <f aca="false">D977*C977</f>
        <v>248499.931228002</v>
      </c>
      <c r="F977" s="46" t="n">
        <v>969</v>
      </c>
      <c r="G977" s="47" t="n">
        <f aca="false">(F977-1)*$H$6</f>
        <v>1.74756217539906</v>
      </c>
      <c r="H977" s="48" t="n">
        <f aca="false">$H$7*G977</f>
        <v>13.4444444444444</v>
      </c>
      <c r="I977" s="49" t="n">
        <f aca="false">0.5*c_rho*'P3 Energie'!F8*'P3 Energie'!F7*(H977-c_Vv)^2+'P3 Energie'!F13+'P3 Energie'!F15+'P3 Energie'!F6*$H$7</f>
        <v>19301.8640920889</v>
      </c>
      <c r="J977" s="50" t="n">
        <f aca="false">I977*H977</f>
        <v>259502.839460306</v>
      </c>
    </row>
    <row r="978" customFormat="false" ht="15" hidden="false" customHeight="false" outlineLevel="0" collapsed="false">
      <c r="A978" s="46" t="n">
        <v>970</v>
      </c>
      <c r="B978" s="47" t="n">
        <f aca="false">(A978-1)*$C$6</f>
        <v>1.7506177195351</v>
      </c>
      <c r="C978" s="48" t="n">
        <f aca="false">$C$7*B978</f>
        <v>13.4583333333333</v>
      </c>
      <c r="D978" s="49" t="n">
        <f aca="false">0.5*c_rho*'P3 Energie'!E8*'P3 Energie'!E7*(C978-c_Vv)^2+'P3 Energie'!E13+'P3 Energie'!E15+'P3 Energie'!E6*$C$7</f>
        <v>18483.6152092665</v>
      </c>
      <c r="E978" s="50" t="n">
        <f aca="false">D978*C978</f>
        <v>248758.654691378</v>
      </c>
      <c r="F978" s="46" t="n">
        <v>970</v>
      </c>
      <c r="G978" s="47" t="n">
        <f aca="false">(F978-1)*$H$6</f>
        <v>1.74936750822489</v>
      </c>
      <c r="H978" s="48" t="n">
        <f aca="false">$H$7*G978</f>
        <v>13.4583333333333</v>
      </c>
      <c r="I978" s="49" t="n">
        <f aca="false">0.5*c_rho*'P3 Energie'!F8*'P3 Energie'!F7*(H978-c_Vv)^2+'P3 Energie'!F13+'P3 Energie'!F15+'P3 Energie'!F6*$H$7</f>
        <v>19301.9937639262</v>
      </c>
      <c r="J978" s="50" t="n">
        <f aca="false">I978*H978</f>
        <v>259772.66607284</v>
      </c>
    </row>
    <row r="979" customFormat="false" ht="15" hidden="false" customHeight="false" outlineLevel="0" collapsed="false">
      <c r="A979" s="46" t="n">
        <v>971</v>
      </c>
      <c r="B979" s="47" t="n">
        <f aca="false">(A979-1)*$C$6</f>
        <v>1.75242434256867</v>
      </c>
      <c r="C979" s="48" t="n">
        <f aca="false">$C$7*B979</f>
        <v>13.4722222222222</v>
      </c>
      <c r="D979" s="49" t="n">
        <f aca="false">0.5*c_rho*'P3 Energie'!E8*'P3 Energie'!E7*(C979-c_Vv)^2+'P3 Energie'!E13+'P3 Energie'!E15+'P3 Energie'!E6*$C$7</f>
        <v>18483.7646135299</v>
      </c>
      <c r="E979" s="50" t="n">
        <f aca="false">D979*C979</f>
        <v>249017.384376722</v>
      </c>
      <c r="F979" s="46" t="n">
        <v>971</v>
      </c>
      <c r="G979" s="47" t="n">
        <f aca="false">(F979-1)*$H$6</f>
        <v>1.75117284105071</v>
      </c>
      <c r="H979" s="48" t="n">
        <f aca="false">$H$7*G979</f>
        <v>13.4722222222222</v>
      </c>
      <c r="I979" s="49" t="n">
        <f aca="false">0.5*c_rho*'P3 Energie'!F8*'P3 Energie'!F7*(H979-c_Vv)^2+'P3 Energie'!F13+'P3 Energie'!F15+'P3 Energie'!F6*$H$7</f>
        <v>19302.1235696528</v>
      </c>
      <c r="J979" s="50" t="n">
        <f aca="false">I979*H979</f>
        <v>260042.498091156</v>
      </c>
    </row>
    <row r="980" customFormat="false" ht="15" hidden="false" customHeight="false" outlineLevel="0" collapsed="false">
      <c r="A980" s="46" t="n">
        <v>972</v>
      </c>
      <c r="B980" s="47" t="n">
        <f aca="false">(A980-1)*$C$6</f>
        <v>1.75423096560225</v>
      </c>
      <c r="C980" s="48" t="n">
        <f aca="false">$C$7*B980</f>
        <v>13.4861111111111</v>
      </c>
      <c r="D980" s="49" t="n">
        <f aca="false">0.5*c_rho*'P3 Energie'!E8*'P3 Energie'!E7*(C980-c_Vv)^2+'P3 Energie'!E13+'P3 Energie'!E15+'P3 Energie'!E6*$C$7</f>
        <v>18483.9141718977</v>
      </c>
      <c r="E980" s="50" t="n">
        <f aca="false">D980*C980</f>
        <v>249276.120290454</v>
      </c>
      <c r="F980" s="46" t="n">
        <v>972</v>
      </c>
      <c r="G980" s="47" t="n">
        <f aca="false">(F980-1)*$H$6</f>
        <v>1.75297817387654</v>
      </c>
      <c r="H980" s="48" t="n">
        <f aca="false">$H$7*G980</f>
        <v>13.4861111111111</v>
      </c>
      <c r="I980" s="49" t="n">
        <f aca="false">0.5*c_rho*'P3 Energie'!F8*'P3 Energie'!F7*(H980-c_Vv)^2+'P3 Energie'!F13+'P3 Energie'!F15+'P3 Energie'!F6*$H$7</f>
        <v>19302.2535092688</v>
      </c>
      <c r="J980" s="50" t="n">
        <f aca="false">I980*H980</f>
        <v>260312.335520833</v>
      </c>
    </row>
    <row r="981" customFormat="false" ht="15" hidden="false" customHeight="false" outlineLevel="0" collapsed="false">
      <c r="A981" s="46" t="n">
        <v>973</v>
      </c>
      <c r="B981" s="47" t="n">
        <f aca="false">(A981-1)*$C$6</f>
        <v>1.75603758863583</v>
      </c>
      <c r="C981" s="48" t="n">
        <f aca="false">$C$7*B981</f>
        <v>13.5</v>
      </c>
      <c r="D981" s="49" t="n">
        <f aca="false">0.5*c_rho*'P3 Energie'!E8*'P3 Energie'!E7*(C981-c_Vv)^2+'P3 Energie'!E13+'P3 Energie'!E15+'P3 Energie'!E6*$C$7</f>
        <v>18484.06388437</v>
      </c>
      <c r="E981" s="50" t="n">
        <f aca="false">D981*C981</f>
        <v>249534.862438995</v>
      </c>
      <c r="F981" s="46" t="n">
        <v>973</v>
      </c>
      <c r="G981" s="47" t="n">
        <f aca="false">(F981-1)*$H$6</f>
        <v>1.75478350670236</v>
      </c>
      <c r="H981" s="48" t="n">
        <f aca="false">$H$7*G981</f>
        <v>13.5</v>
      </c>
      <c r="I981" s="49" t="n">
        <f aca="false">0.5*c_rho*'P3 Energie'!F8*'P3 Energie'!F7*(H981-c_Vv)^2+'P3 Energie'!F13+'P3 Energie'!F15+'P3 Energie'!F6*$H$7</f>
        <v>19302.3835827741</v>
      </c>
      <c r="J981" s="50" t="n">
        <f aca="false">I981*H981</f>
        <v>260582.17836745</v>
      </c>
    </row>
    <row r="982" customFormat="false" ht="15" hidden="false" customHeight="false" outlineLevel="0" collapsed="false">
      <c r="A982" s="46" t="n">
        <v>974</v>
      </c>
      <c r="B982" s="47" t="n">
        <f aca="false">(A982-1)*$C$6</f>
        <v>1.7578442116694</v>
      </c>
      <c r="C982" s="48" t="n">
        <f aca="false">$C$7*B982</f>
        <v>13.5138888888889</v>
      </c>
      <c r="D982" s="49" t="n">
        <f aca="false">0.5*c_rho*'P3 Energie'!E8*'P3 Energie'!E7*(C982-c_Vv)^2+'P3 Energie'!E13+'P3 Energie'!E15+'P3 Energie'!E6*$C$7</f>
        <v>18484.2137509467</v>
      </c>
      <c r="E982" s="50" t="n">
        <f aca="false">D982*C982</f>
        <v>249793.610828766</v>
      </c>
      <c r="F982" s="46" t="n">
        <v>974</v>
      </c>
      <c r="G982" s="47" t="n">
        <f aca="false">(F982-1)*$H$6</f>
        <v>1.75658883952819</v>
      </c>
      <c r="H982" s="48" t="n">
        <f aca="false">$H$7*G982</f>
        <v>13.5138888888889</v>
      </c>
      <c r="I982" s="49" t="n">
        <f aca="false">0.5*c_rho*'P3 Energie'!F8*'P3 Energie'!F7*(H982-c_Vv)^2+'P3 Energie'!F13+'P3 Energie'!F15+'P3 Energie'!F6*$H$7</f>
        <v>19302.5137901688</v>
      </c>
      <c r="J982" s="50" t="n">
        <f aca="false">I982*H982</f>
        <v>260852.026636586</v>
      </c>
    </row>
    <row r="983" customFormat="false" ht="15" hidden="false" customHeight="false" outlineLevel="0" collapsed="false">
      <c r="A983" s="46" t="n">
        <v>975</v>
      </c>
      <c r="B983" s="47" t="n">
        <f aca="false">(A983-1)*$C$6</f>
        <v>1.75965083470298</v>
      </c>
      <c r="C983" s="48" t="n">
        <f aca="false">$C$7*B983</f>
        <v>13.5277777777778</v>
      </c>
      <c r="D983" s="49" t="n">
        <f aca="false">0.5*c_rho*'P3 Energie'!E8*'P3 Energie'!E7*(C983-c_Vv)^2+'P3 Energie'!E13+'P3 Energie'!E15+'P3 Energie'!E6*$C$7</f>
        <v>18484.3637716279</v>
      </c>
      <c r="E983" s="50" t="n">
        <f aca="false">D983*C983</f>
        <v>250052.365466188</v>
      </c>
      <c r="F983" s="46" t="n">
        <v>975</v>
      </c>
      <c r="G983" s="47" t="n">
        <f aca="false">(F983-1)*$H$6</f>
        <v>1.75839417235401</v>
      </c>
      <c r="H983" s="48" t="n">
        <f aca="false">$H$7*G983</f>
        <v>13.5277777777778</v>
      </c>
      <c r="I983" s="49" t="n">
        <f aca="false">0.5*c_rho*'P3 Energie'!F8*'P3 Energie'!F7*(H983-c_Vv)^2+'P3 Energie'!F13+'P3 Energie'!F15+'P3 Energie'!F6*$H$7</f>
        <v>19302.6441314528</v>
      </c>
      <c r="J983" s="50" t="n">
        <f aca="false">I983*H983</f>
        <v>261121.88033382</v>
      </c>
    </row>
    <row r="984" customFormat="false" ht="15" hidden="false" customHeight="false" outlineLevel="0" collapsed="false">
      <c r="A984" s="46" t="n">
        <v>976</v>
      </c>
      <c r="B984" s="47" t="n">
        <f aca="false">(A984-1)*$C$6</f>
        <v>1.76145745773655</v>
      </c>
      <c r="C984" s="48" t="n">
        <f aca="false">$C$7*B984</f>
        <v>13.5416666666667</v>
      </c>
      <c r="D984" s="49" t="n">
        <f aca="false">0.5*c_rho*'P3 Energie'!E8*'P3 Energie'!E7*(C984-c_Vv)^2+'P3 Energie'!E13+'P3 Energie'!E15+'P3 Energie'!E6*$C$7</f>
        <v>18484.5139464135</v>
      </c>
      <c r="E984" s="50" t="n">
        <f aca="false">D984*C984</f>
        <v>250311.126357683</v>
      </c>
      <c r="F984" s="46" t="n">
        <v>976</v>
      </c>
      <c r="G984" s="47" t="n">
        <f aca="false">(F984-1)*$H$6</f>
        <v>1.76019950517984</v>
      </c>
      <c r="H984" s="48" t="n">
        <f aca="false">$H$7*G984</f>
        <v>13.5416666666667</v>
      </c>
      <c r="I984" s="49" t="n">
        <f aca="false">0.5*c_rho*'P3 Energie'!F8*'P3 Energie'!F7*(H984-c_Vv)^2+'P3 Energie'!F13+'P3 Energie'!F15+'P3 Energie'!F6*$H$7</f>
        <v>19302.7746066262</v>
      </c>
      <c r="J984" s="50" t="n">
        <f aca="false">I984*H984</f>
        <v>261391.739464729</v>
      </c>
    </row>
    <row r="985" customFormat="false" ht="15" hidden="false" customHeight="false" outlineLevel="0" collapsed="false">
      <c r="A985" s="46" t="n">
        <v>977</v>
      </c>
      <c r="B985" s="47" t="n">
        <f aca="false">(A985-1)*$C$6</f>
        <v>1.76326408077013</v>
      </c>
      <c r="C985" s="48" t="n">
        <f aca="false">$C$7*B985</f>
        <v>13.5555555555556</v>
      </c>
      <c r="D985" s="49" t="n">
        <f aca="false">0.5*c_rho*'P3 Energie'!E8*'P3 Energie'!E7*(C985-c_Vv)^2+'P3 Energie'!E13+'P3 Energie'!E15+'P3 Energie'!E6*$C$7</f>
        <v>18484.6642753036</v>
      </c>
      <c r="E985" s="50" t="n">
        <f aca="false">D985*C985</f>
        <v>250569.89350967</v>
      </c>
      <c r="F985" s="46" t="n">
        <v>977</v>
      </c>
      <c r="G985" s="47" t="n">
        <f aca="false">(F985-1)*$H$6</f>
        <v>1.76200483800566</v>
      </c>
      <c r="H985" s="48" t="n">
        <f aca="false">$H$7*G985</f>
        <v>13.5555555555556</v>
      </c>
      <c r="I985" s="49" t="n">
        <f aca="false">0.5*c_rho*'P3 Energie'!F8*'P3 Energie'!F7*(H985-c_Vv)^2+'P3 Energie'!F13+'P3 Energie'!F15+'P3 Energie'!F6*$H$7</f>
        <v>19302.9052156889</v>
      </c>
      <c r="J985" s="50" t="n">
        <f aca="false">I985*H985</f>
        <v>261661.604034894</v>
      </c>
    </row>
    <row r="986" customFormat="false" ht="15" hidden="false" customHeight="false" outlineLevel="0" collapsed="false">
      <c r="A986" s="46" t="n">
        <v>978</v>
      </c>
      <c r="B986" s="47" t="n">
        <f aca="false">(A986-1)*$C$6</f>
        <v>1.76507070380371</v>
      </c>
      <c r="C986" s="48" t="n">
        <f aca="false">$C$7*B986</f>
        <v>13.5694444444444</v>
      </c>
      <c r="D986" s="49" t="n">
        <f aca="false">0.5*c_rho*'P3 Energie'!E8*'P3 Energie'!E7*(C986-c_Vv)^2+'P3 Energie'!E13+'P3 Energie'!E15+'P3 Energie'!E6*$C$7</f>
        <v>18484.8147582981</v>
      </c>
      <c r="E986" s="50" t="n">
        <f aca="false">D986*C986</f>
        <v>250828.666928573</v>
      </c>
      <c r="F986" s="46" t="n">
        <v>978</v>
      </c>
      <c r="G986" s="47" t="n">
        <f aca="false">(F986-1)*$H$6</f>
        <v>1.76381017083149</v>
      </c>
      <c r="H986" s="48" t="n">
        <f aca="false">$H$7*G986</f>
        <v>13.5694444444444</v>
      </c>
      <c r="I986" s="49" t="n">
        <f aca="false">0.5*c_rho*'P3 Energie'!F8*'P3 Energie'!F7*(H986-c_Vv)^2+'P3 Energie'!F13+'P3 Energie'!F15+'P3 Energie'!F6*$H$7</f>
        <v>19303.035958641</v>
      </c>
      <c r="J986" s="50" t="n">
        <f aca="false">I986*H986</f>
        <v>261931.474049892</v>
      </c>
    </row>
    <row r="987" customFormat="false" ht="15" hidden="false" customHeight="false" outlineLevel="0" collapsed="false">
      <c r="A987" s="46" t="n">
        <v>979</v>
      </c>
      <c r="B987" s="47" t="n">
        <f aca="false">(A987-1)*$C$6</f>
        <v>1.76687732683728</v>
      </c>
      <c r="C987" s="48" t="n">
        <f aca="false">$C$7*B987</f>
        <v>13.5833333333333</v>
      </c>
      <c r="D987" s="49" t="n">
        <f aca="false">0.5*c_rho*'P3 Energie'!E8*'P3 Energie'!E7*(C987-c_Vv)^2+'P3 Energie'!E13+'P3 Energie'!E15+'P3 Energie'!E6*$C$7</f>
        <v>18484.9653953971</v>
      </c>
      <c r="E987" s="50" t="n">
        <f aca="false">D987*C987</f>
        <v>251087.44662081</v>
      </c>
      <c r="F987" s="46" t="n">
        <v>979</v>
      </c>
      <c r="G987" s="47" t="n">
        <f aca="false">(F987-1)*$H$6</f>
        <v>1.76561550365732</v>
      </c>
      <c r="H987" s="48" t="n">
        <f aca="false">$H$7*G987</f>
        <v>13.5833333333333</v>
      </c>
      <c r="I987" s="49" t="n">
        <f aca="false">0.5*c_rho*'P3 Energie'!F8*'P3 Energie'!F7*(H987-c_Vv)^2+'P3 Energie'!F13+'P3 Energie'!F15+'P3 Energie'!F6*$H$7</f>
        <v>19303.1668354824</v>
      </c>
      <c r="J987" s="50" t="n">
        <f aca="false">I987*H987</f>
        <v>262201.349515303</v>
      </c>
    </row>
    <row r="988" customFormat="false" ht="15" hidden="false" customHeight="false" outlineLevel="0" collapsed="false">
      <c r="A988" s="46" t="n">
        <v>980</v>
      </c>
      <c r="B988" s="47" t="n">
        <f aca="false">(A988-1)*$C$6</f>
        <v>1.76868394987086</v>
      </c>
      <c r="C988" s="48" t="n">
        <f aca="false">$C$7*B988</f>
        <v>13.5972222222222</v>
      </c>
      <c r="D988" s="49" t="n">
        <f aca="false">0.5*c_rho*'P3 Energie'!E8*'P3 Energie'!E7*(C988-c_Vv)^2+'P3 Energie'!E13+'P3 Energie'!E15+'P3 Energie'!E6*$C$7</f>
        <v>18485.1161866005</v>
      </c>
      <c r="E988" s="50" t="n">
        <f aca="false">D988*C988</f>
        <v>251346.232592804</v>
      </c>
      <c r="F988" s="46" t="n">
        <v>980</v>
      </c>
      <c r="G988" s="47" t="n">
        <f aca="false">(F988-1)*$H$6</f>
        <v>1.76742083648314</v>
      </c>
      <c r="H988" s="48" t="n">
        <f aca="false">$H$7*G988</f>
        <v>13.5972222222222</v>
      </c>
      <c r="I988" s="49" t="n">
        <f aca="false">0.5*c_rho*'P3 Energie'!F8*'P3 Energie'!F7*(H988-c_Vv)^2+'P3 Energie'!F13+'P3 Energie'!F15+'P3 Energie'!F6*$H$7</f>
        <v>19303.2978462132</v>
      </c>
      <c r="J988" s="50" t="n">
        <f aca="false">I988*H988</f>
        <v>262471.230436704</v>
      </c>
    </row>
    <row r="989" customFormat="false" ht="15" hidden="false" customHeight="false" outlineLevel="0" collapsed="false">
      <c r="A989" s="46" t="n">
        <v>981</v>
      </c>
      <c r="B989" s="47" t="n">
        <f aca="false">(A989-1)*$C$6</f>
        <v>1.77049057290443</v>
      </c>
      <c r="C989" s="48" t="n">
        <f aca="false">$C$7*B989</f>
        <v>13.6111111111111</v>
      </c>
      <c r="D989" s="49" t="n">
        <f aca="false">0.5*c_rho*'P3 Energie'!E8*'P3 Energie'!E7*(C989-c_Vv)^2+'P3 Energie'!E13+'P3 Energie'!E15+'P3 Energie'!E6*$C$7</f>
        <v>18485.2671319083</v>
      </c>
      <c r="E989" s="50" t="n">
        <f aca="false">D989*C989</f>
        <v>251605.024850975</v>
      </c>
      <c r="F989" s="46" t="n">
        <v>981</v>
      </c>
      <c r="G989" s="47" t="n">
        <f aca="false">(F989-1)*$H$6</f>
        <v>1.76922616930897</v>
      </c>
      <c r="H989" s="48" t="n">
        <f aca="false">$H$7*G989</f>
        <v>13.6111111111111</v>
      </c>
      <c r="I989" s="49" t="n">
        <f aca="false">0.5*c_rho*'P3 Energie'!F8*'P3 Energie'!F7*(H989-c_Vv)^2+'P3 Energie'!F13+'P3 Energie'!F15+'P3 Energie'!F6*$H$7</f>
        <v>19303.4289908333</v>
      </c>
      <c r="J989" s="50" t="n">
        <f aca="false">I989*H989</f>
        <v>262741.116819676</v>
      </c>
    </row>
    <row r="990" customFormat="false" ht="15" hidden="false" customHeight="false" outlineLevel="0" collapsed="false">
      <c r="A990" s="46" t="n">
        <v>982</v>
      </c>
      <c r="B990" s="47" t="n">
        <f aca="false">(A990-1)*$C$6</f>
        <v>1.77229719593801</v>
      </c>
      <c r="C990" s="48" t="n">
        <f aca="false">$C$7*B990</f>
        <v>13.625</v>
      </c>
      <c r="D990" s="49" t="n">
        <f aca="false">0.5*c_rho*'P3 Energie'!E8*'P3 Energie'!E7*(C990-c_Vv)^2+'P3 Energie'!E13+'P3 Energie'!E15+'P3 Energie'!E6*$C$7</f>
        <v>18485.4182313207</v>
      </c>
      <c r="E990" s="50" t="n">
        <f aca="false">D990*C990</f>
        <v>251863.823401744</v>
      </c>
      <c r="F990" s="46" t="n">
        <v>982</v>
      </c>
      <c r="G990" s="47" t="n">
        <f aca="false">(F990-1)*$H$6</f>
        <v>1.77103150213479</v>
      </c>
      <c r="H990" s="48" t="n">
        <f aca="false">$H$7*G990</f>
        <v>13.625</v>
      </c>
      <c r="I990" s="49" t="n">
        <f aca="false">0.5*c_rho*'P3 Energie'!F8*'P3 Energie'!F7*(H990-c_Vv)^2+'P3 Energie'!F13+'P3 Energie'!F15+'P3 Energie'!F6*$H$7</f>
        <v>19303.5602693428</v>
      </c>
      <c r="J990" s="50" t="n">
        <f aca="false">I990*H990</f>
        <v>263011.008669796</v>
      </c>
    </row>
    <row r="991" customFormat="false" ht="15" hidden="false" customHeight="false" outlineLevel="0" collapsed="false">
      <c r="A991" s="46" t="n">
        <v>983</v>
      </c>
      <c r="B991" s="47" t="n">
        <f aca="false">(A991-1)*$C$6</f>
        <v>1.77410381897159</v>
      </c>
      <c r="C991" s="48" t="n">
        <f aca="false">$C$7*B991</f>
        <v>13.6388888888889</v>
      </c>
      <c r="D991" s="49" t="n">
        <f aca="false">0.5*c_rho*'P3 Energie'!E8*'P3 Energie'!E7*(C991-c_Vv)^2+'P3 Energie'!E13+'P3 Energie'!E15+'P3 Energie'!E6*$C$7</f>
        <v>18485.5694848374</v>
      </c>
      <c r="E991" s="50" t="n">
        <f aca="false">D991*C991</f>
        <v>252122.628251533</v>
      </c>
      <c r="F991" s="46" t="n">
        <v>983</v>
      </c>
      <c r="G991" s="47" t="n">
        <f aca="false">(F991-1)*$H$6</f>
        <v>1.77283683496062</v>
      </c>
      <c r="H991" s="48" t="n">
        <f aca="false">$H$7*G991</f>
        <v>13.6388888888889</v>
      </c>
      <c r="I991" s="49" t="n">
        <f aca="false">0.5*c_rho*'P3 Energie'!F8*'P3 Energie'!F7*(H991-c_Vv)^2+'P3 Energie'!F13+'P3 Energie'!F15+'P3 Energie'!F6*$H$7</f>
        <v>19303.6916817417</v>
      </c>
      <c r="J991" s="50" t="n">
        <f aca="false">I991*H991</f>
        <v>263280.905992643</v>
      </c>
    </row>
    <row r="992" customFormat="false" ht="15" hidden="false" customHeight="false" outlineLevel="0" collapsed="false">
      <c r="A992" s="46" t="n">
        <v>984</v>
      </c>
      <c r="B992" s="47" t="n">
        <f aca="false">(A992-1)*$C$6</f>
        <v>1.77591044200516</v>
      </c>
      <c r="C992" s="48" t="n">
        <f aca="false">$C$7*B992</f>
        <v>13.6527777777778</v>
      </c>
      <c r="D992" s="49" t="n">
        <f aca="false">0.5*c_rho*'P3 Energie'!E8*'P3 Energie'!E7*(C992-c_Vv)^2+'P3 Energie'!E13+'P3 Energie'!E15+'P3 Energie'!E6*$C$7</f>
        <v>18485.7208924586</v>
      </c>
      <c r="E992" s="50" t="n">
        <f aca="false">D992*C992</f>
        <v>252381.439406762</v>
      </c>
      <c r="F992" s="46" t="n">
        <v>984</v>
      </c>
      <c r="G992" s="47" t="n">
        <f aca="false">(F992-1)*$H$6</f>
        <v>1.77464216778644</v>
      </c>
      <c r="H992" s="48" t="n">
        <f aca="false">$H$7*G992</f>
        <v>13.6527777777778</v>
      </c>
      <c r="I992" s="49" t="n">
        <f aca="false">0.5*c_rho*'P3 Energie'!F8*'P3 Energie'!F7*(H992-c_Vv)^2+'P3 Energie'!F13+'P3 Energie'!F15+'P3 Energie'!F6*$H$7</f>
        <v>19303.8232280299</v>
      </c>
      <c r="J992" s="50" t="n">
        <f aca="false">I992*H992</f>
        <v>263550.808793797</v>
      </c>
    </row>
    <row r="993" customFormat="false" ht="15" hidden="false" customHeight="false" outlineLevel="0" collapsed="false">
      <c r="A993" s="46" t="n">
        <v>985</v>
      </c>
      <c r="B993" s="47" t="n">
        <f aca="false">(A993-1)*$C$6</f>
        <v>1.77771706503874</v>
      </c>
      <c r="C993" s="48" t="n">
        <f aca="false">$C$7*B993</f>
        <v>13.6666666666667</v>
      </c>
      <c r="D993" s="49" t="n">
        <f aca="false">0.5*c_rho*'P3 Energie'!E8*'P3 Energie'!E7*(C993-c_Vv)^2+'P3 Energie'!E13+'P3 Energie'!E15+'P3 Energie'!E6*$C$7</f>
        <v>18485.8724541843</v>
      </c>
      <c r="E993" s="50" t="n">
        <f aca="false">D993*C993</f>
        <v>252640.256873852</v>
      </c>
      <c r="F993" s="46" t="n">
        <v>985</v>
      </c>
      <c r="G993" s="47" t="n">
        <f aca="false">(F993-1)*$H$6</f>
        <v>1.77644750061227</v>
      </c>
      <c r="H993" s="48" t="n">
        <f aca="false">$H$7*G993</f>
        <v>13.6666666666667</v>
      </c>
      <c r="I993" s="49" t="n">
        <f aca="false">0.5*c_rho*'P3 Energie'!F8*'P3 Energie'!F7*(H993-c_Vv)^2+'P3 Energie'!F13+'P3 Energie'!F15+'P3 Energie'!F6*$H$7</f>
        <v>19303.9549082074</v>
      </c>
      <c r="J993" s="50" t="n">
        <f aca="false">I993*H993</f>
        <v>263820.717078835</v>
      </c>
    </row>
    <row r="994" customFormat="false" ht="15" hidden="false" customHeight="false" outlineLevel="0" collapsed="false">
      <c r="A994" s="46" t="n">
        <v>986</v>
      </c>
      <c r="B994" s="47" t="n">
        <f aca="false">(A994-1)*$C$6</f>
        <v>1.77952368807231</v>
      </c>
      <c r="C994" s="48" t="n">
        <f aca="false">$C$7*B994</f>
        <v>13.6805555555556</v>
      </c>
      <c r="D994" s="49" t="n">
        <f aca="false">0.5*c_rho*'P3 Energie'!E8*'P3 Energie'!E7*(C994-c_Vv)^2+'P3 Energie'!E13+'P3 Energie'!E15+'P3 Energie'!E6*$C$7</f>
        <v>18486.0241700144</v>
      </c>
      <c r="E994" s="50" t="n">
        <f aca="false">D994*C994</f>
        <v>252899.080659225</v>
      </c>
      <c r="F994" s="46" t="n">
        <v>986</v>
      </c>
      <c r="G994" s="47" t="n">
        <f aca="false">(F994-1)*$H$6</f>
        <v>1.77825283343809</v>
      </c>
      <c r="H994" s="48" t="n">
        <f aca="false">$H$7*G994</f>
        <v>13.6805555555556</v>
      </c>
      <c r="I994" s="49" t="n">
        <f aca="false">0.5*c_rho*'P3 Energie'!F8*'P3 Energie'!F7*(H994-c_Vv)^2+'P3 Energie'!F13+'P3 Energie'!F15+'P3 Energie'!F6*$H$7</f>
        <v>19304.0867222743</v>
      </c>
      <c r="J994" s="50" t="n">
        <f aca="false">I994*H994</f>
        <v>264090.630853336</v>
      </c>
    </row>
    <row r="995" customFormat="false" ht="15" hidden="false" customHeight="false" outlineLevel="0" collapsed="false">
      <c r="A995" s="46" t="n">
        <v>987</v>
      </c>
      <c r="B995" s="47" t="n">
        <f aca="false">(A995-1)*$C$6</f>
        <v>1.78133031110589</v>
      </c>
      <c r="C995" s="48" t="n">
        <f aca="false">$C$7*B995</f>
        <v>13.6944444444444</v>
      </c>
      <c r="D995" s="49" t="n">
        <f aca="false">0.5*c_rho*'P3 Energie'!E8*'P3 Energie'!E7*(C995-c_Vv)^2+'P3 Energie'!E13+'P3 Energie'!E15+'P3 Energie'!E6*$C$7</f>
        <v>18486.176039949</v>
      </c>
      <c r="E995" s="50" t="n">
        <f aca="false">D995*C995</f>
        <v>253157.910769301</v>
      </c>
      <c r="F995" s="46" t="n">
        <v>987</v>
      </c>
      <c r="G995" s="47" t="n">
        <f aca="false">(F995-1)*$H$6</f>
        <v>1.78005816626392</v>
      </c>
      <c r="H995" s="48" t="n">
        <f aca="false">$H$7*G995</f>
        <v>13.6944444444444</v>
      </c>
      <c r="I995" s="49" t="n">
        <f aca="false">0.5*c_rho*'P3 Energie'!F8*'P3 Energie'!F7*(H995-c_Vv)^2+'P3 Energie'!F13+'P3 Energie'!F15+'P3 Energie'!F6*$H$7</f>
        <v>19304.2186702306</v>
      </c>
      <c r="J995" s="50" t="n">
        <f aca="false">I995*H995</f>
        <v>264360.55012288</v>
      </c>
    </row>
    <row r="996" customFormat="false" ht="15" hidden="false" customHeight="false" outlineLevel="0" collapsed="false">
      <c r="A996" s="46" t="n">
        <v>988</v>
      </c>
      <c r="B996" s="47" t="n">
        <f aca="false">(A996-1)*$C$6</f>
        <v>1.78313693413947</v>
      </c>
      <c r="C996" s="48" t="n">
        <f aca="false">$C$7*B996</f>
        <v>13.7083333333333</v>
      </c>
      <c r="D996" s="49" t="n">
        <f aca="false">0.5*c_rho*'P3 Energie'!E8*'P3 Energie'!E7*(C996-c_Vv)^2+'P3 Energie'!E13+'P3 Energie'!E15+'P3 Energie'!E6*$C$7</f>
        <v>18486.328063988</v>
      </c>
      <c r="E996" s="50" t="n">
        <f aca="false">D996*C996</f>
        <v>253416.747210502</v>
      </c>
      <c r="F996" s="46" t="n">
        <v>988</v>
      </c>
      <c r="G996" s="47" t="n">
        <f aca="false">(F996-1)*$H$6</f>
        <v>1.78186349908974</v>
      </c>
      <c r="H996" s="48" t="n">
        <f aca="false">$H$7*G996</f>
        <v>13.7083333333333</v>
      </c>
      <c r="I996" s="49" t="n">
        <f aca="false">0.5*c_rho*'P3 Energie'!F8*'P3 Energie'!F7*(H996-c_Vv)^2+'P3 Energie'!F13+'P3 Energie'!F15+'P3 Energie'!F6*$H$7</f>
        <v>19304.3507520762</v>
      </c>
      <c r="J996" s="50" t="n">
        <f aca="false">I996*H996</f>
        <v>264630.474893044</v>
      </c>
    </row>
    <row r="997" customFormat="false" ht="15" hidden="false" customHeight="false" outlineLevel="0" collapsed="false">
      <c r="A997" s="46" t="n">
        <v>989</v>
      </c>
      <c r="B997" s="47" t="n">
        <f aca="false">(A997-1)*$C$6</f>
        <v>1.78494355717304</v>
      </c>
      <c r="C997" s="48" t="n">
        <f aca="false">$C$7*B997</f>
        <v>13.7222222222222</v>
      </c>
      <c r="D997" s="49" t="n">
        <f aca="false">0.5*c_rho*'P3 Energie'!E8*'P3 Energie'!E7*(C997-c_Vv)^2+'P3 Energie'!E13+'P3 Energie'!E15+'P3 Energie'!E6*$C$7</f>
        <v>18486.4802421315</v>
      </c>
      <c r="E997" s="50" t="n">
        <f aca="false">D997*C997</f>
        <v>253675.589989248</v>
      </c>
      <c r="F997" s="46" t="n">
        <v>989</v>
      </c>
      <c r="G997" s="47" t="n">
        <f aca="false">(F997-1)*$H$6</f>
        <v>1.78366883191557</v>
      </c>
      <c r="H997" s="48" t="n">
        <f aca="false">$H$7*G997</f>
        <v>13.7222222222222</v>
      </c>
      <c r="I997" s="49" t="n">
        <f aca="false">0.5*c_rho*'P3 Energie'!F8*'P3 Energie'!F7*(H997-c_Vv)^2+'P3 Energie'!F13+'P3 Energie'!F15+'P3 Energie'!F6*$H$7</f>
        <v>19304.4829678111</v>
      </c>
      <c r="J997" s="50" t="n">
        <f aca="false">I997*H997</f>
        <v>264900.405169408</v>
      </c>
    </row>
    <row r="998" customFormat="false" ht="15" hidden="false" customHeight="false" outlineLevel="0" collapsed="false">
      <c r="A998" s="46" t="n">
        <v>990</v>
      </c>
      <c r="B998" s="47" t="n">
        <f aca="false">(A998-1)*$C$6</f>
        <v>1.78675018020662</v>
      </c>
      <c r="C998" s="48" t="n">
        <f aca="false">$C$7*B998</f>
        <v>13.7361111111111</v>
      </c>
      <c r="D998" s="49" t="n">
        <f aca="false">0.5*c_rho*'P3 Energie'!E8*'P3 Energie'!E7*(C998-c_Vv)^2+'P3 Energie'!E13+'P3 Energie'!E15+'P3 Energie'!E6*$C$7</f>
        <v>18486.6325743794</v>
      </c>
      <c r="E998" s="50" t="n">
        <f aca="false">D998*C998</f>
        <v>253934.439111961</v>
      </c>
      <c r="F998" s="46" t="n">
        <v>990</v>
      </c>
      <c r="G998" s="47" t="n">
        <f aca="false">(F998-1)*$H$6</f>
        <v>1.7854741647414</v>
      </c>
      <c r="H998" s="48" t="n">
        <f aca="false">$H$7*G998</f>
        <v>13.7361111111111</v>
      </c>
      <c r="I998" s="49" t="n">
        <f aca="false">0.5*c_rho*'P3 Energie'!F8*'P3 Energie'!F7*(H998-c_Vv)^2+'P3 Energie'!F13+'P3 Energie'!F15+'P3 Energie'!F6*$H$7</f>
        <v>19304.6153174354</v>
      </c>
      <c r="J998" s="50" t="n">
        <f aca="false">I998*H998</f>
        <v>265170.34095755</v>
      </c>
    </row>
    <row r="999" customFormat="false" ht="15" hidden="false" customHeight="false" outlineLevel="0" collapsed="false">
      <c r="A999" s="46" t="n">
        <v>991</v>
      </c>
      <c r="B999" s="47" t="n">
        <f aca="false">(A999-1)*$C$6</f>
        <v>1.78855680324019</v>
      </c>
      <c r="C999" s="48" t="n">
        <f aca="false">$C$7*B999</f>
        <v>13.75</v>
      </c>
      <c r="D999" s="49" t="n">
        <f aca="false">0.5*c_rho*'P3 Energie'!E8*'P3 Energie'!E7*(C999-c_Vv)^2+'P3 Energie'!E13+'P3 Energie'!E15+'P3 Energie'!E6*$C$7</f>
        <v>18486.7850607317</v>
      </c>
      <c r="E999" s="50" t="n">
        <f aca="false">D999*C999</f>
        <v>254193.294585061</v>
      </c>
      <c r="F999" s="46" t="n">
        <v>991</v>
      </c>
      <c r="G999" s="47" t="n">
        <f aca="false">(F999-1)*$H$6</f>
        <v>1.78727949756722</v>
      </c>
      <c r="H999" s="48" t="n">
        <f aca="false">$H$7*G999</f>
        <v>13.75</v>
      </c>
      <c r="I999" s="49" t="n">
        <f aca="false">0.5*c_rho*'P3 Energie'!F8*'P3 Energie'!F7*(H999-c_Vv)^2+'P3 Energie'!F13+'P3 Energie'!F15+'P3 Energie'!F6*$H$7</f>
        <v>19304.7478009491</v>
      </c>
      <c r="J999" s="50" t="n">
        <f aca="false">I999*H999</f>
        <v>265440.28226305</v>
      </c>
    </row>
    <row r="1000" customFormat="false" ht="15" hidden="false" customHeight="false" outlineLevel="0" collapsed="false">
      <c r="A1000" s="46" t="n">
        <v>992</v>
      </c>
      <c r="B1000" s="47" t="n">
        <f aca="false">(A1000-1)*$C$6</f>
        <v>1.79036342627377</v>
      </c>
      <c r="C1000" s="48" t="n">
        <f aca="false">$C$7*B1000</f>
        <v>13.7638888888889</v>
      </c>
      <c r="D1000" s="49" t="n">
        <f aca="false">0.5*c_rho*'P3 Energie'!E8*'P3 Energie'!E7*(C1000-c_Vv)^2+'P3 Energie'!E13+'P3 Energie'!E15+'P3 Energie'!E6*$C$7</f>
        <v>18486.9377011885</v>
      </c>
      <c r="E1000" s="50" t="n">
        <f aca="false">D1000*C1000</f>
        <v>254452.15641497</v>
      </c>
      <c r="F1000" s="46" t="n">
        <v>992</v>
      </c>
      <c r="G1000" s="47" t="n">
        <f aca="false">(F1000-1)*$H$6</f>
        <v>1.78908483039305</v>
      </c>
      <c r="H1000" s="48" t="n">
        <f aca="false">$H$7*G1000</f>
        <v>13.7638888888889</v>
      </c>
      <c r="I1000" s="49" t="n">
        <f aca="false">0.5*c_rho*'P3 Energie'!F8*'P3 Energie'!F7*(H1000-c_Vv)^2+'P3 Energie'!F13+'P3 Energie'!F15+'P3 Energie'!F6*$H$7</f>
        <v>19304.8804183521</v>
      </c>
      <c r="J1000" s="50" t="n">
        <f aca="false">I1000*H1000</f>
        <v>265710.229091485</v>
      </c>
    </row>
    <row r="1001" customFormat="false" ht="15" hidden="false" customHeight="false" outlineLevel="0" collapsed="false">
      <c r="A1001" s="46" t="n">
        <v>993</v>
      </c>
      <c r="B1001" s="47" t="n">
        <f aca="false">(A1001-1)*$C$6</f>
        <v>1.79217004930735</v>
      </c>
      <c r="C1001" s="48" t="n">
        <f aca="false">$C$7*B1001</f>
        <v>13.7777777777778</v>
      </c>
      <c r="D1001" s="49" t="n">
        <f aca="false">0.5*c_rho*'P3 Energie'!E8*'P3 Energie'!E7*(C1001-c_Vv)^2+'P3 Energie'!E13+'P3 Energie'!E15+'P3 Energie'!E6*$C$7</f>
        <v>18487.0904957498</v>
      </c>
      <c r="E1001" s="50" t="n">
        <f aca="false">D1001*C1001</f>
        <v>254711.024608108</v>
      </c>
      <c r="F1001" s="46" t="n">
        <v>993</v>
      </c>
      <c r="G1001" s="47" t="n">
        <f aca="false">(F1001-1)*$H$6</f>
        <v>1.79089016321887</v>
      </c>
      <c r="H1001" s="48" t="n">
        <f aca="false">$H$7*G1001</f>
        <v>13.7777777777778</v>
      </c>
      <c r="I1001" s="49" t="n">
        <f aca="false">0.5*c_rho*'P3 Energie'!F8*'P3 Energie'!F7*(H1001-c_Vv)^2+'P3 Energie'!F13+'P3 Energie'!F15+'P3 Energie'!F6*$H$7</f>
        <v>19305.0131696444</v>
      </c>
      <c r="J1001" s="50" t="n">
        <f aca="false">I1001*H1001</f>
        <v>265980.181448435</v>
      </c>
    </row>
    <row r="1002" customFormat="false" ht="15" hidden="false" customHeight="false" outlineLevel="0" collapsed="false">
      <c r="A1002" s="46" t="n">
        <v>994</v>
      </c>
      <c r="B1002" s="47" t="n">
        <f aca="false">(A1002-1)*$C$6</f>
        <v>1.79397667234092</v>
      </c>
      <c r="C1002" s="48" t="n">
        <f aca="false">$C$7*B1002</f>
        <v>13.7916666666667</v>
      </c>
      <c r="D1002" s="49" t="n">
        <f aca="false">0.5*c_rho*'P3 Energie'!E8*'P3 Energie'!E7*(C1002-c_Vv)^2+'P3 Energie'!E13+'P3 Energie'!E15+'P3 Energie'!E6*$C$7</f>
        <v>18487.2434444155</v>
      </c>
      <c r="E1002" s="50" t="n">
        <f aca="false">D1002*C1002</f>
        <v>254969.899170897</v>
      </c>
      <c r="F1002" s="46" t="n">
        <v>994</v>
      </c>
      <c r="G1002" s="47" t="n">
        <f aca="false">(F1002-1)*$H$6</f>
        <v>1.7926954960447</v>
      </c>
      <c r="H1002" s="48" t="n">
        <f aca="false">$H$7*G1002</f>
        <v>13.7916666666667</v>
      </c>
      <c r="I1002" s="49" t="n">
        <f aca="false">0.5*c_rho*'P3 Energie'!F8*'P3 Energie'!F7*(H1002-c_Vv)^2+'P3 Energie'!F13+'P3 Energie'!F15+'P3 Energie'!F6*$H$7</f>
        <v>19305.1460548262</v>
      </c>
      <c r="J1002" s="50" t="n">
        <f aca="false">I1002*H1002</f>
        <v>266250.139339477</v>
      </c>
    </row>
    <row r="1003" customFormat="false" ht="15" hidden="false" customHeight="false" outlineLevel="0" collapsed="false">
      <c r="A1003" s="46" t="n">
        <v>995</v>
      </c>
      <c r="B1003" s="47" t="n">
        <f aca="false">(A1003-1)*$C$6</f>
        <v>1.7957832953745</v>
      </c>
      <c r="C1003" s="48" t="n">
        <f aca="false">$C$7*B1003</f>
        <v>13.8055555555556</v>
      </c>
      <c r="D1003" s="49" t="n">
        <f aca="false">0.5*c_rho*'P3 Energie'!E8*'P3 Energie'!E7*(C1003-c_Vv)^2+'P3 Energie'!E13+'P3 Energie'!E15+'P3 Energie'!E6*$C$7</f>
        <v>18487.3965471856</v>
      </c>
      <c r="E1003" s="50" t="n">
        <f aca="false">D1003*C1003</f>
        <v>255228.780109757</v>
      </c>
      <c r="F1003" s="46" t="n">
        <v>995</v>
      </c>
      <c r="G1003" s="47" t="n">
        <f aca="false">(F1003-1)*$H$6</f>
        <v>1.79450082887052</v>
      </c>
      <c r="H1003" s="48" t="n">
        <f aca="false">$H$7*G1003</f>
        <v>13.8055555555556</v>
      </c>
      <c r="I1003" s="49" t="n">
        <f aca="false">0.5*c_rho*'P3 Energie'!F8*'P3 Energie'!F7*(H1003-c_Vv)^2+'P3 Energie'!F13+'P3 Energie'!F15+'P3 Energie'!F6*$H$7</f>
        <v>19305.2790738972</v>
      </c>
      <c r="J1003" s="50" t="n">
        <f aca="false">I1003*H1003</f>
        <v>266520.102770192</v>
      </c>
    </row>
    <row r="1004" customFormat="false" ht="15" hidden="false" customHeight="false" outlineLevel="0" collapsed="false">
      <c r="A1004" s="46" t="n">
        <v>996</v>
      </c>
      <c r="B1004" s="47" t="n">
        <f aca="false">(A1004-1)*$C$6</f>
        <v>1.79758991840807</v>
      </c>
      <c r="C1004" s="48" t="n">
        <f aca="false">$C$7*B1004</f>
        <v>13.8194444444444</v>
      </c>
      <c r="D1004" s="49" t="n">
        <f aca="false">0.5*c_rho*'P3 Energie'!E8*'P3 Energie'!E7*(C1004-c_Vv)^2+'P3 Energie'!E13+'P3 Energie'!E15+'P3 Energie'!E6*$C$7</f>
        <v>18487.5498040602</v>
      </c>
      <c r="E1004" s="50" t="n">
        <f aca="false">D1004*C1004</f>
        <v>255487.66743111</v>
      </c>
      <c r="F1004" s="46" t="n">
        <v>996</v>
      </c>
      <c r="G1004" s="47" t="n">
        <f aca="false">(F1004-1)*$H$6</f>
        <v>1.79630616169635</v>
      </c>
      <c r="H1004" s="48" t="n">
        <f aca="false">$H$7*G1004</f>
        <v>13.8194444444444</v>
      </c>
      <c r="I1004" s="49" t="n">
        <f aca="false">0.5*c_rho*'P3 Energie'!F8*'P3 Energie'!F7*(H1004-c_Vv)^2+'P3 Energie'!F13+'P3 Energie'!F15+'P3 Energie'!F6*$H$7</f>
        <v>19305.4122268576</v>
      </c>
      <c r="J1004" s="50" t="n">
        <f aca="false">I1004*H1004</f>
        <v>266790.071746158</v>
      </c>
    </row>
    <row r="1005" customFormat="false" ht="15" hidden="false" customHeight="false" outlineLevel="0" collapsed="false">
      <c r="A1005" s="46" t="n">
        <v>997</v>
      </c>
      <c r="B1005" s="47" t="n">
        <f aca="false">(A1005-1)*$C$6</f>
        <v>1.79939654144165</v>
      </c>
      <c r="C1005" s="48" t="n">
        <f aca="false">$C$7*B1005</f>
        <v>13.8333333333333</v>
      </c>
      <c r="D1005" s="49" t="n">
        <f aca="false">0.5*c_rho*'P3 Energie'!E8*'P3 Energie'!E7*(C1005-c_Vv)^2+'P3 Energie'!E13+'P3 Energie'!E15+'P3 Energie'!E6*$C$7</f>
        <v>18487.7032150393</v>
      </c>
      <c r="E1005" s="50" t="n">
        <f aca="false">D1005*C1005</f>
        <v>255746.561141377</v>
      </c>
      <c r="F1005" s="46" t="n">
        <v>997</v>
      </c>
      <c r="G1005" s="47" t="n">
        <f aca="false">(F1005-1)*$H$6</f>
        <v>1.79811149452217</v>
      </c>
      <c r="H1005" s="48" t="n">
        <f aca="false">$H$7*G1005</f>
        <v>13.8333333333333</v>
      </c>
      <c r="I1005" s="49" t="n">
        <f aca="false">0.5*c_rho*'P3 Energie'!F8*'P3 Energie'!F7*(H1005-c_Vv)^2+'P3 Energie'!F13+'P3 Energie'!F15+'P3 Energie'!F6*$H$7</f>
        <v>19305.5455137074</v>
      </c>
      <c r="J1005" s="50" t="n">
        <f aca="false">I1005*H1005</f>
        <v>267060.046272953</v>
      </c>
    </row>
    <row r="1006" customFormat="false" ht="15" hidden="false" customHeight="false" outlineLevel="0" collapsed="false">
      <c r="A1006" s="46" t="n">
        <v>998</v>
      </c>
      <c r="B1006" s="47" t="n">
        <f aca="false">(A1006-1)*$C$6</f>
        <v>1.80120316447523</v>
      </c>
      <c r="C1006" s="48" t="n">
        <f aca="false">$C$7*B1006</f>
        <v>13.8472222222222</v>
      </c>
      <c r="D1006" s="49" t="n">
        <f aca="false">0.5*c_rho*'P3 Energie'!E8*'P3 Energie'!E7*(C1006-c_Vv)^2+'P3 Energie'!E13+'P3 Energie'!E15+'P3 Energie'!E6*$C$7</f>
        <v>18487.8567801228</v>
      </c>
      <c r="E1006" s="50" t="n">
        <f aca="false">D1006*C1006</f>
        <v>256005.461246978</v>
      </c>
      <c r="F1006" s="46" t="n">
        <v>998</v>
      </c>
      <c r="G1006" s="47" t="n">
        <f aca="false">(F1006-1)*$H$6</f>
        <v>1.799916827348</v>
      </c>
      <c r="H1006" s="48" t="n">
        <f aca="false">$H$7*G1006</f>
        <v>13.8472222222222</v>
      </c>
      <c r="I1006" s="49" t="n">
        <f aca="false">0.5*c_rho*'P3 Energie'!F8*'P3 Energie'!F7*(H1006-c_Vv)^2+'P3 Energie'!F13+'P3 Energie'!F15+'P3 Energie'!F6*$H$7</f>
        <v>19305.6789344465</v>
      </c>
      <c r="J1006" s="50" t="n">
        <f aca="false">I1006*H1006</f>
        <v>267330.026356155</v>
      </c>
    </row>
    <row r="1007" customFormat="false" ht="15" hidden="false" customHeight="false" outlineLevel="0" collapsed="false">
      <c r="A1007" s="46" t="n">
        <v>999</v>
      </c>
      <c r="B1007" s="47" t="n">
        <f aca="false">(A1007-1)*$C$6</f>
        <v>1.8030097875088</v>
      </c>
      <c r="C1007" s="48" t="n">
        <f aca="false">$C$7*B1007</f>
        <v>13.8611111111111</v>
      </c>
      <c r="D1007" s="49" t="n">
        <f aca="false">0.5*c_rho*'P3 Energie'!E8*'P3 Energie'!E7*(C1007-c_Vv)^2+'P3 Energie'!E13+'P3 Energie'!E15+'P3 Energie'!E6*$C$7</f>
        <v>18488.0104993108</v>
      </c>
      <c r="E1007" s="50" t="n">
        <f aca="false">D1007*C1007</f>
        <v>256264.367754335</v>
      </c>
      <c r="F1007" s="46" t="n">
        <v>999</v>
      </c>
      <c r="G1007" s="47" t="n">
        <f aca="false">(F1007-1)*$H$6</f>
        <v>1.80172216017382</v>
      </c>
      <c r="H1007" s="48" t="n">
        <f aca="false">$H$7*G1007</f>
        <v>13.8611111111111</v>
      </c>
      <c r="I1007" s="49" t="n">
        <f aca="false">0.5*c_rho*'P3 Energie'!F8*'P3 Energie'!F7*(H1007-c_Vv)^2+'P3 Energie'!F13+'P3 Energie'!F15+'P3 Energie'!F6*$H$7</f>
        <v>19305.812489075</v>
      </c>
      <c r="J1007" s="50" t="n">
        <f aca="false">I1007*H1007</f>
        <v>267600.012001345</v>
      </c>
    </row>
    <row r="1008" customFormat="false" ht="15" hidden="false" customHeight="false" outlineLevel="0" collapsed="false">
      <c r="A1008" s="46" t="n">
        <v>1000</v>
      </c>
      <c r="B1008" s="47" t="n">
        <f aca="false">(A1008-1)*$C$6</f>
        <v>1.80481641054238</v>
      </c>
      <c r="C1008" s="48" t="n">
        <f aca="false">$C$7*B1008</f>
        <v>13.875</v>
      </c>
      <c r="D1008" s="49" t="n">
        <f aca="false">0.5*c_rho*'P3 Energie'!E8*'P3 Energie'!E7*(C1008-c_Vv)^2+'P3 Energie'!E13+'P3 Energie'!E15+'P3 Energie'!E6*$C$7</f>
        <v>18488.1643726032</v>
      </c>
      <c r="E1008" s="50" t="n">
        <f aca="false">D1008*C1008</f>
        <v>256523.280669869</v>
      </c>
      <c r="F1008" s="46" t="n">
        <v>1000</v>
      </c>
      <c r="G1008" s="47" t="n">
        <f aca="false">(F1008-1)*$H$6</f>
        <v>1.80352749299965</v>
      </c>
      <c r="H1008" s="48" t="n">
        <f aca="false">$H$7*G1008</f>
        <v>13.875</v>
      </c>
      <c r="I1008" s="49" t="n">
        <f aca="false">0.5*c_rho*'P3 Energie'!F8*'P3 Energie'!F7*(H1008-c_Vv)^2+'P3 Energie'!F13+'P3 Energie'!F15+'P3 Energie'!F6*$H$7</f>
        <v>19305.9461775928</v>
      </c>
      <c r="J1008" s="50" t="n">
        <f aca="false">I1008*H1008</f>
        <v>267870.003214101</v>
      </c>
    </row>
    <row r="1009" customFormat="false" ht="15" hidden="false" customHeight="false" outlineLevel="0" collapsed="false">
      <c r="A1009" s="46" t="n">
        <v>1001</v>
      </c>
      <c r="B1009" s="47" t="n">
        <f aca="false">(A1009-1)*$C$6</f>
        <v>1.80662303357595</v>
      </c>
      <c r="C1009" s="48" t="n">
        <f aca="false">$C$7*B1009</f>
        <v>13.8888888888889</v>
      </c>
      <c r="D1009" s="49" t="n">
        <f aca="false">0.5*c_rho*'P3 Energie'!E8*'P3 Energie'!E7*(C1009-c_Vv)^2+'P3 Energie'!E13+'P3 Energie'!E15+'P3 Energie'!E6*$C$7</f>
        <v>18488.3184</v>
      </c>
      <c r="E1009" s="50" t="n">
        <f aca="false">D1009*C1009</f>
        <v>256782.2</v>
      </c>
      <c r="F1009" s="46" t="n">
        <v>1001</v>
      </c>
      <c r="G1009" s="47" t="n">
        <f aca="false">(F1009-1)*$H$6</f>
        <v>1.80533282582548</v>
      </c>
      <c r="H1009" s="48" t="n">
        <f aca="false">$H$7*G1009</f>
        <v>13.8888888888889</v>
      </c>
      <c r="I1009" s="49" t="n">
        <f aca="false">0.5*c_rho*'P3 Energie'!F8*'P3 Energie'!F7*(H1009-c_Vv)^2+'P3 Energie'!F13+'P3 Energie'!F15+'P3 Energie'!F6*$H$7</f>
        <v>19306.08</v>
      </c>
      <c r="J1009" s="50" t="n">
        <f aca="false">I1009*H1009</f>
        <v>268140</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6"/>
    <col collapsed="false" customWidth="true" hidden="false" outlineLevel="0" max="3" min="3" style="0" width="13"/>
    <col collapsed="false" customWidth="true" hidden="false" outlineLevel="0" max="4" min="4" style="0" width="9"/>
    <col collapsed="false" customWidth="true" hidden="false" outlineLevel="0" max="6" min="5" style="0" width="16"/>
    <col collapsed="false" customWidth="true" hidden="false" outlineLevel="0" max="7" min="7" style="0" width="70"/>
  </cols>
  <sheetData>
    <row r="1" customFormat="false" ht="17.35" hidden="false" customHeight="false" outlineLevel="0" collapsed="false">
      <c r="A1" s="1" t="s">
        <v>410</v>
      </c>
    </row>
    <row r="2" customFormat="false" ht="15" hidden="false" customHeight="false" outlineLevel="0" collapsed="false">
      <c r="A2" s="2" t="s">
        <v>411</v>
      </c>
    </row>
    <row r="4" customFormat="false" ht="15" hidden="false" customHeight="false" outlineLevel="0" collapsed="false">
      <c r="A4" s="3" t="s">
        <v>166</v>
      </c>
      <c r="B4" s="3" t="s">
        <v>48</v>
      </c>
      <c r="C4" s="3" t="s">
        <v>167</v>
      </c>
      <c r="D4" s="3" t="s">
        <v>49</v>
      </c>
      <c r="E4" s="3" t="s">
        <v>50</v>
      </c>
      <c r="F4" s="3" t="s">
        <v>51</v>
      </c>
      <c r="G4" s="3" t="s">
        <v>168</v>
      </c>
    </row>
    <row r="5" customFormat="false" ht="15" hidden="false" customHeight="false" outlineLevel="0" collapsed="false">
      <c r="A5" s="16" t="s">
        <v>290</v>
      </c>
    </row>
    <row r="6" customFormat="false" ht="15" hidden="false" customHeight="false" outlineLevel="0" collapsed="false">
      <c r="A6" s="10"/>
      <c r="B6" s="10" t="s">
        <v>412</v>
      </c>
      <c r="C6" s="10" t="s">
        <v>389</v>
      </c>
      <c r="D6" s="10" t="s">
        <v>329</v>
      </c>
      <c r="E6" s="13" t="n">
        <f aca="false">'P3 Energie'!E53</f>
        <v>375765703.53399</v>
      </c>
      <c r="F6" s="13" t="n">
        <f aca="false">'P3 Energie'!F53</f>
        <v>439266716.704104</v>
      </c>
      <c r="G6" s="33"/>
    </row>
    <row r="7" customFormat="false" ht="15" hidden="false" customHeight="false" outlineLevel="0" collapsed="false">
      <c r="A7" s="10"/>
      <c r="B7" s="10" t="s">
        <v>413</v>
      </c>
      <c r="C7" s="10" t="s">
        <v>276</v>
      </c>
      <c r="D7" s="10" t="s">
        <v>183</v>
      </c>
      <c r="E7" s="35" t="n">
        <f aca="false">'P2 Putere'!E31</f>
        <v>518751.919191919</v>
      </c>
      <c r="F7" s="35" t="n">
        <f aca="false">'P2 Putere'!F31</f>
        <v>541696.96969697</v>
      </c>
      <c r="G7" s="33"/>
    </row>
    <row r="8" customFormat="false" ht="15" hidden="false" customHeight="false" outlineLevel="0" collapsed="false">
      <c r="A8" s="10"/>
      <c r="B8" s="10" t="s">
        <v>170</v>
      </c>
      <c r="C8" s="10" t="s">
        <v>171</v>
      </c>
      <c r="D8" s="10" t="s">
        <v>80</v>
      </c>
      <c r="E8" s="32" t="n">
        <f aca="false">'Date documentare'!G16</f>
        <v>2355.8</v>
      </c>
      <c r="F8" s="32" t="n">
        <f aca="false">'Date documentare'!G6</f>
        <v>2460</v>
      </c>
      <c r="G8" s="33"/>
    </row>
    <row r="9" customFormat="false" ht="15" hidden="false" customHeight="false" outlineLevel="0" collapsed="false">
      <c r="A9" s="16" t="s">
        <v>414</v>
      </c>
    </row>
    <row r="10" customFormat="false" ht="15" hidden="false" customHeight="false" outlineLevel="0" collapsed="false">
      <c r="A10" s="10"/>
      <c r="B10" s="10" t="s">
        <v>415</v>
      </c>
      <c r="C10" s="10" t="s">
        <v>416</v>
      </c>
      <c r="D10" s="10" t="s">
        <v>329</v>
      </c>
      <c r="E10" s="35" t="n">
        <f aca="false">cel_Cap*3600*cel_U_nom</f>
        <v>64800</v>
      </c>
      <c r="F10" s="35" t="n">
        <f aca="false">cel_Cap*3600*cel_U_nom</f>
        <v>64800</v>
      </c>
      <c r="G10" s="33" t="s">
        <v>417</v>
      </c>
    </row>
    <row r="11" customFormat="false" ht="15" hidden="false" customHeight="false" outlineLevel="0" collapsed="false">
      <c r="A11" s="10"/>
      <c r="B11" s="10" t="s">
        <v>418</v>
      </c>
      <c r="C11" s="10" t="s">
        <v>419</v>
      </c>
      <c r="D11" s="10" t="s">
        <v>54</v>
      </c>
      <c r="E11" s="35" t="n">
        <f aca="false">ROUNDUP(E6/E10,0)</f>
        <v>5799</v>
      </c>
      <c r="F11" s="35" t="n">
        <f aca="false">ROUNDUP(F6/F10,0)</f>
        <v>6779</v>
      </c>
      <c r="G11" s="33"/>
    </row>
    <row r="12" customFormat="false" ht="15" hidden="false" customHeight="false" outlineLevel="0" collapsed="false">
      <c r="A12" s="10"/>
      <c r="B12" s="10" t="s">
        <v>420</v>
      </c>
      <c r="C12" s="10" t="s">
        <v>421</v>
      </c>
      <c r="D12" s="10" t="s">
        <v>54</v>
      </c>
      <c r="E12" s="38" t="n">
        <f aca="false">ROUNDDOWN(c_U_max/cel_U_max,0)</f>
        <v>202</v>
      </c>
      <c r="F12" s="38" t="n">
        <f aca="false">ROUNDDOWN(c_U_max/cel_U_max,0)</f>
        <v>202</v>
      </c>
      <c r="G12" s="33" t="s">
        <v>422</v>
      </c>
    </row>
    <row r="13" customFormat="false" ht="15" hidden="false" customHeight="false" outlineLevel="0" collapsed="false">
      <c r="A13" s="10"/>
      <c r="B13" s="10" t="s">
        <v>423</v>
      </c>
      <c r="C13" s="10" t="s">
        <v>424</v>
      </c>
      <c r="D13" s="10" t="s">
        <v>78</v>
      </c>
      <c r="E13" s="32" t="n">
        <f aca="false">E12*cel_U_nom</f>
        <v>727.2</v>
      </c>
      <c r="F13" s="32" t="n">
        <f aca="false">F12*cel_U_nom</f>
        <v>727.2</v>
      </c>
      <c r="G13" s="33"/>
    </row>
    <row r="14" customFormat="false" ht="15" hidden="false" customHeight="false" outlineLevel="0" collapsed="false">
      <c r="A14" s="10"/>
      <c r="B14" s="10" t="s">
        <v>425</v>
      </c>
      <c r="C14" s="10"/>
      <c r="D14" s="10" t="s">
        <v>78</v>
      </c>
      <c r="E14" s="32" t="n">
        <f aca="false">E12*cel_U_max</f>
        <v>848.4</v>
      </c>
      <c r="F14" s="32" t="n">
        <f aca="false">F12*cel_U_max</f>
        <v>848.4</v>
      </c>
      <c r="G14" s="33"/>
    </row>
    <row r="15" customFormat="false" ht="15" hidden="false" customHeight="false" outlineLevel="0" collapsed="false">
      <c r="A15" s="10"/>
      <c r="B15" s="10" t="s">
        <v>426</v>
      </c>
      <c r="C15" s="10"/>
      <c r="D15" s="10" t="s">
        <v>78</v>
      </c>
      <c r="E15" s="32" t="n">
        <f aca="false">E12*cel_U_min</f>
        <v>505</v>
      </c>
      <c r="F15" s="32" t="n">
        <f aca="false">F12*cel_U_min</f>
        <v>505</v>
      </c>
      <c r="G15" s="33"/>
    </row>
    <row r="16" customFormat="false" ht="15" hidden="false" customHeight="false" outlineLevel="0" collapsed="false">
      <c r="A16" s="10"/>
      <c r="B16" s="10" t="s">
        <v>427</v>
      </c>
      <c r="C16" s="10" t="s">
        <v>428</v>
      </c>
      <c r="D16" s="10" t="s">
        <v>54</v>
      </c>
      <c r="E16" s="35" t="n">
        <f aca="false">ROUNDUP(E11/E12,0)</f>
        <v>29</v>
      </c>
      <c r="F16" s="35" t="n">
        <f aca="false">ROUNDUP(F11/F12,0)</f>
        <v>34</v>
      </c>
      <c r="G16" s="33"/>
    </row>
    <row r="17" customFormat="false" ht="15" hidden="false" customHeight="false" outlineLevel="0" collapsed="false">
      <c r="A17" s="10"/>
      <c r="B17" s="10" t="s">
        <v>429</v>
      </c>
      <c r="C17" s="10"/>
      <c r="D17" s="10" t="s">
        <v>183</v>
      </c>
      <c r="E17" s="35" t="n">
        <f aca="false">E7/c_eta</f>
        <v>648439.898989899</v>
      </c>
      <c r="F17" s="35" t="n">
        <f aca="false">F7/c_eta</f>
        <v>677121.212121212</v>
      </c>
      <c r="G17" s="33" t="s">
        <v>430</v>
      </c>
    </row>
    <row r="18" customFormat="false" ht="15" hidden="false" customHeight="false" outlineLevel="0" collapsed="false">
      <c r="A18" s="10"/>
      <c r="B18" s="10" t="s">
        <v>431</v>
      </c>
      <c r="C18" s="10" t="s">
        <v>432</v>
      </c>
      <c r="D18" s="10" t="s">
        <v>84</v>
      </c>
      <c r="E18" s="32" t="n">
        <f aca="false">E17/E13</f>
        <v>891.694030514163</v>
      </c>
      <c r="F18" s="32" t="n">
        <f aca="false">F17/F13</f>
        <v>931.134780144681</v>
      </c>
      <c r="G18" s="33"/>
    </row>
    <row r="19" customFormat="false" ht="15" hidden="false" customHeight="false" outlineLevel="0" collapsed="false">
      <c r="A19" s="10"/>
      <c r="B19" s="10" t="s">
        <v>433</v>
      </c>
      <c r="C19" s="10" t="s">
        <v>434</v>
      </c>
      <c r="D19" s="10" t="s">
        <v>84</v>
      </c>
      <c r="E19" s="40" t="n">
        <f aca="false">E17/E15</f>
        <v>1284.03940394039</v>
      </c>
      <c r="F19" s="40" t="n">
        <f aca="false">F17/F15</f>
        <v>1340.83408340834</v>
      </c>
      <c r="G19" s="33" t="s">
        <v>435</v>
      </c>
    </row>
    <row r="20" customFormat="false" ht="15" hidden="false" customHeight="false" outlineLevel="0" collapsed="false">
      <c r="A20" s="10"/>
      <c r="B20" s="10" t="s">
        <v>436</v>
      </c>
      <c r="C20" s="10" t="s">
        <v>428</v>
      </c>
      <c r="D20" s="10" t="s">
        <v>54</v>
      </c>
      <c r="E20" s="35" t="n">
        <f aca="false">ROUNDUP(E19/cel_I,0)</f>
        <v>22</v>
      </c>
      <c r="F20" s="35" t="n">
        <f aca="false">ROUNDUP(F19/cel_I,0)</f>
        <v>23</v>
      </c>
      <c r="G20" s="33"/>
    </row>
    <row r="21" customFormat="false" ht="15" hidden="false" customHeight="false" outlineLevel="0" collapsed="false">
      <c r="A21" s="10"/>
      <c r="B21" s="10" t="s">
        <v>437</v>
      </c>
      <c r="C21" s="10" t="s">
        <v>428</v>
      </c>
      <c r="D21" s="10" t="s">
        <v>54</v>
      </c>
      <c r="E21" s="38" t="n">
        <f aca="false">MAX(E16,E20)</f>
        <v>29</v>
      </c>
      <c r="F21" s="38" t="n">
        <f aca="false">MAX(F16,F20)</f>
        <v>34</v>
      </c>
      <c r="G21" s="33"/>
    </row>
    <row r="22" customFormat="false" ht="15" hidden="false" customHeight="false" outlineLevel="0" collapsed="false">
      <c r="A22" s="10"/>
      <c r="B22" s="10" t="s">
        <v>438</v>
      </c>
      <c r="C22" s="10" t="s">
        <v>198</v>
      </c>
      <c r="D22" s="10" t="s">
        <v>54</v>
      </c>
      <c r="E22" s="38" t="n">
        <f aca="false">E12*E21</f>
        <v>5858</v>
      </c>
      <c r="F22" s="38" t="n">
        <f aca="false">F12*F21</f>
        <v>6868</v>
      </c>
      <c r="G22" s="33"/>
    </row>
    <row r="23" customFormat="false" ht="15" hidden="false" customHeight="false" outlineLevel="0" collapsed="false">
      <c r="A23" s="10"/>
      <c r="B23" s="10" t="s">
        <v>76</v>
      </c>
      <c r="C23" s="10"/>
      <c r="D23" s="10" t="s">
        <v>72</v>
      </c>
      <c r="E23" s="41" t="n">
        <f aca="false">E22*E10/3600000</f>
        <v>105.444</v>
      </c>
      <c r="F23" s="41" t="n">
        <f aca="false">F22*F10/3600000</f>
        <v>123.624</v>
      </c>
      <c r="G23" s="33"/>
    </row>
    <row r="24" customFormat="false" ht="15" hidden="false" customHeight="false" outlineLevel="0" collapsed="false">
      <c r="A24" s="10"/>
      <c r="B24" s="10" t="s">
        <v>439</v>
      </c>
      <c r="C24" s="10"/>
      <c r="D24" s="10" t="s">
        <v>153</v>
      </c>
      <c r="E24" s="32" t="n">
        <f aca="false">E21*cel_Cap</f>
        <v>145</v>
      </c>
      <c r="F24" s="32" t="n">
        <f aca="false">F21*cel_Cap</f>
        <v>170</v>
      </c>
      <c r="G24" s="33"/>
    </row>
    <row r="25" customFormat="false" ht="15" hidden="false" customHeight="false" outlineLevel="0" collapsed="false">
      <c r="A25" s="10"/>
      <c r="B25" s="10" t="s">
        <v>440</v>
      </c>
      <c r="C25" s="10"/>
      <c r="D25" s="10" t="s">
        <v>84</v>
      </c>
      <c r="E25" s="14" t="n">
        <f aca="false">E19/E21</f>
        <v>44.2772208255308</v>
      </c>
      <c r="F25" s="14" t="n">
        <f aca="false">F19/F21</f>
        <v>39.4362965708336</v>
      </c>
      <c r="G25" s="33" t="s">
        <v>441</v>
      </c>
    </row>
    <row r="26" customFormat="false" ht="15" hidden="false" customHeight="false" outlineLevel="0" collapsed="false">
      <c r="A26" s="10"/>
      <c r="B26" s="10" t="s">
        <v>442</v>
      </c>
      <c r="C26" s="10"/>
      <c r="D26" s="10" t="s">
        <v>84</v>
      </c>
      <c r="E26" s="14" t="n">
        <f aca="false">E18/E21</f>
        <v>30.7480700177297</v>
      </c>
      <c r="F26" s="14" t="n">
        <f aca="false">F18/F21</f>
        <v>27.3863170630789</v>
      </c>
      <c r="G26" s="33"/>
    </row>
    <row r="27" customFormat="false" ht="15" hidden="false" customHeight="false" outlineLevel="0" collapsed="false">
      <c r="A27" s="10"/>
      <c r="B27" s="10" t="s">
        <v>284</v>
      </c>
      <c r="C27" s="10" t="s">
        <v>182</v>
      </c>
      <c r="D27" s="10" t="s">
        <v>183</v>
      </c>
      <c r="E27" s="35" t="n">
        <f aca="false">'Date documentare'!T16</f>
        <v>870900</v>
      </c>
      <c r="F27" s="35" t="n">
        <f aca="false">'Date documentare'!T6</f>
        <v>860000</v>
      </c>
      <c r="G27" s="33" t="s">
        <v>443</v>
      </c>
    </row>
    <row r="28" customFormat="false" ht="15" hidden="false" customHeight="false" outlineLevel="0" collapsed="false">
      <c r="A28" s="10"/>
      <c r="B28" s="10" t="s">
        <v>444</v>
      </c>
      <c r="C28" s="10"/>
      <c r="D28" s="10" t="s">
        <v>84</v>
      </c>
      <c r="E28" s="14" t="n">
        <f aca="false">E27/c_eta/E13/E21</f>
        <v>51.6210026175031</v>
      </c>
      <c r="F28" s="14" t="n">
        <f aca="false">F27/c_eta/F13/F21</f>
        <v>43.4786125671391</v>
      </c>
      <c r="G28" s="33"/>
    </row>
    <row r="29" customFormat="false" ht="15" hidden="false" customHeight="false" outlineLevel="0" collapsed="false">
      <c r="A29" s="10"/>
      <c r="B29" s="10" t="s">
        <v>445</v>
      </c>
      <c r="C29" s="10"/>
      <c r="D29" s="10" t="s">
        <v>84</v>
      </c>
      <c r="E29" s="14" t="n">
        <f aca="false">E27/c_eta/E15/E21</f>
        <v>74.3342437692045</v>
      </c>
      <c r="F29" s="14" t="n">
        <f aca="false">F27/c_eta/F15/F21</f>
        <v>62.6092020966803</v>
      </c>
      <c r="G29" s="33" t="s">
        <v>446</v>
      </c>
    </row>
    <row r="30" customFormat="false" ht="15" hidden="false" customHeight="false" outlineLevel="0" collapsed="false">
      <c r="A30" s="16" t="s">
        <v>447</v>
      </c>
    </row>
    <row r="31" customFormat="false" ht="15" hidden="false" customHeight="false" outlineLevel="0" collapsed="false">
      <c r="A31" s="10"/>
      <c r="B31" s="10" t="s">
        <v>448</v>
      </c>
      <c r="C31" s="10"/>
      <c r="D31" s="10" t="s">
        <v>80</v>
      </c>
      <c r="E31" s="40" t="n">
        <f aca="false">E22*cel_m</f>
        <v>415.918</v>
      </c>
      <c r="F31" s="40" t="n">
        <f aca="false">F22*cel_m</f>
        <v>487.628</v>
      </c>
      <c r="G31" s="33"/>
    </row>
    <row r="32" customFormat="false" ht="15" hidden="false" customHeight="false" outlineLevel="0" collapsed="false">
      <c r="A32" s="10"/>
      <c r="B32" s="10" t="s">
        <v>449</v>
      </c>
      <c r="C32" s="10"/>
      <c r="D32" s="10" t="s">
        <v>80</v>
      </c>
      <c r="E32" s="32" t="n">
        <f aca="false">E31/cel_kcp</f>
        <v>660.187301587302</v>
      </c>
      <c r="F32" s="32" t="n">
        <f aca="false">F31/cel_kcp</f>
        <v>774.012698412698</v>
      </c>
      <c r="G32" s="33" t="s">
        <v>450</v>
      </c>
    </row>
    <row r="33" customFormat="false" ht="15" hidden="false" customHeight="false" outlineLevel="0" collapsed="false">
      <c r="A33" s="10"/>
      <c r="B33" s="10" t="s">
        <v>451</v>
      </c>
      <c r="C33" s="10"/>
      <c r="D33" s="10" t="s">
        <v>80</v>
      </c>
      <c r="E33" s="32" t="n">
        <f aca="false">c_k_masa*E8</f>
        <v>706.74</v>
      </c>
      <c r="F33" s="32" t="n">
        <f aca="false">c_k_masa*F8</f>
        <v>738</v>
      </c>
      <c r="G33" s="33"/>
    </row>
    <row r="34" customFormat="false" ht="15" hidden="false" customHeight="false" outlineLevel="0" collapsed="false">
      <c r="A34" s="10"/>
      <c r="B34" s="10" t="s">
        <v>452</v>
      </c>
      <c r="C34" s="10"/>
      <c r="D34" s="10" t="s">
        <v>341</v>
      </c>
      <c r="E34" s="32" t="n">
        <f aca="false">E31/E8*100</f>
        <v>17.655064097122</v>
      </c>
      <c r="F34" s="32" t="n">
        <f aca="false">F31/F8*100</f>
        <v>19.8222764227642</v>
      </c>
      <c r="G34" s="33"/>
    </row>
    <row r="35" customFormat="false" ht="15" hidden="false" customHeight="false" outlineLevel="0" collapsed="false">
      <c r="A35" s="10"/>
      <c r="B35" s="10" t="s">
        <v>453</v>
      </c>
      <c r="C35" s="10"/>
      <c r="D35" s="10" t="s">
        <v>341</v>
      </c>
      <c r="E35" s="32" t="n">
        <f aca="false">E32/E8*100</f>
        <v>28.023911265273</v>
      </c>
      <c r="F35" s="32" t="n">
        <f aca="false">F32/F8*100</f>
        <v>31.4639308297845</v>
      </c>
      <c r="G35" s="33"/>
    </row>
    <row r="36" customFormat="false" ht="15" hidden="false" customHeight="false" outlineLevel="0" collapsed="false">
      <c r="A36" s="10"/>
      <c r="B36" s="10" t="s">
        <v>454</v>
      </c>
      <c r="C36" s="10"/>
      <c r="D36" s="10"/>
      <c r="E36" s="36" t="str">
        <f aca="false">IF(E32&lt;=E33,"DA","NU")</f>
        <v>DA</v>
      </c>
      <c r="F36" s="36" t="str">
        <f aca="false">IF(F32&lt;=F33,"DA","NU")</f>
        <v>NU</v>
      </c>
      <c r="G36" s="33"/>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60"/>
    <col collapsed="false" customWidth="true" hidden="false" outlineLevel="0" max="3" min="3" style="0" width="110"/>
  </cols>
  <sheetData>
    <row r="1" customFormat="false" ht="17.35" hidden="false" customHeight="false" outlineLevel="0" collapsed="false">
      <c r="A1" s="1" t="s">
        <v>455</v>
      </c>
    </row>
    <row r="4" customFormat="false" ht="15" hidden="false" customHeight="false" outlineLevel="0" collapsed="false">
      <c r="A4" s="3" t="s">
        <v>456</v>
      </c>
      <c r="B4" s="3" t="s">
        <v>457</v>
      </c>
      <c r="C4" s="3" t="s">
        <v>458</v>
      </c>
    </row>
    <row r="5" customFormat="false" ht="15" hidden="false" customHeight="false" outlineLevel="0" collapsed="false">
      <c r="A5" s="23" t="s">
        <v>459</v>
      </c>
      <c r="B5" s="23" t="s">
        <v>460</v>
      </c>
      <c r="C5" s="23" t="s">
        <v>461</v>
      </c>
    </row>
    <row r="6" customFormat="false" ht="15" hidden="false" customHeight="false" outlineLevel="0" collapsed="false">
      <c r="A6" s="23" t="s">
        <v>462</v>
      </c>
      <c r="B6" s="23" t="s">
        <v>463</v>
      </c>
      <c r="C6" s="51" t="s">
        <v>464</v>
      </c>
    </row>
    <row r="7" customFormat="false" ht="15" hidden="false" customHeight="false" outlineLevel="0" collapsed="false">
      <c r="A7" s="23" t="s">
        <v>465</v>
      </c>
      <c r="B7" s="23" t="s">
        <v>466</v>
      </c>
      <c r="C7" s="51" t="s">
        <v>467</v>
      </c>
    </row>
    <row r="8" customFormat="false" ht="15" hidden="false" customHeight="false" outlineLevel="0" collapsed="false">
      <c r="A8" s="23" t="s">
        <v>468</v>
      </c>
      <c r="B8" s="23" t="s">
        <v>469</v>
      </c>
      <c r="C8" s="51" t="s">
        <v>470</v>
      </c>
    </row>
    <row r="9" customFormat="false" ht="15" hidden="false" customHeight="false" outlineLevel="0" collapsed="false">
      <c r="A9" s="23" t="s">
        <v>471</v>
      </c>
      <c r="B9" s="23" t="s">
        <v>472</v>
      </c>
      <c r="C9" s="51" t="s">
        <v>473</v>
      </c>
    </row>
    <row r="10" customFormat="false" ht="15" hidden="false" customHeight="false" outlineLevel="0" collapsed="false">
      <c r="A10" s="23" t="s">
        <v>474</v>
      </c>
      <c r="B10" s="23" t="s">
        <v>475</v>
      </c>
      <c r="C10" s="51" t="s">
        <v>476</v>
      </c>
    </row>
    <row r="11" customFormat="false" ht="15" hidden="false" customHeight="false" outlineLevel="0" collapsed="false">
      <c r="A11" s="23" t="s">
        <v>477</v>
      </c>
      <c r="B11" s="23" t="s">
        <v>478</v>
      </c>
      <c r="C11" s="51" t="s">
        <v>479</v>
      </c>
    </row>
    <row r="12" customFormat="false" ht="15" hidden="false" customHeight="false" outlineLevel="0" collapsed="false">
      <c r="A12" s="23" t="s">
        <v>480</v>
      </c>
      <c r="B12" s="23" t="s">
        <v>481</v>
      </c>
      <c r="C12" s="51" t="s">
        <v>482</v>
      </c>
    </row>
    <row r="13" customFormat="false" ht="15" hidden="false" customHeight="false" outlineLevel="0" collapsed="false">
      <c r="A13" s="23" t="s">
        <v>483</v>
      </c>
      <c r="B13" s="23" t="s">
        <v>484</v>
      </c>
      <c r="C13" s="51" t="s">
        <v>485</v>
      </c>
    </row>
    <row r="14" customFormat="false" ht="15" hidden="false" customHeight="false" outlineLevel="0" collapsed="false">
      <c r="A14" s="23" t="s">
        <v>486</v>
      </c>
      <c r="B14" s="23" t="s">
        <v>487</v>
      </c>
      <c r="C14" s="51" t="s">
        <v>488</v>
      </c>
    </row>
    <row r="15" customFormat="false" ht="15" hidden="false" customHeight="false" outlineLevel="0" collapsed="false">
      <c r="A15" s="23" t="s">
        <v>489</v>
      </c>
      <c r="B15" s="23" t="s">
        <v>490</v>
      </c>
      <c r="C15" s="51" t="s">
        <v>491</v>
      </c>
    </row>
    <row r="16" customFormat="false" ht="15" hidden="false" customHeight="false" outlineLevel="0" collapsed="false">
      <c r="A16" s="23" t="s">
        <v>492</v>
      </c>
      <c r="B16" s="23" t="s">
        <v>493</v>
      </c>
      <c r="C16" s="51" t="s">
        <v>494</v>
      </c>
    </row>
    <row r="17" customFormat="false" ht="15" hidden="false" customHeight="false" outlineLevel="0" collapsed="false">
      <c r="A17" s="23" t="s">
        <v>495</v>
      </c>
      <c r="B17" s="23" t="s">
        <v>496</v>
      </c>
      <c r="C17" s="51" t="s">
        <v>497</v>
      </c>
    </row>
    <row r="18" customFormat="false" ht="15" hidden="false" customHeight="false" outlineLevel="0" collapsed="false">
      <c r="A18" s="23" t="s">
        <v>498</v>
      </c>
      <c r="B18" s="23" t="s">
        <v>499</v>
      </c>
      <c r="C18" s="51" t="s">
        <v>141</v>
      </c>
    </row>
    <row r="19" customFormat="false" ht="15" hidden="false" customHeight="false" outlineLevel="0" collapsed="false">
      <c r="A19" s="23" t="s">
        <v>500</v>
      </c>
      <c r="B19" s="23" t="s">
        <v>501</v>
      </c>
      <c r="C19" s="51" t="s">
        <v>502</v>
      </c>
    </row>
    <row r="20" customFormat="false" ht="15" hidden="false" customHeight="false" outlineLevel="0" collapsed="false">
      <c r="A20" s="23" t="s">
        <v>503</v>
      </c>
      <c r="B20" s="23" t="s">
        <v>504</v>
      </c>
      <c r="C20" s="51" t="s">
        <v>505</v>
      </c>
    </row>
    <row r="21" customFormat="false" ht="15" hidden="false" customHeight="false" outlineLevel="0" collapsed="false">
      <c r="A21" s="23" t="s">
        <v>506</v>
      </c>
      <c r="B21" s="23" t="s">
        <v>507</v>
      </c>
      <c r="C21" s="51" t="s">
        <v>508</v>
      </c>
    </row>
    <row r="22" customFormat="false" ht="15" hidden="false" customHeight="false" outlineLevel="0" collapsed="false">
      <c r="A22" s="23" t="s">
        <v>509</v>
      </c>
      <c r="B22" s="23" t="s">
        <v>510</v>
      </c>
      <c r="C22" s="51" t="s">
        <v>511</v>
      </c>
    </row>
    <row r="23" customFormat="false" ht="15" hidden="false" customHeight="false" outlineLevel="0" collapsed="false">
      <c r="A23" s="23" t="s">
        <v>512</v>
      </c>
      <c r="B23" s="23" t="s">
        <v>513</v>
      </c>
      <c r="C23" s="51" t="s">
        <v>514</v>
      </c>
    </row>
    <row r="24" customFormat="false" ht="15" hidden="false" customHeight="false" outlineLevel="0" collapsed="false">
      <c r="A24" s="23" t="s">
        <v>515</v>
      </c>
      <c r="B24" s="23" t="s">
        <v>516</v>
      </c>
      <c r="C24" s="51" t="s">
        <v>517</v>
      </c>
    </row>
    <row r="25" customFormat="false" ht="15" hidden="false" customHeight="false" outlineLevel="0" collapsed="false">
      <c r="A25" s="23" t="s">
        <v>518</v>
      </c>
      <c r="B25" s="23" t="s">
        <v>519</v>
      </c>
      <c r="C25" s="51" t="s">
        <v>520</v>
      </c>
    </row>
    <row r="26" customFormat="false" ht="15" hidden="false" customHeight="false" outlineLevel="0" collapsed="false">
      <c r="A26" s="23" t="s">
        <v>521</v>
      </c>
      <c r="B26" s="23" t="s">
        <v>522</v>
      </c>
      <c r="C26" s="51" t="s">
        <v>523</v>
      </c>
    </row>
    <row r="27" customFormat="false" ht="15" hidden="false" customHeight="false" outlineLevel="0" collapsed="false">
      <c r="A27" s="23" t="s">
        <v>524</v>
      </c>
      <c r="B27" s="23" t="s">
        <v>525</v>
      </c>
      <c r="C27" s="51" t="s">
        <v>526</v>
      </c>
    </row>
    <row r="28" customFormat="false" ht="15" hidden="false" customHeight="false" outlineLevel="0" collapsed="false">
      <c r="A28" s="23" t="s">
        <v>527</v>
      </c>
      <c r="B28" s="23" t="s">
        <v>528</v>
      </c>
      <c r="C28" s="51" t="s">
        <v>529</v>
      </c>
    </row>
    <row r="29" customFormat="false" ht="15" hidden="false" customHeight="false" outlineLevel="0" collapsed="false">
      <c r="A29" s="23" t="s">
        <v>530</v>
      </c>
      <c r="B29" s="23" t="s">
        <v>531</v>
      </c>
      <c r="C29" s="51" t="s">
        <v>532</v>
      </c>
    </row>
    <row r="30" customFormat="false" ht="15" hidden="false" customHeight="false" outlineLevel="0" collapsed="false">
      <c r="A30" s="23" t="s">
        <v>533</v>
      </c>
      <c r="B30" s="23" t="s">
        <v>534</v>
      </c>
      <c r="C30" s="51" t="s">
        <v>535</v>
      </c>
    </row>
    <row r="31" customFormat="false" ht="15" hidden="false" customHeight="false" outlineLevel="0" collapsed="false">
      <c r="A31" s="23" t="s">
        <v>536</v>
      </c>
      <c r="B31" s="23" t="s">
        <v>537</v>
      </c>
      <c r="C31" s="51" t="s">
        <v>538</v>
      </c>
    </row>
    <row r="32" customFormat="false" ht="15" hidden="false" customHeight="false" outlineLevel="0" collapsed="false">
      <c r="A32" s="23" t="s">
        <v>539</v>
      </c>
      <c r="B32" s="23" t="s">
        <v>540</v>
      </c>
      <c r="C32" s="23" t="s">
        <v>541</v>
      </c>
    </row>
    <row r="33" customFormat="false" ht="15" hidden="false" customHeight="false" outlineLevel="0" collapsed="false">
      <c r="A33" s="23" t="s">
        <v>542</v>
      </c>
      <c r="B33" s="23" t="s">
        <v>543</v>
      </c>
      <c r="C33" s="23" t="s">
        <v>541</v>
      </c>
    </row>
  </sheetData>
  <hyperlinks>
    <hyperlink ref="C6" r:id="rId1" display="https://media.mercedes-benz.com/en/article/c8b7109f-2287-4070-b776-9204da1513ef"/>
    <hyperlink ref="C7" r:id="rId2" display="https://newsroom.porsche.com/dam/jcr:c96cbebc-3745-4700-b385-981a9c4fe91d/pag-taycan-turbo-gt-weissachpaket-td-en.pdf"/>
    <hyperlink ref="C8" r:id="rId3" display="https://uploads.audi-mediacenter.com/system/production/car_motorizations/1392/file_en/91bfc69ec55530e277b5023245b77c1c82772920/eTD-Audi-RS-e-tron-GT-performance-550kW_250515.pdf"/>
    <hyperlink ref="C9" r:id="rId4" display="https://www.lotuscars.com/en/press/models/emeya"/>
    <hyperlink ref="C10" r:id="rId5" display="https://ev-database.org/car/3384/Tesla-Model-S-Plaid"/>
    <hyperlink ref="C11" r:id="rId6" display="https://lucidmotors.com/de-de/air"/>
    <hyperlink ref="C12" r:id="rId7" display="https://lucidmotors.com/media/document/lucid-air-sapphire-technical-specs-2024.pdf"/>
    <hyperlink ref="C13" r:id="rId8" display="https://www.xiaomiev.com/car-config?carItemId=500010402"/>
    <hyperlink ref="C14" r:id="rId9" display="https://data.carnewschina.com/xiaomi-auto/su7-ultra/2025/params"/>
    <hyperlink ref="C15" r:id="rId10" display="https://www.yangwangauto.com/material/yangwang_cn/images/u9/2025-12-23/U9%E8%BD%A6%E4%B9%A620251223.pdf"/>
    <hyperlink ref="C16" r:id="rId11" display="https://www.rimac-automobili.com/nevera/"/>
    <hyperlink ref="C17" r:id="rId12" display="https://ev-database.org/car/1803/Maserati-GranTurismo-Folgore"/>
    <hyperlink ref="C18" r:id="rId13" display="https://www.molicel.com/wp-content/uploads/4.TR%E7%B0%A1%E6%98%93%E8%A6%8F%E6%A0%BC_INR21700P50B_1.1_Product-Data-Sheet-of-INR-21700-P50B-80122.pdf"/>
    <hyperlink ref="C19" r:id="rId14" display="https://www.molicel.com/wp-content/uploads/INR21700P45B_1.4_Product-Data-Sheet-of-INR-21700-P45B-80109.pdf"/>
    <hyperlink ref="C20" r:id="rId15" display="https://www.adac.de/rund-ums-fahrzeug/autokatalog/marken-modelle/mercedes-benz/amg-gt-4-tuerer-coupe/590/351152/"/>
    <hyperlink ref="C21" r:id="rId16" display="https://de.wikipedia.org/wiki/Luftdichte"/>
    <hyperlink ref="C22" r:id="rId17" display="https://archive.nptel.ac.in/content/storage2/courses/108103009/module2/lec3/8.html"/>
    <hyperlink ref="C23" r:id="rId18" display="https://www.trl.co.uk/uploads/trl/documents/PPR496.pdf"/>
    <hyperlink ref="C24" r:id="rId19" display="https://www.fueleconomy.gov/feg/atv-ev.shtml"/>
    <hyperlink ref="C25" r:id="rId20" display="https://doi.org/10.3390/wevj16090484"/>
    <hyperlink ref="C26" r:id="rId21" display="https://doi.org/10.3390/wevj11040077"/>
    <hyperlink ref="C27" r:id="rId22" display="https://yasa.com/yasa-series-motors/"/>
    <hyperlink ref="C28" r:id="rId23" display="https://turntide.com/products/motors/"/>
    <hyperlink ref="C29" r:id="rId24" display="https://www.ehelix.com/products/spm177-electric-motor/"/>
    <hyperlink ref="C30" r:id="rId25" display="https://emrax.com/wp-content/uploads/2026/08/EMRAX_348_datasheet_v1.7.pdf"/>
    <hyperlink ref="C31" r:id="rId26" display="https://equipmake.com/products/apm-200/"/>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2026-10-15T11:16:34Z</dcterms:created>
  <dc:creator>openpyxl</dc:creator>
  <dc:description/>
  <dc:language>en-US</dc:language>
  <cp:lastModifiedBy/>
  <dcterms:modified xsi:type="dcterms:W3CDTF">2026-10-15T11:16:34Z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