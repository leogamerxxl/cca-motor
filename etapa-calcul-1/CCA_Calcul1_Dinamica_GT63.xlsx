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zultate" sheetId="1" state="visible" r:id="rId3"/>
    <sheet name="Date de intrare" sheetId="2" state="visible" r:id="rId4"/>
    <sheet name="Calcul regimuri" sheetId="3" state="visible" r:id="rId5"/>
    <sheet name="Caracteristica tractiune" sheetId="4" state="visible" r:id="rId6"/>
  </sheets>
  <definedNames>
    <definedName function="false" hidden="false" name="A_f" vbProcedure="false">'Date de intrare'!$C$10</definedName>
    <definedName function="false" hidden="false" name="a_med" vbProcedure="false">'Date de intrare'!$C$35</definedName>
    <definedName function="false" hidden="false" name="B_anv" vbProcedure="false">'Date de intrare'!$C$19</definedName>
    <definedName function="false" hidden="false" name="C_x" vbProcedure="false">'Date de intrare'!$C$9</definedName>
    <definedName function="false" hidden="false" name="delta_m" vbProcedure="false">'Date de intrare'!$C$26</definedName>
    <definedName function="false" hidden="false" name="D_jant" vbProcedure="false">'Date de intrare'!$C$18</definedName>
    <definedName function="false" hidden="false" name="eta_t" vbProcedure="false">'Date de intrare'!$C$25</definedName>
    <definedName function="false" hidden="false" name="f_r" vbProcedure="false">'Date de intrare'!$C$30</definedName>
    <definedName function="false" hidden="false" name="g_acc" vbProcedure="false">'Date de intrare'!$C$28</definedName>
    <definedName function="false" hidden="false" name="h_rap" vbProcedure="false">'Date de intrare'!$C$20</definedName>
    <definedName function="false" hidden="false" name="i_g" vbProcedure="false">'Date de intrare'!$C$24</definedName>
    <definedName function="false" hidden="false" name="k_def" vbProcedure="false">'Date de intrare'!$C$21</definedName>
    <definedName function="false" hidden="false" name="mu_perf" vbProcedure="false">'Date de intrare'!$C$32</definedName>
    <definedName function="false" hidden="false" name="mu_us" vbProcedure="false">'Date de intrare'!$C$31</definedName>
    <definedName function="false" hidden="false" name="M_calc" vbProcedure="false">'Date de intrare'!$C$8</definedName>
    <definedName function="false" hidden="false" name="M_DIN" vbProcedure="false">'Date de intrare'!$C$6</definedName>
    <definedName function="false" hidden="false" name="m_sofer" vbProcedure="false">'Date de intrare'!$C$7</definedName>
    <definedName function="false" hidden="false" name="n_m_vmax" vbProcedure="false">'Date de intrare'!$C$23</definedName>
    <definedName function="false" hidden="false" name="p_1" vbProcedure="false">'Date de intrare'!$C$36</definedName>
    <definedName function="false" hidden="false" name="P_cont" vbProcedure="false">'Date de intrare'!$C$13</definedName>
    <definedName function="false" hidden="false" name="p_max" vbProcedure="false">'Date de intrare'!$C$38</definedName>
    <definedName function="false" hidden="false" name="P_vf" vbProcedure="false">'Date de intrare'!$C$12</definedName>
    <definedName function="false" hidden="false" name="rho_aer" vbProcedure="false">'Date de intrare'!$C$29</definedName>
    <definedName function="false" hidden="false" name="r_w" vbProcedure="false">'Date de intrare'!$C$22</definedName>
    <definedName function="false" hidden="false" name="t_200" vbProcedure="false">'Date de intrare'!$C$16</definedName>
    <definedName function="false" hidden="false" name="t_acc" vbProcedure="false">'Date de intrare'!$C$15</definedName>
    <definedName function="false" hidden="false" name="T_max" vbProcedure="false">'Date de intrare'!$C$11</definedName>
    <definedName function="false" hidden="false" name="v_acc" vbProcedure="false">'Date de intrare'!$C$34</definedName>
    <definedName function="false" hidden="false" name="v_max" vbProcedure="false">'Date de intrare'!$C$14</definedName>
    <definedName function="false" hidden="false" name="v_p1" vbProcedure="false">'Date de intrare'!$C$37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<sst xmlns="http://schemas.openxmlformats.org/spreadsheetml/2006/main" count="401" uniqueCount="296">
  <si>
    <t xml:space="preserve">Etapa 1 de calcul – rezultate: dinamica longitudinală a Mercedes-AMG GT 63 4-Door Coupé</t>
  </si>
  <si>
    <t xml:space="preserve">Calcul după „Noțiuni generale de dinamica vehiculului” (curs CCA C1, L. Popescu, UPB). Toate valorile sunt formule legate de foile „Date de intrare” și „Calcul regimuri”.</t>
  </si>
  <si>
    <t xml:space="preserve">1. Date principale</t>
  </si>
  <si>
    <t xml:space="preserve">Masa de calcul M</t>
  </si>
  <si>
    <t xml:space="preserve">kg</t>
  </si>
  <si>
    <t xml:space="preserve">Cx · S</t>
  </si>
  <si>
    <t xml:space="preserve">m²</t>
  </si>
  <si>
    <t xml:space="preserve">Coeficient de rulare f / aderență μ</t>
  </si>
  <si>
    <t xml:space="preserve">–</t>
  </si>
  <si>
    <t xml:space="preserve">Raza dinamică a roții r_w</t>
  </si>
  <si>
    <t xml:space="preserve">m</t>
  </si>
  <si>
    <t xml:space="preserve">Raport de transmitere estimat i_g</t>
  </si>
  <si>
    <t xml:space="preserve">Randament transmisie η</t>
  </si>
  <si>
    <t xml:space="preserve">Cuplu maxim / putere de vârf / putere continuă</t>
  </si>
  <si>
    <t xml:space="preserve">2. Regimuri caracteristice (rel. 25–33, 35–43)</t>
  </si>
  <si>
    <t xml:space="preserve">Regim</t>
  </si>
  <si>
    <t xml:space="preserve">Descriere</t>
  </si>
  <si>
    <t xml:space="preserve">v [km/h]</t>
  </si>
  <si>
    <t xml:space="preserve">Pantă [%]</t>
  </si>
  <si>
    <t xml:space="preserve">a [m/s²]</t>
  </si>
  <si>
    <t xml:space="preserve">F_t nec. [N]</t>
  </si>
  <si>
    <t xml:space="preserve">T_w [N·m]</t>
  </si>
  <si>
    <t xml:space="preserve">P_w [kW]</t>
  </si>
  <si>
    <t xml:space="preserve">P_m [kW]</t>
  </si>
  <si>
    <t xml:space="preserve">T_m [N·m]</t>
  </si>
  <si>
    <t xml:space="preserve">n_m [rot/min]</t>
  </si>
  <si>
    <t xml:space="preserve">μ necesar</t>
  </si>
  <si>
    <t xml:space="preserve">Verificare (43)</t>
  </si>
  <si>
    <t xml:space="preserve">Limitare</t>
  </si>
  <si>
    <t xml:space="preserve">S1</t>
  </si>
  <si>
    <t xml:space="preserve">Viteză maximă, drum orizontal</t>
  </si>
  <si>
    <t xml:space="preserve">S2a</t>
  </si>
  <si>
    <t xml:space="preserve">Accelerare 0–100 km/h – la pornire (v = 0)</t>
  </si>
  <si>
    <t xml:space="preserve">S2b</t>
  </si>
  <si>
    <t xml:space="preserve">Accelerare 0–100 km/h – la 100 km/h</t>
  </si>
  <si>
    <t xml:space="preserve">S3</t>
  </si>
  <si>
    <t xml:space="preserve">Rampă 10 % la 100 km/h, viteză constantă</t>
  </si>
  <si>
    <t xml:space="preserve">S4</t>
  </si>
  <si>
    <t xml:space="preserve">Pornire pe panta maximă 30 % (v ≈ 0, a = 0)</t>
  </si>
  <si>
    <t xml:space="preserve">3. Indicatori de performanță (model vs. date oficiale)</t>
  </si>
  <si>
    <t xml:space="preserve">Indicator</t>
  </si>
  <si>
    <t xml:space="preserve">Calculat</t>
  </si>
  <si>
    <t xml:space="preserve">Oficial</t>
  </si>
  <si>
    <t xml:space="preserve">Observație</t>
  </si>
  <si>
    <t xml:space="preserve">Timp 0–100 km/h, μ = 0,85 (asfalt uscat, tabel curs)</t>
  </si>
  <si>
    <t xml:space="preserve">aderența limitează accelerarea</t>
  </si>
  <si>
    <t xml:space="preserve">Timp 0–100 km/h, μ = 1,20 (anvelope de performanță)</t>
  </si>
  <si>
    <t xml:space="preserve">verifică performanța oficială</t>
  </si>
  <si>
    <t xml:space="preserve">Timp 0–200 km/h, μ = 1,20</t>
  </si>
  <si>
    <t xml:space="preserve">peste ≈100 km/h limitează puterea de vârf</t>
  </si>
  <si>
    <t xml:space="preserve">Accelerația maximă la pornire, μ = 0,85 [m/s²]</t>
  </si>
  <si>
    <t xml:space="preserve">oficial = accelerația medie 0–100</t>
  </si>
  <si>
    <t xml:space="preserve">Coeficient de aderență necesar pentru 0–100 în 2,4 s</t>
  </si>
  <si>
    <t xml:space="preserve">regimul S2a</t>
  </si>
  <si>
    <t xml:space="preserve">Viteza maximă teoretică cu puterea continuă [km/h]</t>
  </si>
  <si>
    <t xml:space="preserve">v_max reală este limitată electronic / de turație</t>
  </si>
  <si>
    <t xml:space="preserve">Panta maximă (limită de aderență, μ = 0,85) [%]</t>
  </si>
  <si>
    <t xml:space="preserve">tracțiune integrală</t>
  </si>
  <si>
    <t xml:space="preserve">Puterea motoarelor la v_max = 300 km/h [kW]</t>
  </si>
  <si>
    <t xml:space="preserve">comparată cu puterea continuă</t>
  </si>
  <si>
    <t xml:space="preserve">4. Concluzii</t>
  </si>
  <si>
    <t xml:space="preserve">Etapa 1 de calcul – dinamica longitudinală: date de intrare</t>
  </si>
  <si>
    <t xml:space="preserve">Vehicul: Mercedes-AMG GT 63 4MATIC+ 4-Door Coupé (versiunea de serie a Concept AMG GT XX). Text albastru = valoare introdusă (modificabilă); text negru = formulă. Numele din coloana A pot fi folosite direct în formule (ex. =0,5*rho_aer*C_x*A_f*v^2).</t>
  </si>
  <si>
    <t xml:space="preserve">Nume</t>
  </si>
  <si>
    <t xml:space="preserve">Mărime</t>
  </si>
  <si>
    <t xml:space="preserve">Valoare</t>
  </si>
  <si>
    <t xml:space="preserve">Unitate</t>
  </si>
  <si>
    <t xml:space="preserve">Tip</t>
  </si>
  <si>
    <t xml:space="preserve">Sursă / justificare</t>
  </si>
  <si>
    <t xml:space="preserve">Vehicul</t>
  </si>
  <si>
    <t xml:space="preserve">M_DIN</t>
  </si>
  <si>
    <t xml:space="preserve">Masa proprie DIN (fără șofer)</t>
  </si>
  <si>
    <t xml:space="preserve">oficial</t>
  </si>
  <si>
    <t xml:space="preserve">Mercedes-Benz Media, comunicat de lansare 20.05.2026 (tabel tehnic)</t>
  </si>
  <si>
    <t xml:space="preserve">m_sofer</t>
  </si>
  <si>
    <t xml:space="preserve">Masa șoferului (convenția UE)</t>
  </si>
  <si>
    <t xml:space="preserve">ipoteză</t>
  </si>
  <si>
    <t xml:space="preserve">Regulamentul UE 1230/2012: masa în ordine de mers include șoferul de 75 kg</t>
  </si>
  <si>
    <t xml:space="preserve">M_calc</t>
  </si>
  <si>
    <t xml:space="preserve">Masa totală de calcul M</t>
  </si>
  <si>
    <t xml:space="preserve">calculat</t>
  </si>
  <si>
    <t xml:space="preserve">Egală cu masa UE în ordine de mers: 2535 kg (valoare oficială)</t>
  </si>
  <si>
    <t xml:space="preserve">C_x</t>
  </si>
  <si>
    <t xml:space="preserve">Coeficient de rezistență aerodinamică Cx</t>
  </si>
  <si>
    <t xml:space="preserve">A_f</t>
  </si>
  <si>
    <t xml:space="preserve">Aria frontală S</t>
  </si>
  <si>
    <t xml:space="preserve">Mercedes-Benz Media, comunicat de lansare 20.05.2026 (tabel tehnic) (valoare publicată pentru gama AMG GT 4-Door Coupé electric)</t>
  </si>
  <si>
    <t xml:space="preserve">T_max</t>
  </si>
  <si>
    <t xml:space="preserve">Cuplul maxim al sistemului de propulsie T_m,max</t>
  </si>
  <si>
    <t xml:space="preserve">N·m</t>
  </si>
  <si>
    <t xml:space="preserve">Mercedes-Benz Media, comunicat de lansare 20.05.2026 (tabel tehnic); considerat la arborii motoarelor (vezi ipoteza transmisiei)</t>
  </si>
  <si>
    <t xml:space="preserve">P_vf</t>
  </si>
  <si>
    <t xml:space="preserve">Puterea de vârf (AMG Launch Control)</t>
  </si>
  <si>
    <t xml:space="preserve">kW</t>
  </si>
  <si>
    <t xml:space="preserve">Mercedes-Benz Media, comunicat de lansare 20.05.2026 (tabel tehnic); disponibilă cel mult 63 s, la SoC ≥ 80 %</t>
  </si>
  <si>
    <t xml:space="preserve">P_cont</t>
  </si>
  <si>
    <t xml:space="preserve">Puterea continuă</t>
  </si>
  <si>
    <t xml:space="preserve">v_max</t>
  </si>
  <si>
    <t xml:space="preserve">Viteza maximă (limitată electronic)</t>
  </si>
  <si>
    <t xml:space="preserve">km/h</t>
  </si>
  <si>
    <t xml:space="preserve">Mercedes-Benz Media, comunicat de lansare 20.05.2026 (tabel tehnic) (cu AMG Driver's Package)</t>
  </si>
  <si>
    <t xml:space="preserve">t_acc</t>
  </si>
  <si>
    <t xml:space="preserve">Timp de accelerare 0–100 km/h</t>
  </si>
  <si>
    <t xml:space="preserve">s</t>
  </si>
  <si>
    <t xml:space="preserve">Mercedes-Benz Media, comunicat de lansare 20.05.2026 (tabel tehnic) (2,1 s este cu „1-foot rollout”)</t>
  </si>
  <si>
    <t xml:space="preserve">t_200</t>
  </si>
  <si>
    <t xml:space="preserve">Timp de accelerare 0–200 km/h</t>
  </si>
  <si>
    <t xml:space="preserve">Roată și transmisie</t>
  </si>
  <si>
    <t xml:space="preserve">D_jant</t>
  </si>
  <si>
    <t xml:space="preserve">Diametrul jantei</t>
  </si>
  <si>
    <t xml:space="preserve">inch</t>
  </si>
  <si>
    <t xml:space="preserve">Jante de 19″–21″ (oficial); se alege 21″, varianta cea mai performantă</t>
  </si>
  <si>
    <t xml:space="preserve">B_anv</t>
  </si>
  <si>
    <t xml:space="preserve">Lățimea anvelopei (punte spate)</t>
  </si>
  <si>
    <t xml:space="preserve">mm</t>
  </si>
  <si>
    <t xml:space="preserve">Dimensiunile anvelopelor versiunii electrice nu sunt publicate; se preia 295/30 R21 de la AMG GT 63 4-Door Coupé (V8). De confirmat în CoC.</t>
  </si>
  <si>
    <t xml:space="preserve">h_rap</t>
  </si>
  <si>
    <t xml:space="preserve">Raportul de aspect al anvelopei (înălțime/lățime)</t>
  </si>
  <si>
    <t xml:space="preserve">Idem (profil 30)</t>
  </si>
  <si>
    <t xml:space="preserve">k_def</t>
  </si>
  <si>
    <t xml:space="preserve">Coeficient de deformare radială sub sarcină</t>
  </si>
  <si>
    <t xml:space="preserve">Raza dinamică ≈ 0,96–0,98 × raza liberă (valoare uzuală)</t>
  </si>
  <si>
    <t xml:space="preserve">r_w</t>
  </si>
  <si>
    <t xml:space="preserve">Raza liberă = D_jantă/2 + B·h/B; r_w = k_def × raza liberă</t>
  </si>
  <si>
    <t xml:space="preserve">n_m_vmax</t>
  </si>
  <si>
    <t xml:space="preserve">Turația motoarelor de pe puntea spate la v_max</t>
  </si>
  <si>
    <t xml:space="preserve">rot/min</t>
  </si>
  <si>
    <t xml:space="preserve">Mercedes-Benz Media: „peste 13 000 rot/min” la v_max (spate), peste 15 000 rot/min (față)</t>
  </si>
  <si>
    <t xml:space="preserve">i_g</t>
  </si>
  <si>
    <t xml:space="preserve">Raportul total de transmitere i_g (punte spate, estimat)</t>
  </si>
  <si>
    <t xml:space="preserve">Raportul nu este publicat: i_g = n_motor / n_roată la v_max (limită inferioară). Se folosește ca raport echivalent pentru întreaga acționare.</t>
  </si>
  <si>
    <t xml:space="preserve">eta_t</t>
  </si>
  <si>
    <t xml:space="preserve">Randamentul transmisiei η (motor → roată)</t>
  </si>
  <si>
    <t xml:space="preserve">Reductor planetar cu o treaptă (~0,97) × pierderi în arbori/lagăre; valoare uzuală 0,93–0,97</t>
  </si>
  <si>
    <t xml:space="preserve">delta_m</t>
  </si>
  <si>
    <t xml:space="preserve">Coeficientul maselor în rotație δ</t>
  </si>
  <si>
    <t xml:space="preserve">curs C1</t>
  </si>
  <si>
    <t xml:space="preserve">Curs C1, rel. (23): pentru modelul inițial F_i = M·a este suficient (δ = 1)</t>
  </si>
  <si>
    <t xml:space="preserve">Mediu și drum</t>
  </si>
  <si>
    <t xml:space="preserve">g_acc</t>
  </si>
  <si>
    <t xml:space="preserve">Accelerația gravitațională g</t>
  </si>
  <si>
    <t xml:space="preserve">m/s²</t>
  </si>
  <si>
    <t xml:space="preserve">constantă</t>
  </si>
  <si>
    <t xml:space="preserve">rho_aer</t>
  </si>
  <si>
    <t xml:space="preserve">Densitatea aerului ρ</t>
  </si>
  <si>
    <t xml:space="preserve">kg/m³</t>
  </si>
  <si>
    <t xml:space="preserve">Atmosfera standard: 15 °C, 101,325 kPa, fără vânt (rel. 7)</t>
  </si>
  <si>
    <t xml:space="preserve">f_r</t>
  </si>
  <si>
    <t xml:space="preserve">Coeficientul de rezistență la rulare f</t>
  </si>
  <si>
    <t xml:space="preserve">Curs C1, tabel: asfalt uscat, normal – 0,012 (interval 0,010–0,015)</t>
  </si>
  <si>
    <t xml:space="preserve">mu_us</t>
  </si>
  <si>
    <t xml:space="preserve">Coeficientul de aderență μ – asfalt uscat</t>
  </si>
  <si>
    <t xml:space="preserve">Curs C1, tabel: asfalt uscat 0,80–0,90 (mijlocul intervalului)</t>
  </si>
  <si>
    <t xml:space="preserve">mu_perf</t>
  </si>
  <si>
    <t xml:space="preserve">Coeficientul de aderență μ – anvelope de performanță</t>
  </si>
  <si>
    <t xml:space="preserve">Anvelope sport de înaltă aderență pe asfalt uscat, cald (verificare a performanței oficiale)</t>
  </si>
  <si>
    <t xml:space="preserve">Cerințe de calcul (regimuri)</t>
  </si>
  <si>
    <t xml:space="preserve">v_acc</t>
  </si>
  <si>
    <t xml:space="preserve">Viteza de capăt a accelerării</t>
  </si>
  <si>
    <t xml:space="preserve">0–100 km/h</t>
  </si>
  <si>
    <t xml:space="preserve">a_med</t>
  </si>
  <si>
    <t xml:space="preserve">Accelerația medie impusă 0–100 km/h</t>
  </si>
  <si>
    <t xml:space="preserve">a = Δv / t</t>
  </si>
  <si>
    <t xml:space="preserve">p_1</t>
  </si>
  <si>
    <t xml:space="preserve">Pantă de verificare (regim S3)</t>
  </si>
  <si>
    <t xml:space="preserve">%</t>
  </si>
  <si>
    <t xml:space="preserve">Curs C1, exemplul rel. (21): pantă de 10 %</t>
  </si>
  <si>
    <t xml:space="preserve">v_p1</t>
  </si>
  <si>
    <t xml:space="preserve">Viteza constantă pe panta p_1</t>
  </si>
  <si>
    <t xml:space="preserve">Deplasare pe autostradă în rampă</t>
  </si>
  <si>
    <t xml:space="preserve">p_max</t>
  </si>
  <si>
    <t xml:space="preserve">Panta maximă pentru pornire (regim S4)</t>
  </si>
  <si>
    <t xml:space="preserve">Cerință uzuală pentru autoturisme (rampe de parcare); se precizează în tema de proiectare</t>
  </si>
  <si>
    <t xml:space="preserve">Ipoteze ale modelului (curs C1, cap. 1):</t>
  </si>
  <si>
    <t xml:space="preserve">1. Model longitudinal simplificat: vehiculul este un corp rigid care se deplasează pe direcția pantei; vânt nul (rel. 7, nu rel. 8).</t>
  </si>
  <si>
    <t xml:space="preserve">2. Tracțiune integrală (3 motoare, 2 spate + 1 față): întreaga greutate este pe roți motoare, deci F_z = M·g·cos α (rel. 37), fără transfer de sarcină între punți.</t>
  </si>
  <si>
    <t xml:space="preserve">3. Acționarea este tratată ca un motor echivalent cu cuplul T_m,max și raportul i_g; F_t,drive = min(T_m,max·i_g·η/r_w ; η·P/v) (rel. 6 și 30).</t>
  </si>
  <si>
    <t xml:space="preserve">4. f și μ sunt considerați constanți (nivelul „simplificat” din tabelul cursului: dimensionare preliminară).</t>
  </si>
  <si>
    <t xml:space="preserve">Calculul regimurilor caracteristice – relațiile din curs C1</t>
  </si>
  <si>
    <t xml:space="preserve">Fiecare coloană este un regim de funcționare. Rândurile urmează succesiunea din curs: rezistențe → forța de tracțiune necesară → cuplu și putere → verificarea aderenței și a acționării.</t>
  </si>
  <si>
    <t xml:space="preserve">Rel. curs</t>
  </si>
  <si>
    <t xml:space="preserve">Expresie</t>
  </si>
  <si>
    <t xml:space="preserve">Viteza v</t>
  </si>
  <si>
    <t xml:space="preserve">intrare</t>
  </si>
  <si>
    <t xml:space="preserve">v / 3,6</t>
  </si>
  <si>
    <t xml:space="preserve">m/s</t>
  </si>
  <si>
    <t xml:space="preserve">Panta p = tg α</t>
  </si>
  <si>
    <t xml:space="preserve">(18)</t>
  </si>
  <si>
    <t xml:space="preserve">Unghiul pantei α</t>
  </si>
  <si>
    <t xml:space="preserve">arctg(p/100)</t>
  </si>
  <si>
    <t xml:space="preserve">°</t>
  </si>
  <si>
    <t xml:space="preserve">Accelerația a</t>
  </si>
  <si>
    <t xml:space="preserve">(7)</t>
  </si>
  <si>
    <t xml:space="preserve">Rezistența aerodinamică F_ra</t>
  </si>
  <si>
    <t xml:space="preserve">½·ρ·Cx·S·v²</t>
  </si>
  <si>
    <t xml:space="preserve">N</t>
  </si>
  <si>
    <t xml:space="preserve">(14)</t>
  </si>
  <si>
    <t xml:space="preserve">Rezistența la rulare F_f</t>
  </si>
  <si>
    <t xml:space="preserve">f·M·g·cos α</t>
  </si>
  <si>
    <t xml:space="preserve">(17)</t>
  </si>
  <si>
    <t xml:space="preserve">Rezistența la pantă G_t</t>
  </si>
  <si>
    <t xml:space="preserve">M·g·sin α</t>
  </si>
  <si>
    <t xml:space="preserve">(22)/(23)</t>
  </si>
  <si>
    <t xml:space="preserve">Forța de inerție F_i</t>
  </si>
  <si>
    <t xml:space="preserve">δ·M·a</t>
  </si>
  <si>
    <t xml:space="preserve">(25)/(26)</t>
  </si>
  <si>
    <t xml:space="preserve">Forța de tracțiune necesară F_t</t>
  </si>
  <si>
    <t xml:space="preserve">F_ra + F_f + G_t + M·a</t>
  </si>
  <si>
    <t xml:space="preserve">(31)/(46)</t>
  </si>
  <si>
    <t xml:space="preserve">Cuplul la roți T_w</t>
  </si>
  <si>
    <t xml:space="preserve">F_t·r_w</t>
  </si>
  <si>
    <t xml:space="preserve">(28)/(47)</t>
  </si>
  <si>
    <t xml:space="preserve">Puterea la roți P_w</t>
  </si>
  <si>
    <t xml:space="preserve">F_t·v</t>
  </si>
  <si>
    <t xml:space="preserve">(29)/(30)</t>
  </si>
  <si>
    <t xml:space="preserve">Puterea cerută motoarelor P_m</t>
  </si>
  <si>
    <t xml:space="preserve">P_w / η</t>
  </si>
  <si>
    <t xml:space="preserve">(33)</t>
  </si>
  <si>
    <t xml:space="preserve">Cuplul cerut motoarelor T_m</t>
  </si>
  <si>
    <t xml:space="preserve">F_t·r_w / (i_g·η)</t>
  </si>
  <si>
    <t xml:space="preserve">Turația roții n_w</t>
  </si>
  <si>
    <t xml:space="preserve">v / (2π·r_w) · 60</t>
  </si>
  <si>
    <t xml:space="preserve">Turația motoarelor n_m</t>
  </si>
  <si>
    <t xml:space="preserve">n_w · i_g</t>
  </si>
  <si>
    <t xml:space="preserve">(37)</t>
  </si>
  <si>
    <t xml:space="preserve">Sarcina normală pe roți F_z</t>
  </si>
  <si>
    <t xml:space="preserve">M·g·cos α</t>
  </si>
  <si>
    <t xml:space="preserve">(35)</t>
  </si>
  <si>
    <t xml:space="preserve">Forța maximă transmisibilă prin aderență μ·F_z</t>
  </si>
  <si>
    <t xml:space="preserve">μ·F_z (μ = 0,85)</t>
  </si>
  <si>
    <t xml:space="preserve">(36)</t>
  </si>
  <si>
    <t xml:space="preserve">Coeficient de aderență necesar μ_nec</t>
  </si>
  <si>
    <t xml:space="preserve">F_t / F_z</t>
  </si>
  <si>
    <t xml:space="preserve">(36)/(41)</t>
  </si>
  <si>
    <t xml:space="preserve">Verificare aderență F_t ≤ μ·F_z</t>
  </si>
  <si>
    <t xml:space="preserve">(40)</t>
  </si>
  <si>
    <t xml:space="preserve">Forța maximă a acționării F_t,drive</t>
  </si>
  <si>
    <t xml:space="preserve">min(T_m,max·i_g·η/r_w ; η·P_vârf/v)</t>
  </si>
  <si>
    <t xml:space="preserve">(42)</t>
  </si>
  <si>
    <t xml:space="preserve">Forța de tracțiune maximă realizabilă F_t,max</t>
  </si>
  <si>
    <t xml:space="preserve">min(F_t,drive ; μ·F_z)</t>
  </si>
  <si>
    <t xml:space="preserve">Limitarea dominantă</t>
  </si>
  <si>
    <t xml:space="preserve">(43)</t>
  </si>
  <si>
    <t xml:space="preserve">Condiția de realizare F_t,max ≥ F_t</t>
  </si>
  <si>
    <t xml:space="preserve">Rezerva de forță F_t,max − F_t</t>
  </si>
  <si>
    <t xml:space="preserve">Încărcarea față de puterea continuă</t>
  </si>
  <si>
    <t xml:space="preserve">P_m / P_cont</t>
  </si>
  <si>
    <t xml:space="preserve">Încărcarea față de puterea de vârf</t>
  </si>
  <si>
    <t xml:space="preserve">P_m / P_vârf</t>
  </si>
  <si>
    <t xml:space="preserve">Indicatori derivați</t>
  </si>
  <si>
    <t xml:space="preserve">Nr.</t>
  </si>
  <si>
    <t xml:space="preserve">D1</t>
  </si>
  <si>
    <t xml:space="preserve">Accelerația maximă la pornire, limitată de aderență (μ = 0,85)</t>
  </si>
  <si>
    <t xml:space="preserve">(μ − f)·g / δ</t>
  </si>
  <si>
    <t xml:space="preserve">D2</t>
  </si>
  <si>
    <t xml:space="preserve">Panta maximă urcată limitată de aderență (μ = 0,85), v ≈ 0</t>
  </si>
  <si>
    <t xml:space="preserve">tg α = μ − f  (din μ·cos α ≥ f·cos α + sin α)</t>
  </si>
  <si>
    <t xml:space="preserve">D3</t>
  </si>
  <si>
    <t xml:space="preserve">Raportul F_t,drive(0) / (M·g)</t>
  </si>
  <si>
    <t xml:space="preserve">T_m,max·i_g·η / (r_w·M·g)</t>
  </si>
  <si>
    <t xml:space="preserve">D4</t>
  </si>
  <si>
    <t xml:space="preserve">Panta maximă limitată de acționare</t>
  </si>
  <si>
    <t xml:space="preserve">f·cos α + sin α = D3 (nelimitată dacă D3 &gt; √(1+f²))</t>
  </si>
  <si>
    <t xml:space="preserve">D5</t>
  </si>
  <si>
    <t xml:space="preserve">Viteza maximă limitată de puterea continuă (teoretic)</t>
  </si>
  <si>
    <t xml:space="preserve">½ρCxS·v³ + fMg·v = η·P_cont  (Cardano)</t>
  </si>
  <si>
    <t xml:space="preserve">D6</t>
  </si>
  <si>
    <t xml:space="preserve">Viteza maximă limitată de puterea de vârf (teoretic)</t>
  </si>
  <si>
    <t xml:space="preserve">½ρCxS·v³ + fMg·v = η·P_vârf  (Cardano)</t>
  </si>
  <si>
    <t xml:space="preserve">D7</t>
  </si>
  <si>
    <t xml:space="preserve">Viteza la care se trece de la limitarea de cuplu la cea de putere (P_vârf)</t>
  </si>
  <si>
    <t xml:space="preserve">v_b = η·P_vârf / F_t,drive(0)</t>
  </si>
  <si>
    <t xml:space="preserve">D8</t>
  </si>
  <si>
    <t xml:space="preserve">Viteza la care puterea de vârf egalează aderența (μ = 1,20)</t>
  </si>
  <si>
    <t xml:space="preserve">v = η·P_vârf / (μ_perf·M·g)</t>
  </si>
  <si>
    <t xml:space="preserve">Caracteristica de tracțiune F(v), puterea P(v) și estimarea accelerării</t>
  </si>
  <si>
    <t xml:space="preserve">Pas de 5 km/h. F_t,drive = min(T_m,max·i_g·η/r_w ; η·P/v). F_t,max = min(F_t,drive ; μ·M·g). a = (F_t,max − F_ra − F_f)/(δ·M); timpul se obține prin integrare numerică: Δt = Δv / a_mediu (metoda trapezelor). Curba „continuu” folosește T_m,max la viteze mici, deoarece cuplul continuu nu este publicat.</t>
  </si>
  <si>
    <t xml:space="preserve">v [m/s]</t>
  </si>
  <si>
    <t xml:space="preserve">F_ra [N]</t>
  </si>
  <si>
    <t xml:space="preserve">F_f [N]</t>
  </si>
  <si>
    <t xml:space="preserve">F_rez orizontal [N]</t>
  </si>
  <si>
    <t xml:space="preserve">F_rez rampă 10 % [N]</t>
  </si>
  <si>
    <t xml:space="preserve">F_t,drive vârf [N]</t>
  </si>
  <si>
    <t xml:space="preserve">F_t,drive continuu [N]</t>
  </si>
  <si>
    <t xml:space="preserve">μ·M·g (μ=0,85) [N]</t>
  </si>
  <si>
    <t xml:space="preserve">μ·M·g (μ=1,20) [N]</t>
  </si>
  <si>
    <t xml:space="preserve">F_t,max μ=0,85 [N]</t>
  </si>
  <si>
    <t xml:space="preserve">F_t,max μ=1,20 [N]</t>
  </si>
  <si>
    <t xml:space="preserve">a μ=0,85 [m/s²]</t>
  </si>
  <si>
    <t xml:space="preserve">a μ=1,20 [m/s²]</t>
  </si>
  <si>
    <t xml:space="preserve">t μ=0,85 [s]</t>
  </si>
  <si>
    <t xml:space="preserve">t μ=1,20 [s]</t>
  </si>
  <si>
    <t xml:space="preserve">P_m orizontal [kW]</t>
  </si>
  <si>
    <t xml:space="preserve">P_m rampă 10 % [kW]</t>
  </si>
  <si>
    <t xml:space="preserve">P_vârf [kW]</t>
  </si>
  <si>
    <t xml:space="preserve">P_cont [kW]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</si>
</sst>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0"/>
    <numFmt numFmtId="167" formatCode="@"/>
    <numFmt numFmtId="168" formatCode="0.00"/>
    <numFmt numFmtId="169" formatCode="0"/>
    <numFmt numFmtId="170" formatCode="#,##0.0"/>
    <numFmt numFmtId="171" formatCode="0.0"/>
    <numFmt numFmtId="172" formatCode="#,##0;[RED]\-#,##0"/>
    <numFmt numFmtId="173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883D"/>
      <rgbColor rgb="FF800080"/>
      <rgbColor rgb="FF008080"/>
      <rgbColor rgb="FFBBCE9E"/>
      <rgbColor rgb="FF878787"/>
      <rgbColor rgb="FFA5C073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DCBD"/>
      <rgbColor rgb="FFFFFF99"/>
      <rgbColor rgb="FFA9C37E"/>
      <rgbColor rgb="FFFF99CC"/>
      <rgbColor rgb="FFCC99FF"/>
      <rgbColor rgb="FFC7D6B1"/>
      <rgbColor rgb="FF3366FF"/>
      <rgbColor rgb="FF829E48"/>
      <rgbColor rgb="FF91B051"/>
      <rgbColor rgb="FFFFCC00"/>
      <rgbColor rgb="FF8EAD4F"/>
      <rgbColor rgb="FFFF6600"/>
      <rgbColor rgb="FF555555"/>
      <rgbColor rgb="FFA6A6A6"/>
      <rgbColor rgb="FF1F3864"/>
      <rgbColor rgb="FF78914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Caracteristica de tracțiune: forțe la roți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'Caracteristica tractiune'!E4</c:f>
              <c:strCache>
                <c:ptCount val="1"/>
                <c:pt idx="0">
                  <c:v>F_rez orizontal [N]</c:v>
                </c:pt>
              </c:strCache>
            </c:strRef>
          </c:tx>
          <c:spPr>
            <a:solidFill>
              <a:srgbClr val="70883d"/>
            </a:solidFill>
            <a:ln w="47520">
              <a:solidFill>
                <a:srgbClr val="7088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tractiune'!$E$5:$E$65</c:f>
              <c:numCache>
                <c:formatCode>#,##0</c:formatCode>
                <c:ptCount val="61"/>
                <c:pt idx="0">
                  <c:v>298.4202</c:v>
                </c:pt>
                <c:pt idx="1">
                  <c:v>299.054439969136</c:v>
                </c:pt>
                <c:pt idx="2">
                  <c:v>300.957159876543</c:v>
                </c:pt>
                <c:pt idx="3">
                  <c:v>304.128359722222</c:v>
                </c:pt>
                <c:pt idx="4">
                  <c:v>308.568039506173</c:v>
                </c:pt>
                <c:pt idx="5">
                  <c:v>314.276199228395</c:v>
                </c:pt>
                <c:pt idx="6">
                  <c:v>321.252838888889</c:v>
                </c:pt>
                <c:pt idx="7">
                  <c:v>329.497958487654</c:v>
                </c:pt>
                <c:pt idx="8">
                  <c:v>339.011558024691</c:v>
                </c:pt>
                <c:pt idx="9">
                  <c:v>349.7936375</c:v>
                </c:pt>
                <c:pt idx="10">
                  <c:v>361.84419691358</c:v>
                </c:pt>
                <c:pt idx="11">
                  <c:v>375.163236265432</c:v>
                </c:pt>
                <c:pt idx="12">
                  <c:v>389.750755555556</c:v>
                </c:pt>
                <c:pt idx="13">
                  <c:v>405.606754783951</c:v>
                </c:pt>
                <c:pt idx="14">
                  <c:v>422.731233950617</c:v>
                </c:pt>
                <c:pt idx="15">
                  <c:v>441.124193055556</c:v>
                </c:pt>
                <c:pt idx="16">
                  <c:v>460.785632098765</c:v>
                </c:pt>
                <c:pt idx="17">
                  <c:v>481.715551080247</c:v>
                </c:pt>
                <c:pt idx="18">
                  <c:v>503.91395</c:v>
                </c:pt>
                <c:pt idx="19">
                  <c:v>527.380828858025</c:v>
                </c:pt>
                <c:pt idx="20">
                  <c:v>552.116187654321</c:v>
                </c:pt>
                <c:pt idx="21">
                  <c:v>578.120026388889</c:v>
                </c:pt>
                <c:pt idx="22">
                  <c:v>605.392345061728</c:v>
                </c:pt>
                <c:pt idx="23">
                  <c:v>633.93314367284</c:v>
                </c:pt>
                <c:pt idx="24">
                  <c:v>663.742422222222</c:v>
                </c:pt>
                <c:pt idx="25">
                  <c:v>694.820180709877</c:v>
                </c:pt>
                <c:pt idx="26">
                  <c:v>727.166419135803</c:v>
                </c:pt>
                <c:pt idx="27">
                  <c:v>760.7811375</c:v>
                </c:pt>
                <c:pt idx="28">
                  <c:v>795.664335802469</c:v>
                </c:pt>
                <c:pt idx="29">
                  <c:v>831.81601404321</c:v>
                </c:pt>
                <c:pt idx="30">
                  <c:v>869.236172222222</c:v>
                </c:pt>
                <c:pt idx="31">
                  <c:v>907.924810339506</c:v>
                </c:pt>
                <c:pt idx="32">
                  <c:v>947.881928395062</c:v>
                </c:pt>
                <c:pt idx="33">
                  <c:v>989.107526388889</c:v>
                </c:pt>
                <c:pt idx="34">
                  <c:v>1031.60160432099</c:v>
                </c:pt>
                <c:pt idx="35">
                  <c:v>1075.36416219136</c:v>
                </c:pt>
                <c:pt idx="36">
                  <c:v>1120.3952</c:v>
                </c:pt>
                <c:pt idx="37">
                  <c:v>1166.69471774691</c:v>
                </c:pt>
                <c:pt idx="38">
                  <c:v>1214.2627154321</c:v>
                </c:pt>
                <c:pt idx="39">
                  <c:v>1263.09919305556</c:v>
                </c:pt>
                <c:pt idx="40">
                  <c:v>1313.20415061728</c:v>
                </c:pt>
                <c:pt idx="41">
                  <c:v>1364.57758811728</c:v>
                </c:pt>
                <c:pt idx="42">
                  <c:v>1417.21950555556</c:v>
                </c:pt>
                <c:pt idx="43">
                  <c:v>1471.1299029321</c:v>
                </c:pt>
                <c:pt idx="44">
                  <c:v>1526.30878024691</c:v>
                </c:pt>
                <c:pt idx="45">
                  <c:v>1582.7561375</c:v>
                </c:pt>
                <c:pt idx="46">
                  <c:v>1640.47197469136</c:v>
                </c:pt>
                <c:pt idx="47">
                  <c:v>1699.45629182099</c:v>
                </c:pt>
                <c:pt idx="48">
                  <c:v>1759.70908888889</c:v>
                </c:pt>
                <c:pt idx="49">
                  <c:v>1821.23036589506</c:v>
                </c:pt>
                <c:pt idx="50">
                  <c:v>1884.02012283951</c:v>
                </c:pt>
                <c:pt idx="51">
                  <c:v>1948.07835972222</c:v>
                </c:pt>
                <c:pt idx="52">
                  <c:v>2013.40507654321</c:v>
                </c:pt>
                <c:pt idx="53">
                  <c:v>2080.00027330247</c:v>
                </c:pt>
                <c:pt idx="54">
                  <c:v>2147.86395</c:v>
                </c:pt>
                <c:pt idx="55">
                  <c:v>2216.9961066358</c:v>
                </c:pt>
                <c:pt idx="56">
                  <c:v>2287.39674320988</c:v>
                </c:pt>
                <c:pt idx="57">
                  <c:v>2359.06585972222</c:v>
                </c:pt>
                <c:pt idx="58">
                  <c:v>2432.00345617284</c:v>
                </c:pt>
                <c:pt idx="59">
                  <c:v>2506.20953256173</c:v>
                </c:pt>
                <c:pt idx="60">
                  <c:v>2581.68408888889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'Caracteristica tractiune'!F4</c:f>
              <c:strCache>
                <c:ptCount val="1"/>
                <c:pt idx="0">
                  <c:v>F_rez rampă 10 % [N]</c:v>
                </c:pt>
              </c:strCache>
            </c:strRef>
          </c:tx>
          <c:spPr>
            <a:solidFill>
              <a:srgbClr val="829e48"/>
            </a:solidFill>
            <a:ln w="47520">
              <a:solidFill>
                <a:srgbClr val="829e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tractiune'!$F$5:$F$65</c:f>
              <c:numCache>
                <c:formatCode>#,##0</c:formatCode>
                <c:ptCount val="61"/>
                <c:pt idx="0">
                  <c:v>2771.43250822576</c:v>
                </c:pt>
                <c:pt idx="1">
                  <c:v>2772.0667481949</c:v>
                </c:pt>
                <c:pt idx="2">
                  <c:v>2773.96946810231</c:v>
                </c:pt>
                <c:pt idx="3">
                  <c:v>2777.14066794798</c:v>
                </c:pt>
                <c:pt idx="4">
                  <c:v>2781.58034773193</c:v>
                </c:pt>
                <c:pt idx="5">
                  <c:v>2787.28850745416</c:v>
                </c:pt>
                <c:pt idx="6">
                  <c:v>2794.26514711465</c:v>
                </c:pt>
                <c:pt idx="7">
                  <c:v>2802.51026671342</c:v>
                </c:pt>
                <c:pt idx="8">
                  <c:v>2812.02386625045</c:v>
                </c:pt>
                <c:pt idx="9">
                  <c:v>2822.80594572576</c:v>
                </c:pt>
                <c:pt idx="10">
                  <c:v>2834.85650513934</c:v>
                </c:pt>
                <c:pt idx="11">
                  <c:v>2848.17554449119</c:v>
                </c:pt>
                <c:pt idx="12">
                  <c:v>2862.76306378132</c:v>
                </c:pt>
                <c:pt idx="13">
                  <c:v>2878.61906300971</c:v>
                </c:pt>
                <c:pt idx="14">
                  <c:v>2895.74354217638</c:v>
                </c:pt>
                <c:pt idx="15">
                  <c:v>2914.13650128132</c:v>
                </c:pt>
                <c:pt idx="16">
                  <c:v>2933.79794032453</c:v>
                </c:pt>
                <c:pt idx="17">
                  <c:v>2954.72785930601</c:v>
                </c:pt>
                <c:pt idx="18">
                  <c:v>2976.92625822576</c:v>
                </c:pt>
                <c:pt idx="19">
                  <c:v>3000.39313708379</c:v>
                </c:pt>
                <c:pt idx="20">
                  <c:v>3025.12849588008</c:v>
                </c:pt>
                <c:pt idx="21">
                  <c:v>3051.13233461465</c:v>
                </c:pt>
                <c:pt idx="22">
                  <c:v>3078.40465328749</c:v>
                </c:pt>
                <c:pt idx="23">
                  <c:v>3106.9454518986</c:v>
                </c:pt>
                <c:pt idx="24">
                  <c:v>3136.75473044798</c:v>
                </c:pt>
                <c:pt idx="25">
                  <c:v>3167.83248893564</c:v>
                </c:pt>
                <c:pt idx="26">
                  <c:v>3200.17872736156</c:v>
                </c:pt>
                <c:pt idx="27">
                  <c:v>3233.79344572576</c:v>
                </c:pt>
                <c:pt idx="28">
                  <c:v>3268.67664402823</c:v>
                </c:pt>
                <c:pt idx="29">
                  <c:v>3304.82832226897</c:v>
                </c:pt>
                <c:pt idx="30">
                  <c:v>3342.24848044798</c:v>
                </c:pt>
                <c:pt idx="31">
                  <c:v>3380.93711856527</c:v>
                </c:pt>
                <c:pt idx="32">
                  <c:v>3420.89423662082</c:v>
                </c:pt>
                <c:pt idx="33">
                  <c:v>3462.11983461465</c:v>
                </c:pt>
                <c:pt idx="34">
                  <c:v>3504.61391254675</c:v>
                </c:pt>
                <c:pt idx="35">
                  <c:v>3548.37647041712</c:v>
                </c:pt>
                <c:pt idx="36">
                  <c:v>3593.40750822576</c:v>
                </c:pt>
                <c:pt idx="37">
                  <c:v>3639.70702597268</c:v>
                </c:pt>
                <c:pt idx="38">
                  <c:v>3687.27502365786</c:v>
                </c:pt>
                <c:pt idx="39">
                  <c:v>3736.11150128132</c:v>
                </c:pt>
                <c:pt idx="40">
                  <c:v>3786.21645884305</c:v>
                </c:pt>
                <c:pt idx="41">
                  <c:v>3837.58989634305</c:v>
                </c:pt>
                <c:pt idx="42">
                  <c:v>3890.23181378132</c:v>
                </c:pt>
                <c:pt idx="43">
                  <c:v>3944.14221115786</c:v>
                </c:pt>
                <c:pt idx="44">
                  <c:v>3999.32108847268</c:v>
                </c:pt>
                <c:pt idx="45">
                  <c:v>4055.76844572576</c:v>
                </c:pt>
                <c:pt idx="46">
                  <c:v>4113.48428291712</c:v>
                </c:pt>
                <c:pt idx="47">
                  <c:v>4172.46860004675</c:v>
                </c:pt>
                <c:pt idx="48">
                  <c:v>4232.72139711465</c:v>
                </c:pt>
                <c:pt idx="49">
                  <c:v>4294.24267412082</c:v>
                </c:pt>
                <c:pt idx="50">
                  <c:v>4357.03243106527</c:v>
                </c:pt>
                <c:pt idx="51">
                  <c:v>4421.09066794798</c:v>
                </c:pt>
                <c:pt idx="52">
                  <c:v>4486.41738476897</c:v>
                </c:pt>
                <c:pt idx="53">
                  <c:v>4553.01258152823</c:v>
                </c:pt>
                <c:pt idx="54">
                  <c:v>4620.87625822576</c:v>
                </c:pt>
                <c:pt idx="55">
                  <c:v>4690.00841486156</c:v>
                </c:pt>
                <c:pt idx="56">
                  <c:v>4760.40905143564</c:v>
                </c:pt>
                <c:pt idx="57">
                  <c:v>4832.07816794798</c:v>
                </c:pt>
                <c:pt idx="58">
                  <c:v>4905.0157643986</c:v>
                </c:pt>
                <c:pt idx="59">
                  <c:v>4979.22184078749</c:v>
                </c:pt>
                <c:pt idx="60">
                  <c:v>5054.69639711465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'Caracteristica tractiune'!G4</c:f>
              <c:strCache>
                <c:ptCount val="1"/>
                <c:pt idx="0">
                  <c:v>F_t,drive vârf [N]</c:v>
                </c:pt>
              </c:strCache>
            </c:strRef>
          </c:tx>
          <c:spPr>
            <a:solidFill>
              <a:srgbClr val="91b051"/>
            </a:solidFill>
            <a:ln w="47520">
              <a:solidFill>
                <a:srgbClr val="91b0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tractiune'!$G$5:$G$65</c:f>
              <c:numCache>
                <c:formatCode>#,##0</c:formatCode>
                <c:ptCount val="61"/>
                <c:pt idx="0">
                  <c:v>31038.9354174672</c:v>
                </c:pt>
                <c:pt idx="1">
                  <c:v>31038.9354174672</c:v>
                </c:pt>
                <c:pt idx="2">
                  <c:v>31038.9354174672</c:v>
                </c:pt>
                <c:pt idx="3">
                  <c:v>31038.9354174672</c:v>
                </c:pt>
                <c:pt idx="4">
                  <c:v>31038.9354174672</c:v>
                </c:pt>
                <c:pt idx="5">
                  <c:v>31038.9354174672</c:v>
                </c:pt>
                <c:pt idx="6">
                  <c:v>31038.9354174672</c:v>
                </c:pt>
                <c:pt idx="7">
                  <c:v>31038.9354174672</c:v>
                </c:pt>
                <c:pt idx="8">
                  <c:v>31038.9354174672</c:v>
                </c:pt>
                <c:pt idx="9">
                  <c:v>31038.9354174672</c:v>
                </c:pt>
                <c:pt idx="10">
                  <c:v>31038.9354174672</c:v>
                </c:pt>
                <c:pt idx="11">
                  <c:v>31038.9354174672</c:v>
                </c:pt>
                <c:pt idx="12">
                  <c:v>31038.9354174672</c:v>
                </c:pt>
                <c:pt idx="13">
                  <c:v>31038.9354174672</c:v>
                </c:pt>
                <c:pt idx="14">
                  <c:v>31038.9354174672</c:v>
                </c:pt>
                <c:pt idx="15">
                  <c:v>31038.9354174672</c:v>
                </c:pt>
                <c:pt idx="16">
                  <c:v>31038.9354174672</c:v>
                </c:pt>
                <c:pt idx="17">
                  <c:v>31038.9354174672</c:v>
                </c:pt>
                <c:pt idx="18">
                  <c:v>31038.9354174672</c:v>
                </c:pt>
                <c:pt idx="19">
                  <c:v>30960</c:v>
                </c:pt>
                <c:pt idx="20">
                  <c:v>29412</c:v>
                </c:pt>
                <c:pt idx="21">
                  <c:v>28011.4285714286</c:v>
                </c:pt>
                <c:pt idx="22">
                  <c:v>26738.1818181818</c:v>
                </c:pt>
                <c:pt idx="23">
                  <c:v>25575.652173913</c:v>
                </c:pt>
                <c:pt idx="24">
                  <c:v>24510</c:v>
                </c:pt>
                <c:pt idx="25">
                  <c:v>23529.6</c:v>
                </c:pt>
                <c:pt idx="26">
                  <c:v>22624.6153846154</c:v>
                </c:pt>
                <c:pt idx="27">
                  <c:v>21786.6666666667</c:v>
                </c:pt>
                <c:pt idx="28">
                  <c:v>21008.5714285714</c:v>
                </c:pt>
                <c:pt idx="29">
                  <c:v>20284.1379310345</c:v>
                </c:pt>
                <c:pt idx="30">
                  <c:v>19608</c:v>
                </c:pt>
                <c:pt idx="31">
                  <c:v>18975.4838709677</c:v>
                </c:pt>
                <c:pt idx="32">
                  <c:v>18382.5</c:v>
                </c:pt>
                <c:pt idx="33">
                  <c:v>17825.4545454545</c:v>
                </c:pt>
                <c:pt idx="34">
                  <c:v>17301.1764705882</c:v>
                </c:pt>
                <c:pt idx="35">
                  <c:v>16806.8571428571</c:v>
                </c:pt>
                <c:pt idx="36">
                  <c:v>16340</c:v>
                </c:pt>
                <c:pt idx="37">
                  <c:v>15898.3783783784</c:v>
                </c:pt>
                <c:pt idx="38">
                  <c:v>15480</c:v>
                </c:pt>
                <c:pt idx="39">
                  <c:v>15083.0769230769</c:v>
                </c:pt>
                <c:pt idx="40">
                  <c:v>14706</c:v>
                </c:pt>
                <c:pt idx="41">
                  <c:v>14347.3170731707</c:v>
                </c:pt>
                <c:pt idx="42">
                  <c:v>14005.7142857143</c:v>
                </c:pt>
                <c:pt idx="43">
                  <c:v>13680</c:v>
                </c:pt>
                <c:pt idx="44">
                  <c:v>13369.0909090909</c:v>
                </c:pt>
                <c:pt idx="45">
                  <c:v>13072</c:v>
                </c:pt>
                <c:pt idx="46">
                  <c:v>12787.8260869565</c:v>
                </c:pt>
                <c:pt idx="47">
                  <c:v>12515.7446808511</c:v>
                </c:pt>
                <c:pt idx="48">
                  <c:v>12255</c:v>
                </c:pt>
                <c:pt idx="49">
                  <c:v>12004.8979591837</c:v>
                </c:pt>
                <c:pt idx="50">
                  <c:v>11764.8</c:v>
                </c:pt>
                <c:pt idx="51">
                  <c:v>11534.1176470588</c:v>
                </c:pt>
                <c:pt idx="52">
                  <c:v>11312.3076923077</c:v>
                </c:pt>
                <c:pt idx="53">
                  <c:v>11098.8679245283</c:v>
                </c:pt>
                <c:pt idx="54">
                  <c:v>10893.3333333333</c:v>
                </c:pt>
                <c:pt idx="55">
                  <c:v>10695.2727272727</c:v>
                </c:pt>
                <c:pt idx="56">
                  <c:v>10504.2857142857</c:v>
                </c:pt>
                <c:pt idx="57">
                  <c:v>10320</c:v>
                </c:pt>
                <c:pt idx="58">
                  <c:v>10142.0689655172</c:v>
                </c:pt>
                <c:pt idx="59">
                  <c:v>9970.16949152543</c:v>
                </c:pt>
                <c:pt idx="60">
                  <c:v>9804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'Caracteristica tractiune'!H4</c:f>
              <c:strCache>
                <c:ptCount val="1"/>
                <c:pt idx="0">
                  <c:v>F_t,drive continuu [N]</c:v>
                </c:pt>
              </c:strCache>
            </c:strRef>
          </c:tx>
          <c:spPr>
            <a:solidFill>
              <a:srgbClr val="a5c073"/>
            </a:solidFill>
            <a:ln w="47520">
              <a:solidFill>
                <a:srgbClr val="a5c0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tractiune'!$H$5:$H$65</c:f>
              <c:numCache>
                <c:formatCode>#,##0</c:formatCode>
                <c:ptCount val="61"/>
                <c:pt idx="0">
                  <c:v>31038.9354174672</c:v>
                </c:pt>
                <c:pt idx="1">
                  <c:v>31038.9354174672</c:v>
                </c:pt>
                <c:pt idx="2">
                  <c:v>31038.9354174672</c:v>
                </c:pt>
                <c:pt idx="3">
                  <c:v>31038.9354174672</c:v>
                </c:pt>
                <c:pt idx="4">
                  <c:v>31038.9354174672</c:v>
                </c:pt>
                <c:pt idx="5">
                  <c:v>31038.9354174672</c:v>
                </c:pt>
                <c:pt idx="6">
                  <c:v>31038.9354174672</c:v>
                </c:pt>
                <c:pt idx="7">
                  <c:v>31038.9354174672</c:v>
                </c:pt>
                <c:pt idx="8">
                  <c:v>31038.9354174672</c:v>
                </c:pt>
                <c:pt idx="9">
                  <c:v>31038.9354174672</c:v>
                </c:pt>
                <c:pt idx="10">
                  <c:v>31038.9354174672</c:v>
                </c:pt>
                <c:pt idx="11">
                  <c:v>31038.9354174672</c:v>
                </c:pt>
                <c:pt idx="12">
                  <c:v>30210</c:v>
                </c:pt>
                <c:pt idx="13">
                  <c:v>27886.1538461538</c:v>
                </c:pt>
                <c:pt idx="14">
                  <c:v>25894.2857142857</c:v>
                </c:pt>
                <c:pt idx="15">
                  <c:v>24168</c:v>
                </c:pt>
                <c:pt idx="16">
                  <c:v>22657.5</c:v>
                </c:pt>
                <c:pt idx="17">
                  <c:v>21324.7058823529</c:v>
                </c:pt>
                <c:pt idx="18">
                  <c:v>20140</c:v>
                </c:pt>
                <c:pt idx="19">
                  <c:v>19080</c:v>
                </c:pt>
                <c:pt idx="20">
                  <c:v>18126</c:v>
                </c:pt>
                <c:pt idx="21">
                  <c:v>17262.8571428571</c:v>
                </c:pt>
                <c:pt idx="22">
                  <c:v>16478.1818181818</c:v>
                </c:pt>
                <c:pt idx="23">
                  <c:v>15761.7391304348</c:v>
                </c:pt>
                <c:pt idx="24">
                  <c:v>15105</c:v>
                </c:pt>
                <c:pt idx="25">
                  <c:v>14500.8</c:v>
                </c:pt>
                <c:pt idx="26">
                  <c:v>13943.0769230769</c:v>
                </c:pt>
                <c:pt idx="27">
                  <c:v>13426.6666666667</c:v>
                </c:pt>
                <c:pt idx="28">
                  <c:v>12947.1428571429</c:v>
                </c:pt>
                <c:pt idx="29">
                  <c:v>12500.6896551724</c:v>
                </c:pt>
                <c:pt idx="30">
                  <c:v>12084</c:v>
                </c:pt>
                <c:pt idx="31">
                  <c:v>11694.1935483871</c:v>
                </c:pt>
                <c:pt idx="32">
                  <c:v>11328.75</c:v>
                </c:pt>
                <c:pt idx="33">
                  <c:v>10985.4545454545</c:v>
                </c:pt>
                <c:pt idx="34">
                  <c:v>10662.3529411765</c:v>
                </c:pt>
                <c:pt idx="35">
                  <c:v>10357.7142857143</c:v>
                </c:pt>
                <c:pt idx="36">
                  <c:v>10070</c:v>
                </c:pt>
                <c:pt idx="37">
                  <c:v>9797.83783783784</c:v>
                </c:pt>
                <c:pt idx="38">
                  <c:v>9540</c:v>
                </c:pt>
                <c:pt idx="39">
                  <c:v>9295.38461538462</c:v>
                </c:pt>
                <c:pt idx="40">
                  <c:v>9063</c:v>
                </c:pt>
                <c:pt idx="41">
                  <c:v>8841.9512195122</c:v>
                </c:pt>
                <c:pt idx="42">
                  <c:v>8631.42857142857</c:v>
                </c:pt>
                <c:pt idx="43">
                  <c:v>8430.69767441861</c:v>
                </c:pt>
                <c:pt idx="44">
                  <c:v>8239.09090909091</c:v>
                </c:pt>
                <c:pt idx="45">
                  <c:v>8056</c:v>
                </c:pt>
                <c:pt idx="46">
                  <c:v>7880.86956521739</c:v>
                </c:pt>
                <c:pt idx="47">
                  <c:v>7713.1914893617</c:v>
                </c:pt>
                <c:pt idx="48">
                  <c:v>7552.5</c:v>
                </c:pt>
                <c:pt idx="49">
                  <c:v>7398.36734693878</c:v>
                </c:pt>
                <c:pt idx="50">
                  <c:v>7250.4</c:v>
                </c:pt>
                <c:pt idx="51">
                  <c:v>7108.23529411765</c:v>
                </c:pt>
                <c:pt idx="52">
                  <c:v>6971.53846153846</c:v>
                </c:pt>
                <c:pt idx="53">
                  <c:v>6840</c:v>
                </c:pt>
                <c:pt idx="54">
                  <c:v>6713.33333333333</c:v>
                </c:pt>
                <c:pt idx="55">
                  <c:v>6591.27272727273</c:v>
                </c:pt>
                <c:pt idx="56">
                  <c:v>6473.57142857143</c:v>
                </c:pt>
                <c:pt idx="57">
                  <c:v>6360</c:v>
                </c:pt>
                <c:pt idx="58">
                  <c:v>6250.34482758621</c:v>
                </c:pt>
                <c:pt idx="59">
                  <c:v>6144.40677966102</c:v>
                </c:pt>
                <c:pt idx="60">
                  <c:v>6042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'Caracteristica tractiune'!I4</c:f>
              <c:strCache>
                <c:ptCount val="1"/>
                <c:pt idx="0">
                  <c:v>μ·M·g (μ=0,85) [N]</c:v>
                </c:pt>
              </c:strCache>
            </c:strRef>
          </c:tx>
          <c:spPr>
            <a:solidFill>
              <a:srgbClr val="bbce9e"/>
            </a:solidFill>
            <a:ln w="47520">
              <a:solidFill>
                <a:srgbClr val="bbce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tractiune'!$I$5:$I$65</c:f>
              <c:numCache>
                <c:formatCode>#,##0</c:formatCode>
                <c:ptCount val="61"/>
                <c:pt idx="0">
                  <c:v>21138.0975</c:v>
                </c:pt>
                <c:pt idx="1">
                  <c:v>21138.0975</c:v>
                </c:pt>
                <c:pt idx="2">
                  <c:v>21138.0975</c:v>
                </c:pt>
                <c:pt idx="3">
                  <c:v>21138.0975</c:v>
                </c:pt>
                <c:pt idx="4">
                  <c:v>21138.0975</c:v>
                </c:pt>
                <c:pt idx="5">
                  <c:v>21138.0975</c:v>
                </c:pt>
                <c:pt idx="6">
                  <c:v>21138.0975</c:v>
                </c:pt>
                <c:pt idx="7">
                  <c:v>21138.0975</c:v>
                </c:pt>
                <c:pt idx="8">
                  <c:v>21138.0975</c:v>
                </c:pt>
                <c:pt idx="9">
                  <c:v>21138.0975</c:v>
                </c:pt>
                <c:pt idx="10">
                  <c:v>21138.0975</c:v>
                </c:pt>
                <c:pt idx="11">
                  <c:v>21138.0975</c:v>
                </c:pt>
                <c:pt idx="12">
                  <c:v>21138.0975</c:v>
                </c:pt>
                <c:pt idx="13">
                  <c:v>21138.0975</c:v>
                </c:pt>
                <c:pt idx="14">
                  <c:v>21138.0975</c:v>
                </c:pt>
                <c:pt idx="15">
                  <c:v>21138.0975</c:v>
                </c:pt>
                <c:pt idx="16">
                  <c:v>21138.0975</c:v>
                </c:pt>
                <c:pt idx="17">
                  <c:v>21138.0975</c:v>
                </c:pt>
                <c:pt idx="18">
                  <c:v>21138.0975</c:v>
                </c:pt>
                <c:pt idx="19">
                  <c:v>21138.0975</c:v>
                </c:pt>
                <c:pt idx="20">
                  <c:v>21138.0975</c:v>
                </c:pt>
                <c:pt idx="21">
                  <c:v>21138.0975</c:v>
                </c:pt>
                <c:pt idx="22">
                  <c:v>21138.0975</c:v>
                </c:pt>
                <c:pt idx="23">
                  <c:v>21138.0975</c:v>
                </c:pt>
                <c:pt idx="24">
                  <c:v>21138.0975</c:v>
                </c:pt>
                <c:pt idx="25">
                  <c:v>21138.0975</c:v>
                </c:pt>
                <c:pt idx="26">
                  <c:v>21138.0975</c:v>
                </c:pt>
                <c:pt idx="27">
                  <c:v>21138.0975</c:v>
                </c:pt>
                <c:pt idx="28">
                  <c:v>21138.0975</c:v>
                </c:pt>
                <c:pt idx="29">
                  <c:v>21138.0975</c:v>
                </c:pt>
                <c:pt idx="30">
                  <c:v>21138.0975</c:v>
                </c:pt>
                <c:pt idx="31">
                  <c:v>21138.0975</c:v>
                </c:pt>
                <c:pt idx="32">
                  <c:v>21138.0975</c:v>
                </c:pt>
                <c:pt idx="33">
                  <c:v>21138.0975</c:v>
                </c:pt>
                <c:pt idx="34">
                  <c:v>21138.0975</c:v>
                </c:pt>
                <c:pt idx="35">
                  <c:v>21138.0975</c:v>
                </c:pt>
                <c:pt idx="36">
                  <c:v>21138.0975</c:v>
                </c:pt>
                <c:pt idx="37">
                  <c:v>21138.0975</c:v>
                </c:pt>
                <c:pt idx="38">
                  <c:v>21138.0975</c:v>
                </c:pt>
                <c:pt idx="39">
                  <c:v>21138.0975</c:v>
                </c:pt>
                <c:pt idx="40">
                  <c:v>21138.0975</c:v>
                </c:pt>
                <c:pt idx="41">
                  <c:v>21138.0975</c:v>
                </c:pt>
                <c:pt idx="42">
                  <c:v>21138.0975</c:v>
                </c:pt>
                <c:pt idx="43">
                  <c:v>21138.0975</c:v>
                </c:pt>
                <c:pt idx="44">
                  <c:v>21138.0975</c:v>
                </c:pt>
                <c:pt idx="45">
                  <c:v>21138.0975</c:v>
                </c:pt>
                <c:pt idx="46">
                  <c:v>21138.0975</c:v>
                </c:pt>
                <c:pt idx="47">
                  <c:v>21138.0975</c:v>
                </c:pt>
                <c:pt idx="48">
                  <c:v>21138.0975</c:v>
                </c:pt>
                <c:pt idx="49">
                  <c:v>21138.0975</c:v>
                </c:pt>
                <c:pt idx="50">
                  <c:v>21138.0975</c:v>
                </c:pt>
                <c:pt idx="51">
                  <c:v>21138.0975</c:v>
                </c:pt>
                <c:pt idx="52">
                  <c:v>21138.0975</c:v>
                </c:pt>
                <c:pt idx="53">
                  <c:v>21138.0975</c:v>
                </c:pt>
                <c:pt idx="54">
                  <c:v>21138.0975</c:v>
                </c:pt>
                <c:pt idx="55">
                  <c:v>21138.0975</c:v>
                </c:pt>
                <c:pt idx="56">
                  <c:v>21138.0975</c:v>
                </c:pt>
                <c:pt idx="57">
                  <c:v>21138.0975</c:v>
                </c:pt>
                <c:pt idx="58">
                  <c:v>21138.0975</c:v>
                </c:pt>
                <c:pt idx="59">
                  <c:v>21138.0975</c:v>
                </c:pt>
                <c:pt idx="60">
                  <c:v>21138.0975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'Caracteristica tractiune'!J4</c:f>
              <c:strCache>
                <c:ptCount val="1"/>
                <c:pt idx="0">
                  <c:v>μ·M·g (μ=1,20) [N]</c:v>
                </c:pt>
              </c:strCache>
            </c:strRef>
          </c:tx>
          <c:spPr>
            <a:solidFill>
              <a:srgbClr val="cfdcbd"/>
            </a:solidFill>
            <a:ln w="47520">
              <a:solidFill>
                <a:srgbClr val="cfd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tractiune'!$J$5:$J$65</c:f>
              <c:numCache>
                <c:formatCode>#,##0</c:formatCode>
                <c:ptCount val="61"/>
                <c:pt idx="0">
                  <c:v>29842.02</c:v>
                </c:pt>
                <c:pt idx="1">
                  <c:v>29842.02</c:v>
                </c:pt>
                <c:pt idx="2">
                  <c:v>29842.02</c:v>
                </c:pt>
                <c:pt idx="3">
                  <c:v>29842.02</c:v>
                </c:pt>
                <c:pt idx="4">
                  <c:v>29842.02</c:v>
                </c:pt>
                <c:pt idx="5">
                  <c:v>29842.02</c:v>
                </c:pt>
                <c:pt idx="6">
                  <c:v>29842.02</c:v>
                </c:pt>
                <c:pt idx="7">
                  <c:v>29842.02</c:v>
                </c:pt>
                <c:pt idx="8">
                  <c:v>29842.02</c:v>
                </c:pt>
                <c:pt idx="9">
                  <c:v>29842.02</c:v>
                </c:pt>
                <c:pt idx="10">
                  <c:v>29842.02</c:v>
                </c:pt>
                <c:pt idx="11">
                  <c:v>29842.02</c:v>
                </c:pt>
                <c:pt idx="12">
                  <c:v>29842.02</c:v>
                </c:pt>
                <c:pt idx="13">
                  <c:v>29842.02</c:v>
                </c:pt>
                <c:pt idx="14">
                  <c:v>29842.02</c:v>
                </c:pt>
                <c:pt idx="15">
                  <c:v>29842.02</c:v>
                </c:pt>
                <c:pt idx="16">
                  <c:v>29842.02</c:v>
                </c:pt>
                <c:pt idx="17">
                  <c:v>29842.02</c:v>
                </c:pt>
                <c:pt idx="18">
                  <c:v>29842.02</c:v>
                </c:pt>
                <c:pt idx="19">
                  <c:v>29842.02</c:v>
                </c:pt>
                <c:pt idx="20">
                  <c:v>29842.02</c:v>
                </c:pt>
                <c:pt idx="21">
                  <c:v>29842.02</c:v>
                </c:pt>
                <c:pt idx="22">
                  <c:v>29842.02</c:v>
                </c:pt>
                <c:pt idx="23">
                  <c:v>29842.02</c:v>
                </c:pt>
                <c:pt idx="24">
                  <c:v>29842.02</c:v>
                </c:pt>
                <c:pt idx="25">
                  <c:v>29842.02</c:v>
                </c:pt>
                <c:pt idx="26">
                  <c:v>29842.02</c:v>
                </c:pt>
                <c:pt idx="27">
                  <c:v>29842.02</c:v>
                </c:pt>
                <c:pt idx="28">
                  <c:v>29842.02</c:v>
                </c:pt>
                <c:pt idx="29">
                  <c:v>29842.02</c:v>
                </c:pt>
                <c:pt idx="30">
                  <c:v>29842.02</c:v>
                </c:pt>
                <c:pt idx="31">
                  <c:v>29842.02</c:v>
                </c:pt>
                <c:pt idx="32">
                  <c:v>29842.02</c:v>
                </c:pt>
                <c:pt idx="33">
                  <c:v>29842.02</c:v>
                </c:pt>
                <c:pt idx="34">
                  <c:v>29842.02</c:v>
                </c:pt>
                <c:pt idx="35">
                  <c:v>29842.02</c:v>
                </c:pt>
                <c:pt idx="36">
                  <c:v>29842.02</c:v>
                </c:pt>
                <c:pt idx="37">
                  <c:v>29842.02</c:v>
                </c:pt>
                <c:pt idx="38">
                  <c:v>29842.02</c:v>
                </c:pt>
                <c:pt idx="39">
                  <c:v>29842.02</c:v>
                </c:pt>
                <c:pt idx="40">
                  <c:v>29842.02</c:v>
                </c:pt>
                <c:pt idx="41">
                  <c:v>29842.02</c:v>
                </c:pt>
                <c:pt idx="42">
                  <c:v>29842.02</c:v>
                </c:pt>
                <c:pt idx="43">
                  <c:v>29842.02</c:v>
                </c:pt>
                <c:pt idx="44">
                  <c:v>29842.02</c:v>
                </c:pt>
                <c:pt idx="45">
                  <c:v>29842.02</c:v>
                </c:pt>
                <c:pt idx="46">
                  <c:v>29842.02</c:v>
                </c:pt>
                <c:pt idx="47">
                  <c:v>29842.02</c:v>
                </c:pt>
                <c:pt idx="48">
                  <c:v>29842.02</c:v>
                </c:pt>
                <c:pt idx="49">
                  <c:v>29842.02</c:v>
                </c:pt>
                <c:pt idx="50">
                  <c:v>29842.02</c:v>
                </c:pt>
                <c:pt idx="51">
                  <c:v>29842.02</c:v>
                </c:pt>
                <c:pt idx="52">
                  <c:v>29842.02</c:v>
                </c:pt>
                <c:pt idx="53">
                  <c:v>29842.02</c:v>
                </c:pt>
                <c:pt idx="54">
                  <c:v>29842.02</c:v>
                </c:pt>
                <c:pt idx="55">
                  <c:v>29842.02</c:v>
                </c:pt>
                <c:pt idx="56">
                  <c:v>29842.02</c:v>
                </c:pt>
                <c:pt idx="57">
                  <c:v>29842.02</c:v>
                </c:pt>
                <c:pt idx="58">
                  <c:v>29842.02</c:v>
                </c:pt>
                <c:pt idx="59">
                  <c:v>29842.02</c:v>
                </c:pt>
                <c:pt idx="60">
                  <c:v>29842.02</c:v>
                </c:pt>
              </c:numCache>
            </c:numRef>
          </c:yVal>
          <c:smooth val="0"/>
        </c:ser>
        <c:axId val="24243518"/>
        <c:axId val="48408042"/>
      </c:scatterChart>
      <c:valAx>
        <c:axId val="24243518"/>
        <c:scaling>
          <c:orientation val="minMax"/>
          <c:max val="3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[km/h]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08042"/>
        <c:crosses val="autoZero"/>
        <c:crossBetween val="midCat"/>
      </c:valAx>
      <c:valAx>
        <c:axId val="48408042"/>
        <c:scaling>
          <c:orientation val="minMax"/>
          <c:max val="350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 [N]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435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Puterea cerută motoarelor (v constantă) și puterea disponibilă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'Caracteristica tractiune'!Q4</c:f>
              <c:strCache>
                <c:ptCount val="1"/>
                <c:pt idx="0">
                  <c:v>P_m orizontal [kW]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tractiune'!$Q$5:$Q$65</c:f>
              <c:numCache>
                <c:formatCode>#,##0</c:formatCode>
                <c:ptCount val="61"/>
                <c:pt idx="0">
                  <c:v>0</c:v>
                </c:pt>
                <c:pt idx="1">
                  <c:v>0.437214093522128</c:v>
                </c:pt>
                <c:pt idx="2">
                  <c:v>0.879991695545448</c:v>
                </c:pt>
                <c:pt idx="3">
                  <c:v>1.33389631457115</c:v>
                </c:pt>
                <c:pt idx="4">
                  <c:v>1.80449145910043</c:v>
                </c:pt>
                <c:pt idx="5">
                  <c:v>2.29734063763447</c:v>
                </c:pt>
                <c:pt idx="6">
                  <c:v>2.81800735867446</c:v>
                </c:pt>
                <c:pt idx="7">
                  <c:v>3.37205513072161</c:v>
                </c:pt>
                <c:pt idx="8">
                  <c:v>3.96504746227709</c:v>
                </c:pt>
                <c:pt idx="9">
                  <c:v>4.60254786184211</c:v>
                </c:pt>
                <c:pt idx="10">
                  <c:v>5.29011983791784</c:v>
                </c:pt>
                <c:pt idx="11">
                  <c:v>6.03332689900549</c:v>
                </c:pt>
                <c:pt idx="12">
                  <c:v>6.83773255360624</c:v>
                </c:pt>
                <c:pt idx="13">
                  <c:v>7.70890031022128</c:v>
                </c:pt>
                <c:pt idx="14">
                  <c:v>8.65239367735182</c:v>
                </c:pt>
                <c:pt idx="15">
                  <c:v>9.67377616349903</c:v>
                </c:pt>
                <c:pt idx="16">
                  <c:v>10.7786112771641</c:v>
                </c:pt>
                <c:pt idx="17">
                  <c:v>11.9724625268482</c:v>
                </c:pt>
                <c:pt idx="18">
                  <c:v>13.2608934210526</c:v>
                </c:pt>
                <c:pt idx="19">
                  <c:v>14.6494674682785</c:v>
                </c:pt>
                <c:pt idx="20">
                  <c:v>16.1437481770269</c:v>
                </c:pt>
                <c:pt idx="21">
                  <c:v>17.7492990557992</c:v>
                </c:pt>
                <c:pt idx="22">
                  <c:v>19.4716836130965</c:v>
                </c:pt>
                <c:pt idx="23">
                  <c:v>21.31646535742</c:v>
                </c:pt>
                <c:pt idx="24">
                  <c:v>23.289207797271</c:v>
                </c:pt>
                <c:pt idx="25">
                  <c:v>25.3954744411505</c:v>
                </c:pt>
                <c:pt idx="26">
                  <c:v>27.6408287975597</c:v>
                </c:pt>
                <c:pt idx="27">
                  <c:v>30.030834375</c:v>
                </c:pt>
                <c:pt idx="28">
                  <c:v>32.5710546819724</c:v>
                </c:pt>
                <c:pt idx="29">
                  <c:v>35.2670532269782</c:v>
                </c:pt>
                <c:pt idx="30">
                  <c:v>38.1243935185185</c:v>
                </c:pt>
                <c:pt idx="31">
                  <c:v>41.1486390650946</c:v>
                </c:pt>
                <c:pt idx="32">
                  <c:v>44.3453533752076</c:v>
                </c:pt>
                <c:pt idx="33">
                  <c:v>47.7200999573587</c:v>
                </c:pt>
                <c:pt idx="34">
                  <c:v>51.2784423200491</c:v>
                </c:pt>
                <c:pt idx="35">
                  <c:v>55.02594397178</c:v>
                </c:pt>
                <c:pt idx="36">
                  <c:v>58.9681684210526</c:v>
                </c:pt>
                <c:pt idx="37">
                  <c:v>63.1106791763681</c:v>
                </c:pt>
                <c:pt idx="38">
                  <c:v>67.4590397462277</c:v>
                </c:pt>
                <c:pt idx="39">
                  <c:v>72.0188136391326</c:v>
                </c:pt>
                <c:pt idx="40">
                  <c:v>76.7955643635839</c:v>
                </c:pt>
                <c:pt idx="41">
                  <c:v>81.7948554280828</c:v>
                </c:pt>
                <c:pt idx="42">
                  <c:v>87.0222503411306</c:v>
                </c:pt>
                <c:pt idx="43">
                  <c:v>92.4833126112285</c:v>
                </c:pt>
                <c:pt idx="44">
                  <c:v>98.1836057468775</c:v>
                </c:pt>
                <c:pt idx="45">
                  <c:v>104.128693256579</c:v>
                </c:pt>
                <c:pt idx="46">
                  <c:v>110.324138648834</c:v>
                </c:pt>
                <c:pt idx="47">
                  <c:v>116.775505432144</c:v>
                </c:pt>
                <c:pt idx="48">
                  <c:v>123.48835711501</c:v>
                </c:pt>
                <c:pt idx="49">
                  <c:v>130.468257205933</c:v>
                </c:pt>
                <c:pt idx="50">
                  <c:v>137.720769213414</c:v>
                </c:pt>
                <c:pt idx="51">
                  <c:v>145.251456645955</c:v>
                </c:pt>
                <c:pt idx="52">
                  <c:v>153.065883012057</c:v>
                </c:pt>
                <c:pt idx="53">
                  <c:v>161.169611820221</c:v>
                </c:pt>
                <c:pt idx="54">
                  <c:v>169.568206578947</c:v>
                </c:pt>
                <c:pt idx="55">
                  <c:v>178.267230796739</c:v>
                </c:pt>
                <c:pt idx="56">
                  <c:v>187.272247982095</c:v>
                </c:pt>
                <c:pt idx="57">
                  <c:v>196.588821643519</c:v>
                </c:pt>
                <c:pt idx="58">
                  <c:v>206.22251528951</c:v>
                </c:pt>
                <c:pt idx="59">
                  <c:v>216.17889242857</c:v>
                </c:pt>
                <c:pt idx="60">
                  <c:v>226.463516569201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'Caracteristica tractiune'!R4</c:f>
              <c:strCache>
                <c:ptCount val="1"/>
                <c:pt idx="0">
                  <c:v>P_m rampă 10 % [kW]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tractiune'!$R$5:$R$65</c:f>
              <c:numCache>
                <c:formatCode>#,##0</c:formatCode>
                <c:ptCount val="61"/>
                <c:pt idx="0">
                  <c:v>0</c:v>
                </c:pt>
                <c:pt idx="1">
                  <c:v>4.05272916402763</c:v>
                </c:pt>
                <c:pt idx="2">
                  <c:v>8.11102183655645</c:v>
                </c:pt>
                <c:pt idx="3">
                  <c:v>12.1804415260877</c:v>
                </c:pt>
                <c:pt idx="4">
                  <c:v>16.2665517411224</c:v>
                </c:pt>
                <c:pt idx="5">
                  <c:v>20.374915990162</c:v>
                </c:pt>
                <c:pt idx="6">
                  <c:v>24.5110977817075</c:v>
                </c:pt>
                <c:pt idx="7">
                  <c:v>28.6806606242601</c:v>
                </c:pt>
                <c:pt idx="8">
                  <c:v>32.8891680263211</c:v>
                </c:pt>
                <c:pt idx="9">
                  <c:v>37.1421834963916</c:v>
                </c:pt>
                <c:pt idx="10">
                  <c:v>41.4452705429728</c:v>
                </c:pt>
                <c:pt idx="11">
                  <c:v>45.803992674566</c:v>
                </c:pt>
                <c:pt idx="12">
                  <c:v>50.2239133996722</c:v>
                </c:pt>
                <c:pt idx="13">
                  <c:v>54.7105962267928</c:v>
                </c:pt>
                <c:pt idx="14">
                  <c:v>59.2696046644288</c:v>
                </c:pt>
                <c:pt idx="15">
                  <c:v>63.9065022210815</c:v>
                </c:pt>
                <c:pt idx="16">
                  <c:v>68.6268524052521</c:v>
                </c:pt>
                <c:pt idx="17">
                  <c:v>73.4362187254417</c:v>
                </c:pt>
                <c:pt idx="18">
                  <c:v>78.3401646901516</c:v>
                </c:pt>
                <c:pt idx="19">
                  <c:v>83.344253807883</c:v>
                </c:pt>
                <c:pt idx="20">
                  <c:v>88.4540495871369</c:v>
                </c:pt>
                <c:pt idx="21">
                  <c:v>93.6751155364147</c:v>
                </c:pt>
                <c:pt idx="22">
                  <c:v>99.0130151642175</c:v>
                </c:pt>
                <c:pt idx="23">
                  <c:v>104.473311979047</c:v>
                </c:pt>
                <c:pt idx="24">
                  <c:v>110.061569489403</c:v>
                </c:pt>
                <c:pt idx="25">
                  <c:v>115.783351203788</c:v>
                </c:pt>
                <c:pt idx="26">
                  <c:v>121.644220630703</c:v>
                </c:pt>
                <c:pt idx="27">
                  <c:v>127.649741278649</c:v>
                </c:pt>
                <c:pt idx="28">
                  <c:v>133.805476656126</c:v>
                </c:pt>
                <c:pt idx="29">
                  <c:v>140.116990271638</c:v>
                </c:pt>
                <c:pt idx="30">
                  <c:v>146.589845633684</c:v>
                </c:pt>
                <c:pt idx="31">
                  <c:v>153.229606250765</c:v>
                </c:pt>
                <c:pt idx="32">
                  <c:v>160.041835631384</c:v>
                </c:pt>
                <c:pt idx="33">
                  <c:v>167.03209728404</c:v>
                </c:pt>
                <c:pt idx="34">
                  <c:v>174.205954717236</c:v>
                </c:pt>
                <c:pt idx="35">
                  <c:v>181.568971439472</c:v>
                </c:pt>
                <c:pt idx="36">
                  <c:v>189.126710959251</c:v>
                </c:pt>
                <c:pt idx="37">
                  <c:v>196.884736785072</c:v>
                </c:pt>
                <c:pt idx="38">
                  <c:v>204.848612425437</c:v>
                </c:pt>
                <c:pt idx="39">
                  <c:v>213.023901388847</c:v>
                </c:pt>
                <c:pt idx="40">
                  <c:v>221.416167183804</c:v>
                </c:pt>
                <c:pt idx="41">
                  <c:v>230.030973318808</c:v>
                </c:pt>
                <c:pt idx="42">
                  <c:v>238.873883302362</c:v>
                </c:pt>
                <c:pt idx="43">
                  <c:v>247.950460642965</c:v>
                </c:pt>
                <c:pt idx="44">
                  <c:v>257.266268849119</c:v>
                </c:pt>
                <c:pt idx="45">
                  <c:v>266.826871429326</c:v>
                </c:pt>
                <c:pt idx="46">
                  <c:v>276.637831892087</c:v>
                </c:pt>
                <c:pt idx="47">
                  <c:v>286.704713745902</c:v>
                </c:pt>
                <c:pt idx="48">
                  <c:v>297.033080499274</c:v>
                </c:pt>
                <c:pt idx="49">
                  <c:v>307.628495660702</c:v>
                </c:pt>
                <c:pt idx="50">
                  <c:v>318.496522738689</c:v>
                </c:pt>
                <c:pt idx="51">
                  <c:v>329.642725241736</c:v>
                </c:pt>
                <c:pt idx="52">
                  <c:v>341.072666678343</c:v>
                </c:pt>
                <c:pt idx="53">
                  <c:v>352.791910557012</c:v>
                </c:pt>
                <c:pt idx="54">
                  <c:v>364.806020386244</c:v>
                </c:pt>
                <c:pt idx="55">
                  <c:v>377.120559674541</c:v>
                </c:pt>
                <c:pt idx="56">
                  <c:v>389.741091930403</c:v>
                </c:pt>
                <c:pt idx="57">
                  <c:v>402.673180662332</c:v>
                </c:pt>
                <c:pt idx="58">
                  <c:v>415.922389378829</c:v>
                </c:pt>
                <c:pt idx="59">
                  <c:v>429.494281588395</c:v>
                </c:pt>
                <c:pt idx="60">
                  <c:v>443.394420799531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'Caracteristica tractiune'!S4</c:f>
              <c:strCache>
                <c:ptCount val="1"/>
                <c:pt idx="0">
                  <c:v>P_vârf [kW]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tractiune'!$S$5:$S$65</c:f>
              <c:numCache>
                <c:formatCode>#,##0</c:formatCode>
                <c:ptCount val="61"/>
                <c:pt idx="0">
                  <c:v>860</c:v>
                </c:pt>
                <c:pt idx="1">
                  <c:v>860</c:v>
                </c:pt>
                <c:pt idx="2">
                  <c:v>860</c:v>
                </c:pt>
                <c:pt idx="3">
                  <c:v>860</c:v>
                </c:pt>
                <c:pt idx="4">
                  <c:v>860</c:v>
                </c:pt>
                <c:pt idx="5">
                  <c:v>860</c:v>
                </c:pt>
                <c:pt idx="6">
                  <c:v>860</c:v>
                </c:pt>
                <c:pt idx="7">
                  <c:v>860</c:v>
                </c:pt>
                <c:pt idx="8">
                  <c:v>860</c:v>
                </c:pt>
                <c:pt idx="9">
                  <c:v>860</c:v>
                </c:pt>
                <c:pt idx="10">
                  <c:v>860</c:v>
                </c:pt>
                <c:pt idx="11">
                  <c:v>860</c:v>
                </c:pt>
                <c:pt idx="12">
                  <c:v>860</c:v>
                </c:pt>
                <c:pt idx="13">
                  <c:v>860</c:v>
                </c:pt>
                <c:pt idx="14">
                  <c:v>860</c:v>
                </c:pt>
                <c:pt idx="15">
                  <c:v>860</c:v>
                </c:pt>
                <c:pt idx="16">
                  <c:v>860</c:v>
                </c:pt>
                <c:pt idx="17">
                  <c:v>860</c:v>
                </c:pt>
                <c:pt idx="18">
                  <c:v>860</c:v>
                </c:pt>
                <c:pt idx="19">
                  <c:v>860</c:v>
                </c:pt>
                <c:pt idx="20">
                  <c:v>860</c:v>
                </c:pt>
                <c:pt idx="21">
                  <c:v>860</c:v>
                </c:pt>
                <c:pt idx="22">
                  <c:v>860</c:v>
                </c:pt>
                <c:pt idx="23">
                  <c:v>860</c:v>
                </c:pt>
                <c:pt idx="24">
                  <c:v>860</c:v>
                </c:pt>
                <c:pt idx="25">
                  <c:v>860</c:v>
                </c:pt>
                <c:pt idx="26">
                  <c:v>860</c:v>
                </c:pt>
                <c:pt idx="27">
                  <c:v>860</c:v>
                </c:pt>
                <c:pt idx="28">
                  <c:v>860</c:v>
                </c:pt>
                <c:pt idx="29">
                  <c:v>860</c:v>
                </c:pt>
                <c:pt idx="30">
                  <c:v>860</c:v>
                </c:pt>
                <c:pt idx="31">
                  <c:v>860</c:v>
                </c:pt>
                <c:pt idx="32">
                  <c:v>860</c:v>
                </c:pt>
                <c:pt idx="33">
                  <c:v>860</c:v>
                </c:pt>
                <c:pt idx="34">
                  <c:v>860</c:v>
                </c:pt>
                <c:pt idx="35">
                  <c:v>860</c:v>
                </c:pt>
                <c:pt idx="36">
                  <c:v>860</c:v>
                </c:pt>
                <c:pt idx="37">
                  <c:v>860</c:v>
                </c:pt>
                <c:pt idx="38">
                  <c:v>860</c:v>
                </c:pt>
                <c:pt idx="39">
                  <c:v>860</c:v>
                </c:pt>
                <c:pt idx="40">
                  <c:v>860</c:v>
                </c:pt>
                <c:pt idx="41">
                  <c:v>860</c:v>
                </c:pt>
                <c:pt idx="42">
                  <c:v>860</c:v>
                </c:pt>
                <c:pt idx="43">
                  <c:v>860</c:v>
                </c:pt>
                <c:pt idx="44">
                  <c:v>860</c:v>
                </c:pt>
                <c:pt idx="45">
                  <c:v>860</c:v>
                </c:pt>
                <c:pt idx="46">
                  <c:v>860</c:v>
                </c:pt>
                <c:pt idx="47">
                  <c:v>860</c:v>
                </c:pt>
                <c:pt idx="48">
                  <c:v>860</c:v>
                </c:pt>
                <c:pt idx="49">
                  <c:v>860</c:v>
                </c:pt>
                <c:pt idx="50">
                  <c:v>860</c:v>
                </c:pt>
                <c:pt idx="51">
                  <c:v>860</c:v>
                </c:pt>
                <c:pt idx="52">
                  <c:v>860</c:v>
                </c:pt>
                <c:pt idx="53">
                  <c:v>860</c:v>
                </c:pt>
                <c:pt idx="54">
                  <c:v>860</c:v>
                </c:pt>
                <c:pt idx="55">
                  <c:v>860</c:v>
                </c:pt>
                <c:pt idx="56">
                  <c:v>860</c:v>
                </c:pt>
                <c:pt idx="57">
                  <c:v>860</c:v>
                </c:pt>
                <c:pt idx="58">
                  <c:v>860</c:v>
                </c:pt>
                <c:pt idx="59">
                  <c:v>860</c:v>
                </c:pt>
                <c:pt idx="60">
                  <c:v>860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'Caracteristica tractiune'!T4</c:f>
              <c:strCache>
                <c:ptCount val="1"/>
                <c:pt idx="0">
                  <c:v>P_cont [kW]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'Caracteristica tractiune'!$A$5:$A$65</c:f>
              <c:numCache>
                <c:formatCode>0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xVal>
          <c:yVal>
            <c:numRef>
              <c:f>'Caracteristica tractiune'!$T$5:$T$65</c:f>
              <c:numCache>
                <c:formatCode>#,##0</c:formatCode>
                <c:ptCount val="61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530</c:v>
                </c:pt>
                <c:pt idx="6">
                  <c:v>530</c:v>
                </c:pt>
                <c:pt idx="7">
                  <c:v>530</c:v>
                </c:pt>
                <c:pt idx="8">
                  <c:v>530</c:v>
                </c:pt>
                <c:pt idx="9">
                  <c:v>530</c:v>
                </c:pt>
                <c:pt idx="10">
                  <c:v>530</c:v>
                </c:pt>
                <c:pt idx="11">
                  <c:v>530</c:v>
                </c:pt>
                <c:pt idx="12">
                  <c:v>530</c:v>
                </c:pt>
                <c:pt idx="13">
                  <c:v>530</c:v>
                </c:pt>
                <c:pt idx="14">
                  <c:v>530</c:v>
                </c:pt>
                <c:pt idx="15">
                  <c:v>530</c:v>
                </c:pt>
                <c:pt idx="16">
                  <c:v>530</c:v>
                </c:pt>
                <c:pt idx="17">
                  <c:v>530</c:v>
                </c:pt>
                <c:pt idx="18">
                  <c:v>530</c:v>
                </c:pt>
                <c:pt idx="19">
                  <c:v>530</c:v>
                </c:pt>
                <c:pt idx="20">
                  <c:v>530</c:v>
                </c:pt>
                <c:pt idx="21">
                  <c:v>530</c:v>
                </c:pt>
                <c:pt idx="22">
                  <c:v>530</c:v>
                </c:pt>
                <c:pt idx="23">
                  <c:v>530</c:v>
                </c:pt>
                <c:pt idx="24">
                  <c:v>530</c:v>
                </c:pt>
                <c:pt idx="25">
                  <c:v>530</c:v>
                </c:pt>
                <c:pt idx="26">
                  <c:v>530</c:v>
                </c:pt>
                <c:pt idx="27">
                  <c:v>530</c:v>
                </c:pt>
                <c:pt idx="28">
                  <c:v>530</c:v>
                </c:pt>
                <c:pt idx="29">
                  <c:v>530</c:v>
                </c:pt>
                <c:pt idx="30">
                  <c:v>530</c:v>
                </c:pt>
                <c:pt idx="31">
                  <c:v>530</c:v>
                </c:pt>
                <c:pt idx="32">
                  <c:v>530</c:v>
                </c:pt>
                <c:pt idx="33">
                  <c:v>530</c:v>
                </c:pt>
                <c:pt idx="34">
                  <c:v>530</c:v>
                </c:pt>
                <c:pt idx="35">
                  <c:v>530</c:v>
                </c:pt>
                <c:pt idx="36">
                  <c:v>530</c:v>
                </c:pt>
                <c:pt idx="37">
                  <c:v>530</c:v>
                </c:pt>
                <c:pt idx="38">
                  <c:v>530</c:v>
                </c:pt>
                <c:pt idx="39">
                  <c:v>530</c:v>
                </c:pt>
                <c:pt idx="40">
                  <c:v>530</c:v>
                </c:pt>
                <c:pt idx="41">
                  <c:v>530</c:v>
                </c:pt>
                <c:pt idx="42">
                  <c:v>530</c:v>
                </c:pt>
                <c:pt idx="43">
                  <c:v>530</c:v>
                </c:pt>
                <c:pt idx="44">
                  <c:v>530</c:v>
                </c:pt>
                <c:pt idx="45">
                  <c:v>530</c:v>
                </c:pt>
                <c:pt idx="46">
                  <c:v>530</c:v>
                </c:pt>
                <c:pt idx="47">
                  <c:v>530</c:v>
                </c:pt>
                <c:pt idx="48">
                  <c:v>530</c:v>
                </c:pt>
                <c:pt idx="49">
                  <c:v>530</c:v>
                </c:pt>
                <c:pt idx="50">
                  <c:v>530</c:v>
                </c:pt>
                <c:pt idx="51">
                  <c:v>530</c:v>
                </c:pt>
                <c:pt idx="52">
                  <c:v>530</c:v>
                </c:pt>
                <c:pt idx="53">
                  <c:v>530</c:v>
                </c:pt>
                <c:pt idx="54">
                  <c:v>530</c:v>
                </c:pt>
                <c:pt idx="55">
                  <c:v>530</c:v>
                </c:pt>
                <c:pt idx="56">
                  <c:v>530</c:v>
                </c:pt>
                <c:pt idx="57">
                  <c:v>530</c:v>
                </c:pt>
                <c:pt idx="58">
                  <c:v>530</c:v>
                </c:pt>
                <c:pt idx="59">
                  <c:v>530</c:v>
                </c:pt>
                <c:pt idx="60">
                  <c:v>530</c:v>
                </c:pt>
              </c:numCache>
            </c:numRef>
          </c:yVal>
          <c:smooth val="0"/>
        </c:ser>
        <c:axId val="86512673"/>
        <c:axId val="66308036"/>
      </c:scatterChart>
      <c:valAx>
        <c:axId val="86512673"/>
        <c:scaling>
          <c:orientation val="minMax"/>
          <c:max val="3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[km/h]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08036"/>
        <c:crosses val="autoZero"/>
        <c:crossBetween val="midCat"/>
      </c:valAx>
      <c:valAx>
        <c:axId val="66308036"/>
        <c:scaling>
          <c:orientation val="minMax"/>
          <c:max val="9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[kW]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1267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2</xdr:row>
      <xdr:rowOff>160920</xdr:rowOff>
    </xdr:from>
    <xdr:to>
      <xdr:col>32</xdr:col>
      <xdr:colOff>364680</xdr:colOff>
      <xdr:row>19</xdr:row>
      <xdr:rowOff>178920</xdr:rowOff>
    </xdr:to>
    <xdr:graphicFrame>
      <xdr:nvGraphicFramePr>
        <xdr:cNvPr id="0" name="Chart 1"/>
        <xdr:cNvGraphicFramePr/>
      </xdr:nvGraphicFramePr>
      <xdr:xfrm>
        <a:off x="15202080" y="762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24</xdr:row>
      <xdr:rowOff>160560</xdr:rowOff>
    </xdr:from>
    <xdr:to>
      <xdr:col>32</xdr:col>
      <xdr:colOff>364680</xdr:colOff>
      <xdr:row>43</xdr:row>
      <xdr:rowOff>140760</xdr:rowOff>
    </xdr:to>
    <xdr:graphicFrame>
      <xdr:nvGraphicFramePr>
        <xdr:cNvPr id="1" name="Chart 2"/>
        <xdr:cNvGraphicFramePr/>
      </xdr:nvGraphicFramePr>
      <xdr:xfrm>
        <a:off x="15202080" y="52959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D5" s="5" t="n">
        <f aca="false">M_calc</f>
        <v>2535</v>
      </c>
      <c r="E5" s="4" t="s">
        <v>4</v>
      </c>
    </row>
    <row r="6" customFormat="false" ht="15" hidden="false" customHeight="false" outlineLevel="0" collapsed="false">
      <c r="A6" s="4" t="s">
        <v>5</v>
      </c>
      <c r="D6" s="6" t="n">
        <f aca="false">C_x*A_f</f>
        <v>0.5368</v>
      </c>
      <c r="E6" s="4" t="s">
        <v>6</v>
      </c>
    </row>
    <row r="7" customFormat="false" ht="15" hidden="false" customHeight="false" outlineLevel="0" collapsed="false">
      <c r="A7" s="4" t="s">
        <v>7</v>
      </c>
      <c r="D7" s="7" t="str">
        <f aca="false">FIXED(f_r,3)&amp;" / "&amp;FIXED(mu_us,2)</f>
        <v>0.012 / 0.85</v>
      </c>
      <c r="E7" s="4" t="s">
        <v>8</v>
      </c>
    </row>
    <row r="8" customFormat="false" ht="15" hidden="false" customHeight="false" outlineLevel="0" collapsed="false">
      <c r="A8" s="4" t="s">
        <v>9</v>
      </c>
      <c r="D8" s="6" t="n">
        <f aca="false">r_w</f>
        <v>0.344544</v>
      </c>
      <c r="E8" s="4" t="s">
        <v>10</v>
      </c>
    </row>
    <row r="9" customFormat="false" ht="15" hidden="false" customHeight="false" outlineLevel="0" collapsed="false">
      <c r="A9" s="4" t="s">
        <v>11</v>
      </c>
      <c r="D9" s="8" t="n">
        <f aca="false">i_g</f>
        <v>5.6285678760399</v>
      </c>
      <c r="E9" s="4" t="s">
        <v>8</v>
      </c>
    </row>
    <row r="10" customFormat="false" ht="15" hidden="false" customHeight="false" outlineLevel="0" collapsed="false">
      <c r="A10" s="4" t="s">
        <v>12</v>
      </c>
      <c r="D10" s="8" t="n">
        <f aca="false">eta_t</f>
        <v>0.95</v>
      </c>
      <c r="E10" s="4" t="s">
        <v>8</v>
      </c>
    </row>
    <row r="11" customFormat="false" ht="15" hidden="false" customHeight="false" outlineLevel="0" collapsed="false">
      <c r="A11" s="4" t="s">
        <v>13</v>
      </c>
      <c r="D11" s="7" t="str">
        <f aca="false">FIXED(T_max,0,TRUE())&amp;" N·m / "&amp;FIXED(P_vf,0,TRUE())&amp;" kW / "&amp;FIXED(P_cont,0,TRUE())&amp;" kW"</f>
        <v>2000 N·m / 860 kW / 530 kW</v>
      </c>
      <c r="E11" s="4"/>
    </row>
    <row r="13" customFormat="false" ht="15" hidden="false" customHeight="false" outlineLevel="0" collapsed="false">
      <c r="A13" s="3" t="s">
        <v>14</v>
      </c>
    </row>
    <row r="14" customFormat="false" ht="30" hidden="false" customHeight="true" outlineLevel="0" collapsed="false">
      <c r="A14" s="9" t="s">
        <v>15</v>
      </c>
      <c r="B14" s="9" t="s">
        <v>16</v>
      </c>
      <c r="C14" s="9" t="s">
        <v>17</v>
      </c>
      <c r="D14" s="9" t="s">
        <v>18</v>
      </c>
      <c r="E14" s="9" t="s">
        <v>19</v>
      </c>
      <c r="F14" s="9" t="s">
        <v>20</v>
      </c>
      <c r="G14" s="9" t="s">
        <v>21</v>
      </c>
      <c r="H14" s="9" t="s">
        <v>22</v>
      </c>
      <c r="I14" s="9" t="s">
        <v>23</v>
      </c>
      <c r="J14" s="9" t="s">
        <v>24</v>
      </c>
      <c r="K14" s="9" t="s">
        <v>25</v>
      </c>
      <c r="L14" s="9" t="s">
        <v>26</v>
      </c>
      <c r="M14" s="9" t="s">
        <v>27</v>
      </c>
      <c r="N14" s="9" t="s">
        <v>28</v>
      </c>
    </row>
    <row r="15" customFormat="false" ht="27.75" hidden="false" customHeight="true" outlineLevel="0" collapsed="false">
      <c r="A15" s="10" t="s">
        <v>29</v>
      </c>
      <c r="B15" s="11" t="s">
        <v>30</v>
      </c>
      <c r="C15" s="12" t="n">
        <f aca="false">'Calcul regimuri'!E6</f>
        <v>300</v>
      </c>
      <c r="D15" s="12" t="n">
        <f aca="false">'Calcul regimuri'!E8</f>
        <v>0</v>
      </c>
      <c r="E15" s="13" t="n">
        <f aca="false">'Calcul regimuri'!E10</f>
        <v>0</v>
      </c>
      <c r="F15" s="14" t="n">
        <f aca="false">'Calcul regimuri'!E15</f>
        <v>2581.68408888889</v>
      </c>
      <c r="G15" s="14" t="n">
        <f aca="false">'Calcul regimuri'!E16</f>
        <v>889.503762722133</v>
      </c>
      <c r="H15" s="15" t="n">
        <f aca="false">'Calcul regimuri'!E17</f>
        <v>215.140340740741</v>
      </c>
      <c r="I15" s="15" t="n">
        <f aca="false">'Calcul regimuri'!E18</f>
        <v>226.463516569201</v>
      </c>
      <c r="J15" s="14" t="n">
        <f aca="false">'Calcul regimuri'!E19</f>
        <v>166.351329655208</v>
      </c>
      <c r="K15" s="14" t="n">
        <f aca="false">'Calcul regimuri'!E21</f>
        <v>13000</v>
      </c>
      <c r="L15" s="13" t="n">
        <f aca="false">'Calcul regimuri'!E24</f>
        <v>0.103814048334083</v>
      </c>
      <c r="M15" s="16" t="str">
        <f aca="false">'Calcul regimuri'!E29</f>
        <v>ÎNDEPLINITĂ</v>
      </c>
      <c r="N15" s="16" t="str">
        <f aca="false">'Calcul regimuri'!E28</f>
        <v>acționare</v>
      </c>
    </row>
    <row r="16" customFormat="false" ht="27.75" hidden="false" customHeight="true" outlineLevel="0" collapsed="false">
      <c r="A16" s="10" t="s">
        <v>31</v>
      </c>
      <c r="B16" s="11" t="s">
        <v>32</v>
      </c>
      <c r="C16" s="12" t="n">
        <f aca="false">'Calcul regimuri'!F6</f>
        <v>0</v>
      </c>
      <c r="D16" s="12" t="n">
        <f aca="false">'Calcul regimuri'!F8</f>
        <v>0</v>
      </c>
      <c r="E16" s="13" t="n">
        <f aca="false">'Calcul regimuri'!F10</f>
        <v>11.5740740740741</v>
      </c>
      <c r="F16" s="14" t="n">
        <f aca="false">'Calcul regimuri'!F15</f>
        <v>29638.6979777778</v>
      </c>
      <c r="G16" s="14" t="n">
        <f aca="false">'Calcul regimuri'!F16</f>
        <v>10211.8355560555</v>
      </c>
      <c r="H16" s="15" t="n">
        <f aca="false">'Calcul regimuri'!F17</f>
        <v>0</v>
      </c>
      <c r="I16" s="15" t="n">
        <f aca="false">'Calcul regimuri'!F18</f>
        <v>0</v>
      </c>
      <c r="J16" s="14" t="n">
        <f aca="false">'Calcul regimuri'!F19</f>
        <v>1909.77542104093</v>
      </c>
      <c r="K16" s="14" t="n">
        <f aca="false">'Calcul regimuri'!F21</f>
        <v>0</v>
      </c>
      <c r="L16" s="13" t="n">
        <f aca="false">'Calcul regimuri'!F24</f>
        <v>1.19182406463548</v>
      </c>
      <c r="M16" s="16" t="str">
        <f aca="false">'Calcul regimuri'!F29</f>
        <v>NEÎNDEPLINITĂ</v>
      </c>
      <c r="N16" s="16" t="str">
        <f aca="false">'Calcul regimuri'!F28</f>
        <v>aderență</v>
      </c>
    </row>
    <row r="17" customFormat="false" ht="27.75" hidden="false" customHeight="true" outlineLevel="0" collapsed="false">
      <c r="A17" s="10" t="s">
        <v>33</v>
      </c>
      <c r="B17" s="11" t="s">
        <v>34</v>
      </c>
      <c r="C17" s="12" t="n">
        <f aca="false">'Calcul regimuri'!G6</f>
        <v>100</v>
      </c>
      <c r="D17" s="12" t="n">
        <f aca="false">'Calcul regimuri'!G8</f>
        <v>0</v>
      </c>
      <c r="E17" s="13" t="n">
        <f aca="false">'Calcul regimuri'!G10</f>
        <v>11.5740740740741</v>
      </c>
      <c r="F17" s="14" t="n">
        <f aca="false">'Calcul regimuri'!G15</f>
        <v>29892.3939654321</v>
      </c>
      <c r="G17" s="14" t="n">
        <f aca="false">'Calcul regimuri'!G16</f>
        <v>10299.2449864258</v>
      </c>
      <c r="H17" s="15" t="n">
        <f aca="false">'Calcul regimuri'!G17</f>
        <v>830.344276817558</v>
      </c>
      <c r="I17" s="15" t="n">
        <f aca="false">'Calcul regimuri'!G18</f>
        <v>874.046607176377</v>
      </c>
      <c r="J17" s="14" t="n">
        <f aca="false">'Calcul regimuri'!G19</f>
        <v>1926.12237265136</v>
      </c>
      <c r="K17" s="14" t="n">
        <f aca="false">'Calcul regimuri'!G21</f>
        <v>4333.33333333333</v>
      </c>
      <c r="L17" s="13" t="n">
        <f aca="false">'Calcul regimuri'!G24</f>
        <v>1.20202562556149</v>
      </c>
      <c r="M17" s="16" t="str">
        <f aca="false">'Calcul regimuri'!G29</f>
        <v>NEÎNDEPLINITĂ</v>
      </c>
      <c r="N17" s="16" t="str">
        <f aca="false">'Calcul regimuri'!G28</f>
        <v>aderență</v>
      </c>
    </row>
    <row r="18" customFormat="false" ht="27.75" hidden="false" customHeight="true" outlineLevel="0" collapsed="false">
      <c r="A18" s="10" t="s">
        <v>35</v>
      </c>
      <c r="B18" s="11" t="s">
        <v>36</v>
      </c>
      <c r="C18" s="12" t="n">
        <f aca="false">'Calcul regimuri'!H6</f>
        <v>100</v>
      </c>
      <c r="D18" s="12" t="n">
        <f aca="false">'Calcul regimuri'!H8</f>
        <v>10</v>
      </c>
      <c r="E18" s="13" t="n">
        <f aca="false">'Calcul regimuri'!H10</f>
        <v>0</v>
      </c>
      <c r="F18" s="14" t="n">
        <f aca="false">'Calcul regimuri'!H15</f>
        <v>3025.12849588008</v>
      </c>
      <c r="G18" s="14" t="n">
        <f aca="false">'Calcul regimuri'!H16</f>
        <v>1042.28987248451</v>
      </c>
      <c r="H18" s="15" t="n">
        <f aca="false">'Calcul regimuri'!H17</f>
        <v>84.0313471077801</v>
      </c>
      <c r="I18" s="15" t="n">
        <f aca="false">'Calcul regimuri'!H18</f>
        <v>88.4540495871369</v>
      </c>
      <c r="J18" s="14" t="n">
        <f aca="false">'Calcul regimuri'!H19</f>
        <v>194.924758545533</v>
      </c>
      <c r="K18" s="14" t="n">
        <f aca="false">'Calcul regimuri'!H21</f>
        <v>4333.33333333333</v>
      </c>
      <c r="L18" s="13" t="n">
        <f aca="false">'Calcul regimuri'!H24</f>
        <v>0.122252441844768</v>
      </c>
      <c r="M18" s="16" t="str">
        <f aca="false">'Calcul regimuri'!H29</f>
        <v>ÎNDEPLINITĂ</v>
      </c>
      <c r="N18" s="16" t="str">
        <f aca="false">'Calcul regimuri'!H28</f>
        <v>aderență</v>
      </c>
    </row>
    <row r="19" customFormat="false" ht="27.75" hidden="false" customHeight="true" outlineLevel="0" collapsed="false">
      <c r="A19" s="10" t="s">
        <v>37</v>
      </c>
      <c r="B19" s="11" t="s">
        <v>38</v>
      </c>
      <c r="C19" s="12" t="n">
        <f aca="false">'Calcul regimuri'!I6</f>
        <v>0</v>
      </c>
      <c r="D19" s="12" t="n">
        <f aca="false">'Calcul regimuri'!I8</f>
        <v>30</v>
      </c>
      <c r="E19" s="13" t="n">
        <f aca="false">'Calcul regimuri'!I10</f>
        <v>0</v>
      </c>
      <c r="F19" s="14" t="n">
        <f aca="false">'Calcul regimuri'!I15</f>
        <v>7431.70250162478</v>
      </c>
      <c r="G19" s="14" t="n">
        <f aca="false">'Calcul regimuri'!I16</f>
        <v>2560.54850671981</v>
      </c>
      <c r="H19" s="15" t="n">
        <f aca="false">'Calcul regimuri'!I17</f>
        <v>0</v>
      </c>
      <c r="I19" s="15" t="n">
        <f aca="false">'Calcul regimuri'!I18</f>
        <v>0</v>
      </c>
      <c r="J19" s="14" t="n">
        <f aca="false">'Calcul regimuri'!I19</f>
        <v>478.8632343004</v>
      </c>
      <c r="K19" s="14" t="n">
        <f aca="false">'Calcul regimuri'!I21</f>
        <v>0</v>
      </c>
      <c r="L19" s="13" t="n">
        <f aca="false">'Calcul regimuri'!I24</f>
        <v>0.312</v>
      </c>
      <c r="M19" s="16" t="str">
        <f aca="false">'Calcul regimuri'!I29</f>
        <v>ÎNDEPLINITĂ</v>
      </c>
      <c r="N19" s="16" t="str">
        <f aca="false">'Calcul regimuri'!I28</f>
        <v>aderență</v>
      </c>
    </row>
    <row r="21" customFormat="false" ht="15" hidden="false" customHeight="false" outlineLevel="0" collapsed="false">
      <c r="A21" s="3" t="s">
        <v>39</v>
      </c>
    </row>
    <row r="22" customFormat="false" ht="15" hidden="false" customHeight="true" outlineLevel="0" collapsed="false">
      <c r="A22" s="9" t="s">
        <v>40</v>
      </c>
      <c r="B22" s="9"/>
      <c r="C22" s="9"/>
      <c r="D22" s="9" t="s">
        <v>41</v>
      </c>
      <c r="E22" s="9" t="s">
        <v>42</v>
      </c>
      <c r="F22" s="9" t="s">
        <v>43</v>
      </c>
      <c r="G22" s="9"/>
      <c r="H22" s="9"/>
      <c r="I22" s="9"/>
      <c r="J22" s="9"/>
      <c r="K22" s="9"/>
      <c r="L22" s="9"/>
      <c r="M22" s="9"/>
      <c r="N22" s="9"/>
    </row>
    <row r="23" customFormat="false" ht="15" hidden="false" customHeight="false" outlineLevel="0" collapsed="false">
      <c r="A23" s="17" t="s">
        <v>44</v>
      </c>
      <c r="B23" s="17"/>
      <c r="C23" s="17"/>
      <c r="D23" s="18" t="n">
        <f aca="false">INDEX('Caracteristica tractiune'!O5:O65,MATCH(v_acc,'Caracteristica tractiune'!A5:A65,0))</f>
        <v>3.39280076452741</v>
      </c>
      <c r="E23" s="19" t="n">
        <f aca="false">t_acc</f>
        <v>2.4</v>
      </c>
      <c r="F23" s="20" t="s">
        <v>45</v>
      </c>
      <c r="G23" s="20"/>
      <c r="H23" s="20"/>
      <c r="I23" s="20"/>
      <c r="J23" s="20"/>
      <c r="K23" s="20"/>
      <c r="L23" s="20"/>
      <c r="M23" s="20"/>
      <c r="N23" s="20"/>
    </row>
    <row r="24" customFormat="false" ht="15" hidden="false" customHeight="false" outlineLevel="0" collapsed="false">
      <c r="A24" s="17" t="s">
        <v>46</v>
      </c>
      <c r="B24" s="17"/>
      <c r="C24" s="17"/>
      <c r="D24" s="18" t="n">
        <f aca="false">INDEX('Caracteristica tractiune'!P5:P65,MATCH(v_acc,'Caracteristica tractiune'!A5:A65,0))</f>
        <v>2.39123749280121</v>
      </c>
      <c r="E24" s="19" t="n">
        <f aca="false">t_acc</f>
        <v>2.4</v>
      </c>
      <c r="F24" s="20" t="s">
        <v>47</v>
      </c>
      <c r="G24" s="20"/>
      <c r="H24" s="20"/>
      <c r="I24" s="20"/>
      <c r="J24" s="20"/>
      <c r="K24" s="20"/>
      <c r="L24" s="20"/>
      <c r="M24" s="20"/>
      <c r="N24" s="20"/>
    </row>
    <row r="25" customFormat="false" ht="15" hidden="false" customHeight="false" outlineLevel="0" collapsed="false">
      <c r="A25" s="17" t="s">
        <v>48</v>
      </c>
      <c r="B25" s="17"/>
      <c r="C25" s="17"/>
      <c r="D25" s="18" t="n">
        <f aca="false">INDEX('Caracteristica tractiune'!P5:P65,MATCH(200,'Caracteristica tractiune'!A5:A65,0))</f>
        <v>6.17777672071966</v>
      </c>
      <c r="E25" s="19" t="n">
        <f aca="false">t_200</f>
        <v>6.8</v>
      </c>
      <c r="F25" s="20" t="s">
        <v>49</v>
      </c>
      <c r="G25" s="20"/>
      <c r="H25" s="20"/>
      <c r="I25" s="20"/>
      <c r="J25" s="20"/>
      <c r="K25" s="20"/>
      <c r="L25" s="20"/>
      <c r="M25" s="20"/>
      <c r="N25" s="20"/>
    </row>
    <row r="26" customFormat="false" ht="15" hidden="false" customHeight="false" outlineLevel="0" collapsed="false">
      <c r="A26" s="17" t="s">
        <v>50</v>
      </c>
      <c r="B26" s="17"/>
      <c r="C26" s="17"/>
      <c r="D26" s="18" t="n">
        <f aca="false">'Calcul regimuri'!E37</f>
        <v>8.22078</v>
      </c>
      <c r="E26" s="19" t="n">
        <f aca="false">a_med</f>
        <v>11.5740740740741</v>
      </c>
      <c r="F26" s="20" t="s">
        <v>51</v>
      </c>
      <c r="G26" s="20"/>
      <c r="H26" s="20"/>
      <c r="I26" s="20"/>
      <c r="J26" s="20"/>
      <c r="K26" s="20"/>
      <c r="L26" s="20"/>
      <c r="M26" s="20"/>
      <c r="N26" s="20"/>
    </row>
    <row r="27" customFormat="false" ht="15" hidden="false" customHeight="false" outlineLevel="0" collapsed="false">
      <c r="A27" s="17" t="s">
        <v>52</v>
      </c>
      <c r="B27" s="17"/>
      <c r="C27" s="17"/>
      <c r="D27" s="18" t="n">
        <f aca="false">'Calcul regimuri'!F24</f>
        <v>1.19182406463548</v>
      </c>
      <c r="E27" s="19" t="s">
        <v>8</v>
      </c>
      <c r="F27" s="20" t="s">
        <v>53</v>
      </c>
      <c r="G27" s="20"/>
      <c r="H27" s="20"/>
      <c r="I27" s="20"/>
      <c r="J27" s="20"/>
      <c r="K27" s="20"/>
      <c r="L27" s="20"/>
      <c r="M27" s="20"/>
      <c r="N27" s="20"/>
    </row>
    <row r="28" customFormat="false" ht="15" hidden="false" customHeight="false" outlineLevel="0" collapsed="false">
      <c r="A28" s="17" t="s">
        <v>54</v>
      </c>
      <c r="B28" s="17"/>
      <c r="C28" s="17"/>
      <c r="D28" s="21" t="n">
        <f aca="false">'Calcul regimuri'!E41</f>
        <v>405.502763569018</v>
      </c>
      <c r="E28" s="22" t="n">
        <f aca="false">v_max</f>
        <v>300</v>
      </c>
      <c r="F28" s="20" t="s">
        <v>55</v>
      </c>
      <c r="G28" s="20"/>
      <c r="H28" s="20"/>
      <c r="I28" s="20"/>
      <c r="J28" s="20"/>
      <c r="K28" s="20"/>
      <c r="L28" s="20"/>
      <c r="M28" s="20"/>
      <c r="N28" s="20"/>
    </row>
    <row r="29" customFormat="false" ht="15" hidden="false" customHeight="false" outlineLevel="0" collapsed="false">
      <c r="A29" s="17" t="s">
        <v>56</v>
      </c>
      <c r="B29" s="17"/>
      <c r="C29" s="17"/>
      <c r="D29" s="23" t="n">
        <f aca="false">'Calcul regimuri'!E38</f>
        <v>83.8</v>
      </c>
      <c r="E29" s="24" t="s">
        <v>8</v>
      </c>
      <c r="F29" s="20" t="s">
        <v>57</v>
      </c>
      <c r="G29" s="20"/>
      <c r="H29" s="20"/>
      <c r="I29" s="20"/>
      <c r="J29" s="20"/>
      <c r="K29" s="20"/>
      <c r="L29" s="20"/>
      <c r="M29" s="20"/>
      <c r="N29" s="20"/>
    </row>
    <row r="30" customFormat="false" ht="15" hidden="false" customHeight="false" outlineLevel="0" collapsed="false">
      <c r="A30" s="17" t="s">
        <v>58</v>
      </c>
      <c r="B30" s="17"/>
      <c r="C30" s="17"/>
      <c r="D30" s="23" t="n">
        <f aca="false">'Calcul regimuri'!E18</f>
        <v>226.463516569201</v>
      </c>
      <c r="E30" s="24" t="n">
        <f aca="false">P_cont</f>
        <v>530</v>
      </c>
      <c r="F30" s="20" t="s">
        <v>59</v>
      </c>
      <c r="G30" s="20"/>
      <c r="H30" s="20"/>
      <c r="I30" s="20"/>
      <c r="J30" s="20"/>
      <c r="K30" s="20"/>
      <c r="L30" s="20"/>
      <c r="M30" s="20"/>
      <c r="N30" s="20"/>
    </row>
    <row r="32" customFormat="false" ht="15" hidden="false" customHeight="false" outlineLevel="0" collapsed="false">
      <c r="A32" s="3" t="s">
        <v>60</v>
      </c>
    </row>
    <row r="33" customFormat="false" ht="42" hidden="false" customHeight="true" outlineLevel="0" collapsed="false">
      <c r="A33" s="25" t="str">
        <f aca="false">"1. La v_max = "&amp;FIXED(v_max,0,TRUE())&amp;" km/h pe drum orizontal sunt necesari F_t = "&amp;FIXED('Calcul regimuri'!E15,0)&amp;" N la roți, adică P_m = "&amp;FIXED('Calcul regimuri'!E18,0,TRUE())&amp;" kW – doar "&amp;FIXED(100*('Calcul regimuri'!E31),0,TRUE())&amp;" %"&amp;" din puterea continuă; "&amp;FIXED(100*('Calcul regimuri'!E11/'Calcul regimuri'!E15),0,TRUE())&amp;" %"&amp;" din rezistență este aerodinamică. Viteza maximă nu este limitată de putere, ci electronic și de turația motoarelor ("&amp;FIXED('Calcul regimuri'!E21,0)&amp;" rot/min)."</f>
        <v>1. La v_max = 300 km/h pe drum orizontal sunt necesari F_t = 2,582 N la roți, adică P_m = 226 kW – doar 43 % din puterea continuă; 88 % din rezistență este aerodinamică. Viteza maximă nu este limitată de putere, ci electronic și de turația motoarelor (13,000 rot/min).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customFormat="false" ht="42" hidden="false" customHeight="true" outlineLevel="0" collapsed="false">
      <c r="A34" s="25" t="str">
        <f aca="false">"2. Accelerarea 0–100 km/h în "&amp;FIXED(t_acc,1)&amp;" s cere o forță de "&amp;FIXED('Calcul regimuri'!F15,0)&amp;" N la pornire, deci μ ≥ "&amp;FIXED('Calcul regimuri'!F24,2)&amp;". Cu μ = "&amp;FIXED(mu_us,2)&amp;" (asfalt uscat, tabelul cursului) forța transmisibilă este doar "&amp;FIXED('Calcul regimuri'!F23,0)&amp;" N, iar timpul minim estimat este "&amp;FIXED(D23,1)&amp;" s: performanța este limitată de aderență, nu de acționare (F_t,drive = "&amp;FIXED('Calcul regimuri'!F26,0)&amp;" N)."</f>
        <v>2. Accelerarea 0–100 km/h în 2.4 s cere o forță de 29,639 N la pornire, deci μ ≥ 1.19. Cu μ = 0.85 (asfalt uscat, tabelul cursului) forța transmisibilă este doar 21,138 N, iar timpul minim estimat este 3.4 s: performanța este limitată de aderență, nu de acționare (F_t,drive = 31,039 N).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customFormat="false" ht="42" hidden="false" customHeight="true" outlineLevel="0" collapsed="false">
      <c r="A35" s="25" t="str">
        <f aca="false">"3. Cu anvelope de performanță (μ = "&amp;FIXED(mu_perf,2)&amp;") modelul dă 0–100 km/h în "&amp;FIXED(D24,2)&amp;" s (oficial "&amp;FIXED(t_acc,1)&amp;" s) și 0–200 km/h în "&amp;FIXED(D25,1)&amp;" s (oficial "&amp;FIXED(t_200,1)&amp;" s, abatere "&amp;FIXED(100*(ABS(D25/t_200-1)),0,TRUE())&amp;" %"&amp;"). Abaterea la 0–200 km/h provine în principal din neglijarea maselor în rotație (δ = 1, rel. 23) și a pierderilor din invertor și baterie; ipotezele pentru r_w, i_g și η sunt plauzibile."</f>
        <v>3. Cu anvelope de performanță (μ = 1.20) modelul dă 0–100 km/h în 2.39 s (oficial 2.4 s) și 0–200 km/h în 6.2 s (oficial 6.8 s, abatere 9 %). Abaterea la 0–200 km/h provine în principal din neglijarea maselor în rotație (δ = 1, rel. 23) și a pierderilor din invertor și baterie; ipotezele pentru r_w, i_g și η sunt plauzibile.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customFormat="false" ht="42" hidden="false" customHeight="true" outlineLevel="0" collapsed="false">
      <c r="A36" s="25" t="str">
        <f aca="false">"4. La 100 km/h, accelerația medie impusă ar cere P_m = "&amp;FIXED('Calcul regimuri'!G18,0,TRUE())&amp;" kW ("&amp;FIXED(100*('Calcul regimuri'!G32),0,TRUE())&amp;" %"&amp;" din puterea de vârf de "&amp;FIXED(P_vf,0,TRUE())&amp;" kW): accelerarea reală scade odată cu viteza, iar puterea de vârf este necesară doar pentru performanța maximă (Launch Control)."</f>
        <v>4. La 100 km/h, accelerația medie impusă ar cere P_m = 874 kW (102 % din puterea de vârf de 860 kW): accelerarea reală scade odată cu viteza, iar puterea de vârf este necesară doar pentru performanța maximă (Launch Control).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customFormat="false" ht="42" hidden="false" customHeight="true" outlineLevel="0" collapsed="false">
      <c r="A37" s="25" t="str">
        <f aca="false">"5. Rampa de "&amp;FIXED(p_1,0,TRUE())&amp;" % la "&amp;FIXED(v_p1,0,TRUE())&amp;" km/h cere "&amp;FIXED('Calcul regimuri'!H18,0,TRUE())&amp;" kW, iar pornirea pe panta de "&amp;FIXED(p_max,0,TRUE())&amp;" % cere "&amp;FIXED('Calcul regimuri'!I15,0)&amp;" N (μ_nec = "&amp;FIXED('Calcul regimuri'!I24,2)&amp;"): ambele sunt îndeplinite cu rezervă mare."</f>
        <v>5. Rampa de 10 % la 100 km/h cere 88 kW, iar pornirea pe panta de 30 % cere 7,432 N (μ_nec = 0.31): ambele sunt îndeplinite cu rezervă mare.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customFormat="false" ht="42" hidden="false" customHeight="true" outlineLevel="0" collapsed="false">
      <c r="A38" s="25" t="str">
        <f aca="false">"6. Date de confirmat în etapele următoare: dimensiunea anvelopelor (r_w), rapoartele reale de transmitere față/spate, distribuția cuplului între punți și cuplul continuu al motoarelor."</f>
        <v>6. Date de confirmat în etapele următoare: dimensiunea anvelopelor (r_w), rapoartele reale de transmitere față/spate, distribuția cuplului între punți și cuplul continuu al motoarelor.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</sheetData>
  <mergeCells count="25">
    <mergeCell ref="A2:L2"/>
    <mergeCell ref="A22:C22"/>
    <mergeCell ref="F22:N22"/>
    <mergeCell ref="A23:C23"/>
    <mergeCell ref="F23:N23"/>
    <mergeCell ref="A24:C24"/>
    <mergeCell ref="F24:N24"/>
    <mergeCell ref="A25:C25"/>
    <mergeCell ref="F25:N25"/>
    <mergeCell ref="A26:C26"/>
    <mergeCell ref="F26:N26"/>
    <mergeCell ref="A27:C27"/>
    <mergeCell ref="F27:N27"/>
    <mergeCell ref="A28:C28"/>
    <mergeCell ref="F28:N28"/>
    <mergeCell ref="A29:C29"/>
    <mergeCell ref="F29:N29"/>
    <mergeCell ref="A30:C30"/>
    <mergeCell ref="F30:N30"/>
    <mergeCell ref="A33:N33"/>
    <mergeCell ref="A34:N34"/>
    <mergeCell ref="A35:N35"/>
    <mergeCell ref="A36:N36"/>
    <mergeCell ref="A37:N37"/>
    <mergeCell ref="A38:N38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5"/>
  </cols>
  <sheetData>
    <row r="1" customFormat="false" ht="17.35" hidden="false" customHeight="false" outlineLevel="0" collapsed="false">
      <c r="A1" s="1" t="s">
        <v>61</v>
      </c>
    </row>
    <row r="2" customFormat="false" ht="27.75" hidden="false" customHeight="true" outlineLevel="0" collapsed="false">
      <c r="A2" s="26" t="s">
        <v>62</v>
      </c>
      <c r="B2" s="26"/>
      <c r="C2" s="26"/>
      <c r="D2" s="26"/>
      <c r="E2" s="26"/>
      <c r="F2" s="26"/>
    </row>
    <row r="4" customFormat="false" ht="15" hidden="false" customHeight="false" outlineLevel="0" collapsed="false">
      <c r="A4" s="9" t="s">
        <v>63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</row>
    <row r="5" customFormat="false" ht="15" hidden="false" customHeight="false" outlineLevel="0" collapsed="false">
      <c r="A5" s="27" t="s">
        <v>69</v>
      </c>
      <c r="B5" s="28"/>
      <c r="C5" s="28"/>
      <c r="D5" s="28"/>
      <c r="E5" s="28"/>
      <c r="F5" s="28"/>
    </row>
    <row r="6" customFormat="false" ht="15" hidden="false" customHeight="false" outlineLevel="0" collapsed="false">
      <c r="A6" s="29" t="s">
        <v>70</v>
      </c>
      <c r="B6" s="17" t="s">
        <v>71</v>
      </c>
      <c r="C6" s="30" t="n">
        <v>2460</v>
      </c>
      <c r="D6" s="17" t="s">
        <v>4</v>
      </c>
      <c r="E6" s="17" t="s">
        <v>72</v>
      </c>
      <c r="F6" s="31" t="s">
        <v>73</v>
      </c>
    </row>
    <row r="7" customFormat="false" ht="15" hidden="false" customHeight="false" outlineLevel="0" collapsed="false">
      <c r="A7" s="29" t="s">
        <v>74</v>
      </c>
      <c r="B7" s="17" t="s">
        <v>75</v>
      </c>
      <c r="C7" s="32" t="n">
        <v>75</v>
      </c>
      <c r="D7" s="17" t="s">
        <v>4</v>
      </c>
      <c r="E7" s="17" t="s">
        <v>76</v>
      </c>
      <c r="F7" s="31" t="s">
        <v>77</v>
      </c>
    </row>
    <row r="8" customFormat="false" ht="15" hidden="false" customHeight="false" outlineLevel="0" collapsed="false">
      <c r="A8" s="29" t="s">
        <v>78</v>
      </c>
      <c r="B8" s="17" t="s">
        <v>79</v>
      </c>
      <c r="C8" s="14" t="n">
        <f aca="false">M_DIN+m_sofer</f>
        <v>2535</v>
      </c>
      <c r="D8" s="17" t="s">
        <v>4</v>
      </c>
      <c r="E8" s="17" t="s">
        <v>80</v>
      </c>
      <c r="F8" s="31" t="s">
        <v>81</v>
      </c>
    </row>
    <row r="9" customFormat="false" ht="15" hidden="false" customHeight="false" outlineLevel="0" collapsed="false">
      <c r="A9" s="29" t="s">
        <v>82</v>
      </c>
      <c r="B9" s="17" t="s">
        <v>83</v>
      </c>
      <c r="C9" s="33" t="n">
        <v>0.22</v>
      </c>
      <c r="D9" s="17" t="s">
        <v>8</v>
      </c>
      <c r="E9" s="17" t="s">
        <v>72</v>
      </c>
      <c r="F9" s="31" t="s">
        <v>73</v>
      </c>
    </row>
    <row r="10" customFormat="false" ht="23.85" hidden="false" customHeight="false" outlineLevel="0" collapsed="false">
      <c r="A10" s="29" t="s">
        <v>84</v>
      </c>
      <c r="B10" s="17" t="s">
        <v>85</v>
      </c>
      <c r="C10" s="33" t="n">
        <v>2.44</v>
      </c>
      <c r="D10" s="17" t="s">
        <v>6</v>
      </c>
      <c r="E10" s="17" t="s">
        <v>72</v>
      </c>
      <c r="F10" s="31" t="s">
        <v>86</v>
      </c>
    </row>
    <row r="11" customFormat="false" ht="23.85" hidden="false" customHeight="false" outlineLevel="0" collapsed="false">
      <c r="A11" s="29" t="s">
        <v>87</v>
      </c>
      <c r="B11" s="17" t="s">
        <v>88</v>
      </c>
      <c r="C11" s="30" t="n">
        <v>2000</v>
      </c>
      <c r="D11" s="17" t="s">
        <v>89</v>
      </c>
      <c r="E11" s="17" t="s">
        <v>72</v>
      </c>
      <c r="F11" s="31" t="s">
        <v>90</v>
      </c>
    </row>
    <row r="12" customFormat="false" ht="15" hidden="false" customHeight="false" outlineLevel="0" collapsed="false">
      <c r="A12" s="29" t="s">
        <v>91</v>
      </c>
      <c r="B12" s="17" t="s">
        <v>92</v>
      </c>
      <c r="C12" s="30" t="n">
        <v>860</v>
      </c>
      <c r="D12" s="17" t="s">
        <v>93</v>
      </c>
      <c r="E12" s="17" t="s">
        <v>72</v>
      </c>
      <c r="F12" s="31" t="s">
        <v>94</v>
      </c>
    </row>
    <row r="13" customFormat="false" ht="15" hidden="false" customHeight="false" outlineLevel="0" collapsed="false">
      <c r="A13" s="29" t="s">
        <v>95</v>
      </c>
      <c r="B13" s="17" t="s">
        <v>96</v>
      </c>
      <c r="C13" s="30" t="n">
        <v>530</v>
      </c>
      <c r="D13" s="17" t="s">
        <v>93</v>
      </c>
      <c r="E13" s="17" t="s">
        <v>72</v>
      </c>
      <c r="F13" s="31" t="s">
        <v>73</v>
      </c>
    </row>
    <row r="14" customFormat="false" ht="15" hidden="false" customHeight="false" outlineLevel="0" collapsed="false">
      <c r="A14" s="29" t="s">
        <v>97</v>
      </c>
      <c r="B14" s="17" t="s">
        <v>98</v>
      </c>
      <c r="C14" s="32" t="n">
        <v>300</v>
      </c>
      <c r="D14" s="17" t="s">
        <v>99</v>
      </c>
      <c r="E14" s="17" t="s">
        <v>72</v>
      </c>
      <c r="F14" s="31" t="s">
        <v>100</v>
      </c>
    </row>
    <row r="15" customFormat="false" ht="15" hidden="false" customHeight="false" outlineLevel="0" collapsed="false">
      <c r="A15" s="29" t="s">
        <v>101</v>
      </c>
      <c r="B15" s="17" t="s">
        <v>102</v>
      </c>
      <c r="C15" s="34" t="n">
        <v>2.4</v>
      </c>
      <c r="D15" s="17" t="s">
        <v>103</v>
      </c>
      <c r="E15" s="17" t="s">
        <v>72</v>
      </c>
      <c r="F15" s="31" t="s">
        <v>104</v>
      </c>
    </row>
    <row r="16" customFormat="false" ht="15" hidden="false" customHeight="false" outlineLevel="0" collapsed="false">
      <c r="A16" s="29" t="s">
        <v>105</v>
      </c>
      <c r="B16" s="17" t="s">
        <v>106</v>
      </c>
      <c r="C16" s="34" t="n">
        <v>6.8</v>
      </c>
      <c r="D16" s="17" t="s">
        <v>103</v>
      </c>
      <c r="E16" s="17" t="s">
        <v>72</v>
      </c>
      <c r="F16" s="31" t="s">
        <v>73</v>
      </c>
    </row>
    <row r="17" customFormat="false" ht="15" hidden="false" customHeight="false" outlineLevel="0" collapsed="false">
      <c r="A17" s="27" t="s">
        <v>107</v>
      </c>
      <c r="B17" s="28"/>
      <c r="C17" s="28"/>
      <c r="D17" s="28"/>
      <c r="E17" s="28"/>
      <c r="F17" s="28"/>
    </row>
    <row r="18" customFormat="false" ht="15" hidden="false" customHeight="false" outlineLevel="0" collapsed="false">
      <c r="A18" s="29" t="s">
        <v>108</v>
      </c>
      <c r="B18" s="17" t="s">
        <v>109</v>
      </c>
      <c r="C18" s="32" t="n">
        <v>21</v>
      </c>
      <c r="D18" s="17" t="s">
        <v>110</v>
      </c>
      <c r="E18" s="17" t="s">
        <v>76</v>
      </c>
      <c r="F18" s="31" t="s">
        <v>111</v>
      </c>
    </row>
    <row r="19" customFormat="false" ht="23.85" hidden="false" customHeight="false" outlineLevel="0" collapsed="false">
      <c r="A19" s="29" t="s">
        <v>112</v>
      </c>
      <c r="B19" s="17" t="s">
        <v>113</v>
      </c>
      <c r="C19" s="32" t="n">
        <v>295</v>
      </c>
      <c r="D19" s="17" t="s">
        <v>114</v>
      </c>
      <c r="E19" s="17" t="s">
        <v>76</v>
      </c>
      <c r="F19" s="31" t="s">
        <v>115</v>
      </c>
    </row>
    <row r="20" customFormat="false" ht="15" hidden="false" customHeight="false" outlineLevel="0" collapsed="false">
      <c r="A20" s="29" t="s">
        <v>116</v>
      </c>
      <c r="B20" s="17" t="s">
        <v>117</v>
      </c>
      <c r="C20" s="33" t="n">
        <v>0.3</v>
      </c>
      <c r="D20" s="17" t="s">
        <v>8</v>
      </c>
      <c r="E20" s="17" t="s">
        <v>76</v>
      </c>
      <c r="F20" s="31" t="s">
        <v>118</v>
      </c>
    </row>
    <row r="21" customFormat="false" ht="15" hidden="false" customHeight="false" outlineLevel="0" collapsed="false">
      <c r="A21" s="29" t="s">
        <v>119</v>
      </c>
      <c r="B21" s="17" t="s">
        <v>120</v>
      </c>
      <c r="C21" s="33" t="n">
        <v>0.97</v>
      </c>
      <c r="D21" s="17" t="s">
        <v>8</v>
      </c>
      <c r="E21" s="17" t="s">
        <v>76</v>
      </c>
      <c r="F21" s="31" t="s">
        <v>121</v>
      </c>
    </row>
    <row r="22" customFormat="false" ht="15" hidden="false" customHeight="false" outlineLevel="0" collapsed="false">
      <c r="A22" s="29" t="s">
        <v>122</v>
      </c>
      <c r="B22" s="17" t="s">
        <v>9</v>
      </c>
      <c r="C22" s="35" t="n">
        <f aca="false">k_def*(D_jant*25.4/2+B_anv*h_rap)/1000</f>
        <v>0.344544</v>
      </c>
      <c r="D22" s="17" t="s">
        <v>10</v>
      </c>
      <c r="E22" s="17" t="s">
        <v>80</v>
      </c>
      <c r="F22" s="31" t="s">
        <v>123</v>
      </c>
    </row>
    <row r="23" customFormat="false" ht="15" hidden="false" customHeight="false" outlineLevel="0" collapsed="false">
      <c r="A23" s="29" t="s">
        <v>124</v>
      </c>
      <c r="B23" s="17" t="s">
        <v>125</v>
      </c>
      <c r="C23" s="30" t="n">
        <v>13000</v>
      </c>
      <c r="D23" s="17" t="s">
        <v>126</v>
      </c>
      <c r="E23" s="17" t="s">
        <v>72</v>
      </c>
      <c r="F23" s="31" t="s">
        <v>127</v>
      </c>
    </row>
    <row r="24" customFormat="false" ht="23.85" hidden="false" customHeight="false" outlineLevel="0" collapsed="false">
      <c r="A24" s="29" t="s">
        <v>128</v>
      </c>
      <c r="B24" s="17" t="s">
        <v>129</v>
      </c>
      <c r="C24" s="13" t="n">
        <f aca="false">n_m_vmax/(v_max/3.6/(2*PI()*r_w)*60)</f>
        <v>5.6285678760399</v>
      </c>
      <c r="D24" s="17" t="s">
        <v>8</v>
      </c>
      <c r="E24" s="17" t="s">
        <v>80</v>
      </c>
      <c r="F24" s="31" t="s">
        <v>130</v>
      </c>
    </row>
    <row r="25" customFormat="false" ht="15" hidden="false" customHeight="false" outlineLevel="0" collapsed="false">
      <c r="A25" s="29" t="s">
        <v>131</v>
      </c>
      <c r="B25" s="17" t="s">
        <v>132</v>
      </c>
      <c r="C25" s="33" t="n">
        <v>0.95</v>
      </c>
      <c r="D25" s="17" t="s">
        <v>8</v>
      </c>
      <c r="E25" s="17" t="s">
        <v>76</v>
      </c>
      <c r="F25" s="31" t="s">
        <v>133</v>
      </c>
    </row>
    <row r="26" customFormat="false" ht="15" hidden="false" customHeight="false" outlineLevel="0" collapsed="false">
      <c r="A26" s="29" t="s">
        <v>134</v>
      </c>
      <c r="B26" s="17" t="s">
        <v>135</v>
      </c>
      <c r="C26" s="33" t="n">
        <v>1</v>
      </c>
      <c r="D26" s="17" t="s">
        <v>8</v>
      </c>
      <c r="E26" s="17" t="s">
        <v>136</v>
      </c>
      <c r="F26" s="31" t="s">
        <v>137</v>
      </c>
    </row>
    <row r="27" customFormat="false" ht="15" hidden="false" customHeight="false" outlineLevel="0" collapsed="false">
      <c r="A27" s="27" t="s">
        <v>138</v>
      </c>
      <c r="B27" s="28"/>
      <c r="C27" s="28"/>
      <c r="D27" s="28"/>
      <c r="E27" s="28"/>
      <c r="F27" s="28"/>
    </row>
    <row r="28" customFormat="false" ht="15" hidden="false" customHeight="false" outlineLevel="0" collapsed="false">
      <c r="A28" s="29" t="s">
        <v>139</v>
      </c>
      <c r="B28" s="17" t="s">
        <v>140</v>
      </c>
      <c r="C28" s="33" t="n">
        <v>9.81</v>
      </c>
      <c r="D28" s="17" t="s">
        <v>141</v>
      </c>
      <c r="E28" s="17" t="s">
        <v>142</v>
      </c>
      <c r="F28" s="31" t="s">
        <v>8</v>
      </c>
    </row>
    <row r="29" customFormat="false" ht="15" hidden="false" customHeight="false" outlineLevel="0" collapsed="false">
      <c r="A29" s="29" t="s">
        <v>143</v>
      </c>
      <c r="B29" s="17" t="s">
        <v>144</v>
      </c>
      <c r="C29" s="36" t="n">
        <v>1.225</v>
      </c>
      <c r="D29" s="17" t="s">
        <v>145</v>
      </c>
      <c r="E29" s="17" t="s">
        <v>76</v>
      </c>
      <c r="F29" s="31" t="s">
        <v>146</v>
      </c>
    </row>
    <row r="30" customFormat="false" ht="15" hidden="false" customHeight="false" outlineLevel="0" collapsed="false">
      <c r="A30" s="29" t="s">
        <v>147</v>
      </c>
      <c r="B30" s="17" t="s">
        <v>148</v>
      </c>
      <c r="C30" s="36" t="n">
        <v>0.012</v>
      </c>
      <c r="D30" s="17" t="s">
        <v>8</v>
      </c>
      <c r="E30" s="17" t="s">
        <v>136</v>
      </c>
      <c r="F30" s="31" t="s">
        <v>149</v>
      </c>
    </row>
    <row r="31" customFormat="false" ht="15" hidden="false" customHeight="false" outlineLevel="0" collapsed="false">
      <c r="A31" s="29" t="s">
        <v>150</v>
      </c>
      <c r="B31" s="17" t="s">
        <v>151</v>
      </c>
      <c r="C31" s="33" t="n">
        <v>0.85</v>
      </c>
      <c r="D31" s="17" t="s">
        <v>8</v>
      </c>
      <c r="E31" s="17" t="s">
        <v>136</v>
      </c>
      <c r="F31" s="31" t="s">
        <v>152</v>
      </c>
    </row>
    <row r="32" customFormat="false" ht="15" hidden="false" customHeight="false" outlineLevel="0" collapsed="false">
      <c r="A32" s="29" t="s">
        <v>153</v>
      </c>
      <c r="B32" s="17" t="s">
        <v>154</v>
      </c>
      <c r="C32" s="33" t="n">
        <v>1.2</v>
      </c>
      <c r="D32" s="17" t="s">
        <v>8</v>
      </c>
      <c r="E32" s="17" t="s">
        <v>76</v>
      </c>
      <c r="F32" s="31" t="s">
        <v>155</v>
      </c>
    </row>
    <row r="33" customFormat="false" ht="15" hidden="false" customHeight="false" outlineLevel="0" collapsed="false">
      <c r="A33" s="27" t="s">
        <v>156</v>
      </c>
      <c r="B33" s="28"/>
      <c r="C33" s="28"/>
      <c r="D33" s="28"/>
      <c r="E33" s="28"/>
      <c r="F33" s="28"/>
    </row>
    <row r="34" customFormat="false" ht="15" hidden="false" customHeight="false" outlineLevel="0" collapsed="false">
      <c r="A34" s="29" t="s">
        <v>157</v>
      </c>
      <c r="B34" s="17" t="s">
        <v>158</v>
      </c>
      <c r="C34" s="32" t="n">
        <v>100</v>
      </c>
      <c r="D34" s="17" t="s">
        <v>99</v>
      </c>
      <c r="E34" s="17" t="s">
        <v>72</v>
      </c>
      <c r="F34" s="31" t="s">
        <v>159</v>
      </c>
    </row>
    <row r="35" customFormat="false" ht="15" hidden="false" customHeight="false" outlineLevel="0" collapsed="false">
      <c r="A35" s="29" t="s">
        <v>160</v>
      </c>
      <c r="B35" s="17" t="s">
        <v>161</v>
      </c>
      <c r="C35" s="13" t="n">
        <f aca="false">v_acc/3.6/t_acc</f>
        <v>11.5740740740741</v>
      </c>
      <c r="D35" s="17" t="s">
        <v>141</v>
      </c>
      <c r="E35" s="17" t="s">
        <v>80</v>
      </c>
      <c r="F35" s="31" t="s">
        <v>162</v>
      </c>
    </row>
    <row r="36" customFormat="false" ht="15" hidden="false" customHeight="false" outlineLevel="0" collapsed="false">
      <c r="A36" s="29" t="s">
        <v>163</v>
      </c>
      <c r="B36" s="17" t="s">
        <v>164</v>
      </c>
      <c r="C36" s="32" t="n">
        <v>10</v>
      </c>
      <c r="D36" s="17" t="s">
        <v>165</v>
      </c>
      <c r="E36" s="17" t="s">
        <v>136</v>
      </c>
      <c r="F36" s="31" t="s">
        <v>166</v>
      </c>
    </row>
    <row r="37" customFormat="false" ht="15" hidden="false" customHeight="false" outlineLevel="0" collapsed="false">
      <c r="A37" s="29" t="s">
        <v>167</v>
      </c>
      <c r="B37" s="17" t="s">
        <v>168</v>
      </c>
      <c r="C37" s="32" t="n">
        <v>100</v>
      </c>
      <c r="D37" s="17" t="s">
        <v>99</v>
      </c>
      <c r="E37" s="17" t="s">
        <v>76</v>
      </c>
      <c r="F37" s="31" t="s">
        <v>169</v>
      </c>
    </row>
    <row r="38" customFormat="false" ht="15" hidden="false" customHeight="false" outlineLevel="0" collapsed="false">
      <c r="A38" s="29" t="s">
        <v>170</v>
      </c>
      <c r="B38" s="17" t="s">
        <v>171</v>
      </c>
      <c r="C38" s="32" t="n">
        <v>30</v>
      </c>
      <c r="D38" s="17" t="s">
        <v>165</v>
      </c>
      <c r="E38" s="17" t="s">
        <v>76</v>
      </c>
      <c r="F38" s="31" t="s">
        <v>172</v>
      </c>
    </row>
    <row r="40" customFormat="false" ht="15" hidden="false" customHeight="false" outlineLevel="0" collapsed="false">
      <c r="A40" s="37" t="s">
        <v>173</v>
      </c>
    </row>
    <row r="41" customFormat="false" ht="15" hidden="false" customHeight="false" outlineLevel="0" collapsed="false">
      <c r="A41" s="4" t="s">
        <v>174</v>
      </c>
    </row>
    <row r="42" customFormat="false" ht="15" hidden="false" customHeight="false" outlineLevel="0" collapsed="false">
      <c r="A42" s="4" t="s">
        <v>175</v>
      </c>
    </row>
    <row r="43" customFormat="false" ht="15" hidden="false" customHeight="false" outlineLevel="0" collapsed="false">
      <c r="A43" s="4" t="s">
        <v>176</v>
      </c>
    </row>
    <row r="44" customFormat="false" ht="15" hidden="false" customHeight="false" outlineLevel="0" collapsed="false">
      <c r="A44" s="4" t="s">
        <v>177</v>
      </c>
    </row>
  </sheetData>
  <mergeCells count="1">
    <mergeCell ref="A2:F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9" min="5" style="0" width="15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9" t="s">
        <v>180</v>
      </c>
      <c r="B4" s="9" t="s">
        <v>64</v>
      </c>
      <c r="C4" s="9" t="s">
        <v>181</v>
      </c>
      <c r="D4" s="9" t="s">
        <v>66</v>
      </c>
      <c r="E4" s="9" t="s">
        <v>29</v>
      </c>
      <c r="F4" s="9" t="s">
        <v>31</v>
      </c>
      <c r="G4" s="9" t="s">
        <v>33</v>
      </c>
      <c r="H4" s="9" t="s">
        <v>35</v>
      </c>
      <c r="I4" s="9" t="s">
        <v>37</v>
      </c>
    </row>
    <row r="5" customFormat="false" ht="54" hidden="false" customHeight="true" outlineLevel="0" collapsed="false">
      <c r="B5" s="37" t="s">
        <v>15</v>
      </c>
      <c r="E5" s="38" t="s">
        <v>30</v>
      </c>
      <c r="F5" s="38" t="s">
        <v>32</v>
      </c>
      <c r="G5" s="38" t="s">
        <v>34</v>
      </c>
      <c r="H5" s="38" t="s">
        <v>36</v>
      </c>
      <c r="I5" s="38" t="s">
        <v>38</v>
      </c>
    </row>
    <row r="6" customFormat="false" ht="15" hidden="false" customHeight="false" outlineLevel="0" collapsed="false">
      <c r="A6" s="17"/>
      <c r="B6" s="17" t="s">
        <v>182</v>
      </c>
      <c r="C6" s="17" t="s">
        <v>183</v>
      </c>
      <c r="D6" s="17" t="s">
        <v>99</v>
      </c>
      <c r="E6" s="12" t="n">
        <f aca="false">v_max</f>
        <v>300</v>
      </c>
      <c r="F6" s="32" t="n">
        <v>0</v>
      </c>
      <c r="G6" s="12" t="n">
        <f aca="false">v_acc</f>
        <v>100</v>
      </c>
      <c r="H6" s="12" t="n">
        <f aca="false">v_p1</f>
        <v>100</v>
      </c>
      <c r="I6" s="32" t="n">
        <v>0</v>
      </c>
    </row>
    <row r="7" customFormat="false" ht="15" hidden="false" customHeight="false" outlineLevel="0" collapsed="false">
      <c r="A7" s="17"/>
      <c r="B7" s="17" t="s">
        <v>182</v>
      </c>
      <c r="C7" s="17" t="s">
        <v>184</v>
      </c>
      <c r="D7" s="17" t="s">
        <v>185</v>
      </c>
      <c r="E7" s="13" t="n">
        <f aca="false">E6/3.6</f>
        <v>83.3333333333333</v>
      </c>
      <c r="F7" s="13" t="n">
        <f aca="false">F6/3.6</f>
        <v>0</v>
      </c>
      <c r="G7" s="13" t="n">
        <f aca="false">G6/3.6</f>
        <v>27.7777777777778</v>
      </c>
      <c r="H7" s="13" t="n">
        <f aca="false">H6/3.6</f>
        <v>27.7777777777778</v>
      </c>
      <c r="I7" s="13" t="n">
        <f aca="false">I6/3.6</f>
        <v>0</v>
      </c>
    </row>
    <row r="8" customFormat="false" ht="15" hidden="false" customHeight="false" outlineLevel="0" collapsed="false">
      <c r="A8" s="17"/>
      <c r="B8" s="17" t="s">
        <v>186</v>
      </c>
      <c r="C8" s="17" t="s">
        <v>183</v>
      </c>
      <c r="D8" s="17" t="s">
        <v>165</v>
      </c>
      <c r="E8" s="32" t="n">
        <v>0</v>
      </c>
      <c r="F8" s="32" t="n">
        <v>0</v>
      </c>
      <c r="G8" s="32" t="n">
        <v>0</v>
      </c>
      <c r="H8" s="12" t="n">
        <f aca="false">p_1</f>
        <v>10</v>
      </c>
      <c r="I8" s="12" t="n">
        <f aca="false">p_max</f>
        <v>30</v>
      </c>
    </row>
    <row r="9" customFormat="false" ht="15" hidden="false" customHeight="false" outlineLevel="0" collapsed="false">
      <c r="A9" s="17" t="s">
        <v>187</v>
      </c>
      <c r="B9" s="17" t="s">
        <v>188</v>
      </c>
      <c r="C9" s="17" t="s">
        <v>189</v>
      </c>
      <c r="D9" s="17" t="s">
        <v>190</v>
      </c>
      <c r="E9" s="13" t="n">
        <f aca="false">DEGREES(ATAN(E8/100))</f>
        <v>0</v>
      </c>
      <c r="F9" s="13" t="n">
        <f aca="false">DEGREES(ATAN(F8/100))</f>
        <v>0</v>
      </c>
      <c r="G9" s="13" t="n">
        <f aca="false">DEGREES(ATAN(G8/100))</f>
        <v>0</v>
      </c>
      <c r="H9" s="13" t="n">
        <f aca="false">DEGREES(ATAN(H8/100))</f>
        <v>5.71059313749964</v>
      </c>
      <c r="I9" s="13" t="n">
        <f aca="false">DEGREES(ATAN(I8/100))</f>
        <v>16.6992442339936</v>
      </c>
    </row>
    <row r="10" customFormat="false" ht="15" hidden="false" customHeight="false" outlineLevel="0" collapsed="false">
      <c r="A10" s="17"/>
      <c r="B10" s="17" t="s">
        <v>191</v>
      </c>
      <c r="C10" s="17" t="s">
        <v>183</v>
      </c>
      <c r="D10" s="17" t="s">
        <v>141</v>
      </c>
      <c r="E10" s="33" t="n">
        <v>0</v>
      </c>
      <c r="F10" s="13" t="n">
        <f aca="false">a_med</f>
        <v>11.5740740740741</v>
      </c>
      <c r="G10" s="13" t="n">
        <f aca="false">a_med</f>
        <v>11.5740740740741</v>
      </c>
      <c r="H10" s="33" t="n">
        <v>0</v>
      </c>
      <c r="I10" s="33" t="n">
        <v>0</v>
      </c>
    </row>
    <row r="11" customFormat="false" ht="15" hidden="false" customHeight="false" outlineLevel="0" collapsed="false">
      <c r="A11" s="17" t="s">
        <v>192</v>
      </c>
      <c r="B11" s="17" t="s">
        <v>193</v>
      </c>
      <c r="C11" s="17" t="s">
        <v>194</v>
      </c>
      <c r="D11" s="17" t="s">
        <v>195</v>
      </c>
      <c r="E11" s="14" t="n">
        <f aca="false">0.5*rho_aer*C_x*A_f*E7^2</f>
        <v>2283.26388888889</v>
      </c>
      <c r="F11" s="14" t="n">
        <f aca="false">0.5*rho_aer*C_x*A_f*F7^2</f>
        <v>0</v>
      </c>
      <c r="G11" s="14" t="n">
        <f aca="false">0.5*rho_aer*C_x*A_f*G7^2</f>
        <v>253.695987654321</v>
      </c>
      <c r="H11" s="14" t="n">
        <f aca="false">0.5*rho_aer*C_x*A_f*H7^2</f>
        <v>253.695987654321</v>
      </c>
      <c r="I11" s="14" t="n">
        <f aca="false">0.5*rho_aer*C_x*A_f*I7^2</f>
        <v>0</v>
      </c>
    </row>
    <row r="12" customFormat="false" ht="15" hidden="false" customHeight="false" outlineLevel="0" collapsed="false">
      <c r="A12" s="17" t="s">
        <v>196</v>
      </c>
      <c r="B12" s="17" t="s">
        <v>197</v>
      </c>
      <c r="C12" s="17" t="s">
        <v>198</v>
      </c>
      <c r="D12" s="17" t="s">
        <v>195</v>
      </c>
      <c r="E12" s="14" t="n">
        <f aca="false">f_r*M_calc*g_acc*COS(RADIANS(E9))</f>
        <v>298.4202</v>
      </c>
      <c r="F12" s="14" t="n">
        <f aca="false">f_r*M_calc*g_acc*COS(RADIANS(F9))</f>
        <v>298.4202</v>
      </c>
      <c r="G12" s="14" t="n">
        <f aca="false">f_r*M_calc*g_acc*COS(RADIANS(G9))</f>
        <v>298.4202</v>
      </c>
      <c r="H12" s="14" t="n">
        <f aca="false">f_r*M_calc*g_acc*COS(RADIANS(H9))</f>
        <v>296.939197309903</v>
      </c>
      <c r="I12" s="14" t="n">
        <f aca="false">f_r*M_calc*g_acc*COS(RADIANS(I9))</f>
        <v>285.834711600953</v>
      </c>
    </row>
    <row r="13" customFormat="false" ht="15" hidden="false" customHeight="false" outlineLevel="0" collapsed="false">
      <c r="A13" s="17" t="s">
        <v>199</v>
      </c>
      <c r="B13" s="17" t="s">
        <v>200</v>
      </c>
      <c r="C13" s="17" t="s">
        <v>201</v>
      </c>
      <c r="D13" s="17" t="s">
        <v>195</v>
      </c>
      <c r="E13" s="14" t="n">
        <f aca="false">M_calc*g_acc*SIN(RADIANS(E9))</f>
        <v>0</v>
      </c>
      <c r="F13" s="14" t="n">
        <f aca="false">M_calc*g_acc*SIN(RADIANS(F9))</f>
        <v>0</v>
      </c>
      <c r="G13" s="14" t="n">
        <f aca="false">M_calc*g_acc*SIN(RADIANS(G9))</f>
        <v>0</v>
      </c>
      <c r="H13" s="14" t="n">
        <f aca="false">M_calc*g_acc*SIN(RADIANS(H9))</f>
        <v>2474.49331091586</v>
      </c>
      <c r="I13" s="14" t="n">
        <f aca="false">M_calc*g_acc*SIN(RADIANS(I9))</f>
        <v>7145.86779002383</v>
      </c>
    </row>
    <row r="14" customFormat="false" ht="15" hidden="false" customHeight="false" outlineLevel="0" collapsed="false">
      <c r="A14" s="17" t="s">
        <v>202</v>
      </c>
      <c r="B14" s="17" t="s">
        <v>203</v>
      </c>
      <c r="C14" s="17" t="s">
        <v>204</v>
      </c>
      <c r="D14" s="17" t="s">
        <v>195</v>
      </c>
      <c r="E14" s="14" t="n">
        <f aca="false">delta_m*M_calc*E10</f>
        <v>0</v>
      </c>
      <c r="F14" s="14" t="n">
        <f aca="false">delta_m*M_calc*F10</f>
        <v>29340.2777777778</v>
      </c>
      <c r="G14" s="14" t="n">
        <f aca="false">delta_m*M_calc*G10</f>
        <v>29340.2777777778</v>
      </c>
      <c r="H14" s="14" t="n">
        <f aca="false">delta_m*M_calc*H10</f>
        <v>0</v>
      </c>
      <c r="I14" s="14" t="n">
        <f aca="false">delta_m*M_calc*I10</f>
        <v>0</v>
      </c>
    </row>
    <row r="15" customFormat="false" ht="15" hidden="false" customHeight="false" outlineLevel="0" collapsed="false">
      <c r="A15" s="17" t="s">
        <v>205</v>
      </c>
      <c r="B15" s="29" t="s">
        <v>206</v>
      </c>
      <c r="C15" s="17" t="s">
        <v>207</v>
      </c>
      <c r="D15" s="17" t="s">
        <v>195</v>
      </c>
      <c r="E15" s="39" t="n">
        <f aca="false">SUM(E11:E14)</f>
        <v>2581.68408888889</v>
      </c>
      <c r="F15" s="39" t="n">
        <f aca="false">SUM(F11:F14)</f>
        <v>29638.6979777778</v>
      </c>
      <c r="G15" s="39" t="n">
        <f aca="false">SUM(G11:G14)</f>
        <v>29892.3939654321</v>
      </c>
      <c r="H15" s="39" t="n">
        <f aca="false">SUM(H11:H14)</f>
        <v>3025.12849588008</v>
      </c>
      <c r="I15" s="39" t="n">
        <f aca="false">SUM(I11:I14)</f>
        <v>7431.70250162478</v>
      </c>
    </row>
    <row r="16" customFormat="false" ht="15" hidden="false" customHeight="false" outlineLevel="0" collapsed="false">
      <c r="A16" s="17" t="s">
        <v>208</v>
      </c>
      <c r="B16" s="29" t="s">
        <v>209</v>
      </c>
      <c r="C16" s="17" t="s">
        <v>210</v>
      </c>
      <c r="D16" s="17" t="s">
        <v>89</v>
      </c>
      <c r="E16" s="39" t="n">
        <f aca="false">E15*r_w</f>
        <v>889.503762722133</v>
      </c>
      <c r="F16" s="39" t="n">
        <f aca="false">F15*r_w</f>
        <v>10211.8355560555</v>
      </c>
      <c r="G16" s="39" t="n">
        <f aca="false">G15*r_w</f>
        <v>10299.2449864258</v>
      </c>
      <c r="H16" s="39" t="n">
        <f aca="false">H15*r_w</f>
        <v>1042.28987248451</v>
      </c>
      <c r="I16" s="39" t="n">
        <f aca="false">I15*r_w</f>
        <v>2560.54850671981</v>
      </c>
    </row>
    <row r="17" customFormat="false" ht="15" hidden="false" customHeight="false" outlineLevel="0" collapsed="false">
      <c r="A17" s="17" t="s">
        <v>211</v>
      </c>
      <c r="B17" s="29" t="s">
        <v>212</v>
      </c>
      <c r="C17" s="17" t="s">
        <v>213</v>
      </c>
      <c r="D17" s="17" t="s">
        <v>93</v>
      </c>
      <c r="E17" s="40" t="n">
        <f aca="false">E15*E7/1000</f>
        <v>215.140340740741</v>
      </c>
      <c r="F17" s="40" t="n">
        <f aca="false">F15*F7/1000</f>
        <v>0</v>
      </c>
      <c r="G17" s="40" t="n">
        <f aca="false">G15*G7/1000</f>
        <v>830.344276817558</v>
      </c>
      <c r="H17" s="40" t="n">
        <f aca="false">H15*H7/1000</f>
        <v>84.0313471077801</v>
      </c>
      <c r="I17" s="40" t="n">
        <f aca="false">I15*I7/1000</f>
        <v>0</v>
      </c>
    </row>
    <row r="18" customFormat="false" ht="15" hidden="false" customHeight="false" outlineLevel="0" collapsed="false">
      <c r="A18" s="17" t="s">
        <v>214</v>
      </c>
      <c r="B18" s="29" t="s">
        <v>215</v>
      </c>
      <c r="C18" s="17" t="s">
        <v>216</v>
      </c>
      <c r="D18" s="17" t="s">
        <v>93</v>
      </c>
      <c r="E18" s="40" t="n">
        <f aca="false">E17/eta_t</f>
        <v>226.463516569201</v>
      </c>
      <c r="F18" s="40" t="n">
        <f aca="false">F17/eta_t</f>
        <v>0</v>
      </c>
      <c r="G18" s="40" t="n">
        <f aca="false">G17/eta_t</f>
        <v>874.046607176377</v>
      </c>
      <c r="H18" s="40" t="n">
        <f aca="false">H17/eta_t</f>
        <v>88.4540495871369</v>
      </c>
      <c r="I18" s="40" t="n">
        <f aca="false">I17/eta_t</f>
        <v>0</v>
      </c>
    </row>
    <row r="19" customFormat="false" ht="15" hidden="false" customHeight="false" outlineLevel="0" collapsed="false">
      <c r="A19" s="17" t="s">
        <v>217</v>
      </c>
      <c r="B19" s="29" t="s">
        <v>218</v>
      </c>
      <c r="C19" s="17" t="s">
        <v>219</v>
      </c>
      <c r="D19" s="17" t="s">
        <v>89</v>
      </c>
      <c r="E19" s="39" t="n">
        <f aca="false">E15*r_w/(i_g*eta_t)</f>
        <v>166.351329655208</v>
      </c>
      <c r="F19" s="39" t="n">
        <f aca="false">F15*r_w/(i_g*eta_t)</f>
        <v>1909.77542104093</v>
      </c>
      <c r="G19" s="39" t="n">
        <f aca="false">G15*r_w/(i_g*eta_t)</f>
        <v>1926.12237265136</v>
      </c>
      <c r="H19" s="39" t="n">
        <f aca="false">H15*r_w/(i_g*eta_t)</f>
        <v>194.924758545533</v>
      </c>
      <c r="I19" s="39" t="n">
        <f aca="false">I15*r_w/(i_g*eta_t)</f>
        <v>478.8632343004</v>
      </c>
    </row>
    <row r="20" customFormat="false" ht="15" hidden="false" customHeight="false" outlineLevel="0" collapsed="false">
      <c r="A20" s="17"/>
      <c r="B20" s="17" t="s">
        <v>220</v>
      </c>
      <c r="C20" s="17" t="s">
        <v>221</v>
      </c>
      <c r="D20" s="17" t="s">
        <v>126</v>
      </c>
      <c r="E20" s="14" t="n">
        <f aca="false">E7/(2*PI()*r_w)*60</f>
        <v>2309.64612780799</v>
      </c>
      <c r="F20" s="14" t="n">
        <f aca="false">F7/(2*PI()*r_w)*60</f>
        <v>0</v>
      </c>
      <c r="G20" s="14" t="n">
        <f aca="false">G7/(2*PI()*r_w)*60</f>
        <v>769.882042602664</v>
      </c>
      <c r="H20" s="14" t="n">
        <f aca="false">H7/(2*PI()*r_w)*60</f>
        <v>769.882042602664</v>
      </c>
      <c r="I20" s="14" t="n">
        <f aca="false">I7/(2*PI()*r_w)*60</f>
        <v>0</v>
      </c>
    </row>
    <row r="21" customFormat="false" ht="15" hidden="false" customHeight="false" outlineLevel="0" collapsed="false">
      <c r="A21" s="17"/>
      <c r="B21" s="29" t="s">
        <v>222</v>
      </c>
      <c r="C21" s="17" t="s">
        <v>223</v>
      </c>
      <c r="D21" s="17" t="s">
        <v>126</v>
      </c>
      <c r="E21" s="39" t="n">
        <f aca="false">E20*i_g</f>
        <v>13000</v>
      </c>
      <c r="F21" s="39" t="n">
        <f aca="false">F20*i_g</f>
        <v>0</v>
      </c>
      <c r="G21" s="39" t="n">
        <f aca="false">G20*i_g</f>
        <v>4333.33333333333</v>
      </c>
      <c r="H21" s="39" t="n">
        <f aca="false">H20*i_g</f>
        <v>4333.33333333333</v>
      </c>
      <c r="I21" s="39" t="n">
        <f aca="false">I20*i_g</f>
        <v>0</v>
      </c>
    </row>
    <row r="22" customFormat="false" ht="15" hidden="false" customHeight="false" outlineLevel="0" collapsed="false">
      <c r="A22" s="17" t="s">
        <v>224</v>
      </c>
      <c r="B22" s="17" t="s">
        <v>225</v>
      </c>
      <c r="C22" s="17" t="s">
        <v>226</v>
      </c>
      <c r="D22" s="17" t="s">
        <v>195</v>
      </c>
      <c r="E22" s="14" t="n">
        <f aca="false">M_calc*g_acc*COS(RADIANS(E9))</f>
        <v>24868.35</v>
      </c>
      <c r="F22" s="14" t="n">
        <f aca="false">M_calc*g_acc*COS(RADIANS(F9))</f>
        <v>24868.35</v>
      </c>
      <c r="G22" s="14" t="n">
        <f aca="false">M_calc*g_acc*COS(RADIANS(G9))</f>
        <v>24868.35</v>
      </c>
      <c r="H22" s="14" t="n">
        <f aca="false">M_calc*g_acc*COS(RADIANS(H9))</f>
        <v>24744.9331091586</v>
      </c>
      <c r="I22" s="14" t="n">
        <f aca="false">M_calc*g_acc*COS(RADIANS(I9))</f>
        <v>23819.5593000794</v>
      </c>
    </row>
    <row r="23" customFormat="false" ht="15" hidden="false" customHeight="false" outlineLevel="0" collapsed="false">
      <c r="A23" s="17" t="s">
        <v>227</v>
      </c>
      <c r="B23" s="17" t="s">
        <v>228</v>
      </c>
      <c r="C23" s="17" t="s">
        <v>229</v>
      </c>
      <c r="D23" s="17" t="s">
        <v>195</v>
      </c>
      <c r="E23" s="14" t="n">
        <f aca="false">mu_us*E22</f>
        <v>21138.0975</v>
      </c>
      <c r="F23" s="14" t="n">
        <f aca="false">mu_us*F22</f>
        <v>21138.0975</v>
      </c>
      <c r="G23" s="14" t="n">
        <f aca="false">mu_us*G22</f>
        <v>21138.0975</v>
      </c>
      <c r="H23" s="14" t="n">
        <f aca="false">mu_us*H22</f>
        <v>21033.1931427848</v>
      </c>
      <c r="I23" s="14" t="n">
        <f aca="false">mu_us*I22</f>
        <v>20246.6254050675</v>
      </c>
    </row>
    <row r="24" customFormat="false" ht="15" hidden="false" customHeight="false" outlineLevel="0" collapsed="false">
      <c r="A24" s="17" t="s">
        <v>230</v>
      </c>
      <c r="B24" s="29" t="s">
        <v>231</v>
      </c>
      <c r="C24" s="17" t="s">
        <v>232</v>
      </c>
      <c r="D24" s="17" t="s">
        <v>8</v>
      </c>
      <c r="E24" s="41" t="n">
        <f aca="false">E15/E22</f>
        <v>0.103814048334083</v>
      </c>
      <c r="F24" s="41" t="n">
        <f aca="false">F15/F22</f>
        <v>1.19182406463548</v>
      </c>
      <c r="G24" s="41" t="n">
        <f aca="false">G15/G22</f>
        <v>1.20202562556149</v>
      </c>
      <c r="H24" s="41" t="n">
        <f aca="false">H15/H22</f>
        <v>0.122252441844768</v>
      </c>
      <c r="I24" s="41" t="n">
        <f aca="false">I15/I22</f>
        <v>0.312</v>
      </c>
    </row>
    <row r="25" customFormat="false" ht="15" hidden="false" customHeight="false" outlineLevel="0" collapsed="false">
      <c r="A25" s="17" t="s">
        <v>233</v>
      </c>
      <c r="B25" s="29" t="s">
        <v>234</v>
      </c>
      <c r="C25" s="17"/>
      <c r="D25" s="17"/>
      <c r="E25" s="42" t="str">
        <f aca="false">IF(E15&lt;=E23,"DA","NU – patinare")</f>
        <v>DA</v>
      </c>
      <c r="F25" s="42" t="str">
        <f aca="false">IF(F15&lt;=F23,"DA","NU – patinare")</f>
        <v>NU – patinare</v>
      </c>
      <c r="G25" s="42" t="str">
        <f aca="false">IF(G15&lt;=G23,"DA","NU – patinare")</f>
        <v>NU – patinare</v>
      </c>
      <c r="H25" s="42" t="str">
        <f aca="false">IF(H15&lt;=H23,"DA","NU – patinare")</f>
        <v>DA</v>
      </c>
      <c r="I25" s="42" t="str">
        <f aca="false">IF(I15&lt;=I23,"DA","NU – patinare")</f>
        <v>DA</v>
      </c>
    </row>
    <row r="26" customFormat="false" ht="15" hidden="false" customHeight="false" outlineLevel="0" collapsed="false">
      <c r="A26" s="17" t="s">
        <v>235</v>
      </c>
      <c r="B26" s="17" t="s">
        <v>236</v>
      </c>
      <c r="C26" s="17" t="s">
        <v>237</v>
      </c>
      <c r="D26" s="17" t="s">
        <v>195</v>
      </c>
      <c r="E26" s="14" t="n">
        <f aca="false">IF(E7=0,T_max*i_g*eta_t/r_w,MIN(T_max*i_g*eta_t/r_w,eta_t*P_vf*1000/E7))</f>
        <v>9804</v>
      </c>
      <c r="F26" s="14" t="n">
        <f aca="false">IF(F7=0,T_max*i_g*eta_t/r_w,MIN(T_max*i_g*eta_t/r_w,eta_t*P_vf*1000/F7))</f>
        <v>31038.9354174672</v>
      </c>
      <c r="G26" s="14" t="n">
        <f aca="false">IF(G7=0,T_max*i_g*eta_t/r_w,MIN(T_max*i_g*eta_t/r_w,eta_t*P_vf*1000/G7))</f>
        <v>29412</v>
      </c>
      <c r="H26" s="14" t="n">
        <f aca="false">IF(H7=0,T_max*i_g*eta_t/r_w,MIN(T_max*i_g*eta_t/r_w,eta_t*P_vf*1000/H7))</f>
        <v>29412</v>
      </c>
      <c r="I26" s="14" t="n">
        <f aca="false">IF(I7=0,T_max*i_g*eta_t/r_w,MIN(T_max*i_g*eta_t/r_w,eta_t*P_vf*1000/I7))</f>
        <v>31038.9354174672</v>
      </c>
    </row>
    <row r="27" customFormat="false" ht="15" hidden="false" customHeight="false" outlineLevel="0" collapsed="false">
      <c r="A27" s="17" t="s">
        <v>238</v>
      </c>
      <c r="B27" s="17" t="s">
        <v>239</v>
      </c>
      <c r="C27" s="17" t="s">
        <v>240</v>
      </c>
      <c r="D27" s="17" t="s">
        <v>195</v>
      </c>
      <c r="E27" s="14" t="n">
        <f aca="false">MIN(E26,E23)</f>
        <v>9804</v>
      </c>
      <c r="F27" s="14" t="n">
        <f aca="false">MIN(F26,F23)</f>
        <v>21138.0975</v>
      </c>
      <c r="G27" s="14" t="n">
        <f aca="false">MIN(G26,G23)</f>
        <v>21138.0975</v>
      </c>
      <c r="H27" s="14" t="n">
        <f aca="false">MIN(H26,H23)</f>
        <v>21033.1931427848</v>
      </c>
      <c r="I27" s="14" t="n">
        <f aca="false">MIN(I26,I23)</f>
        <v>20246.6254050675</v>
      </c>
    </row>
    <row r="28" customFormat="false" ht="15" hidden="false" customHeight="false" outlineLevel="0" collapsed="false">
      <c r="A28" s="17"/>
      <c r="B28" s="17" t="s">
        <v>241</v>
      </c>
      <c r="C28" s="17"/>
      <c r="D28" s="17"/>
      <c r="E28" s="16" t="str">
        <f aca="false">IF(E26&lt;=E23,"acționare","aderență")</f>
        <v>acționare</v>
      </c>
      <c r="F28" s="16" t="str">
        <f aca="false">IF(F26&lt;=F23,"acționare","aderență")</f>
        <v>aderență</v>
      </c>
      <c r="G28" s="16" t="str">
        <f aca="false">IF(G26&lt;=G23,"acționare","aderență")</f>
        <v>aderență</v>
      </c>
      <c r="H28" s="16" t="str">
        <f aca="false">IF(H26&lt;=H23,"acționare","aderență")</f>
        <v>aderență</v>
      </c>
      <c r="I28" s="16" t="str">
        <f aca="false">IF(I26&lt;=I23,"acționare","aderență")</f>
        <v>aderență</v>
      </c>
    </row>
    <row r="29" customFormat="false" ht="15" hidden="false" customHeight="false" outlineLevel="0" collapsed="false">
      <c r="A29" s="17" t="s">
        <v>242</v>
      </c>
      <c r="B29" s="29" t="s">
        <v>243</v>
      </c>
      <c r="C29" s="17"/>
      <c r="D29" s="17"/>
      <c r="E29" s="42" t="str">
        <f aca="false">IF(E27&gt;=E15,"ÎNDEPLINITĂ","NEÎNDEPLINITĂ")</f>
        <v>ÎNDEPLINITĂ</v>
      </c>
      <c r="F29" s="42" t="str">
        <f aca="false">IF(F27&gt;=F15,"ÎNDEPLINITĂ","NEÎNDEPLINITĂ")</f>
        <v>NEÎNDEPLINITĂ</v>
      </c>
      <c r="G29" s="42" t="str">
        <f aca="false">IF(G27&gt;=G15,"ÎNDEPLINITĂ","NEÎNDEPLINITĂ")</f>
        <v>NEÎNDEPLINITĂ</v>
      </c>
      <c r="H29" s="42" t="str">
        <f aca="false">IF(H27&gt;=H15,"ÎNDEPLINITĂ","NEÎNDEPLINITĂ")</f>
        <v>ÎNDEPLINITĂ</v>
      </c>
      <c r="I29" s="42" t="str">
        <f aca="false">IF(I27&gt;=I15,"ÎNDEPLINITĂ","NEÎNDEPLINITĂ")</f>
        <v>ÎNDEPLINITĂ</v>
      </c>
    </row>
    <row r="30" customFormat="false" ht="15" hidden="false" customHeight="false" outlineLevel="0" collapsed="false">
      <c r="A30" s="17"/>
      <c r="B30" s="17" t="s">
        <v>244</v>
      </c>
      <c r="C30" s="17"/>
      <c r="D30" s="17" t="s">
        <v>195</v>
      </c>
      <c r="E30" s="43" t="n">
        <f aca="false">E27-E15</f>
        <v>7222.31591111111</v>
      </c>
      <c r="F30" s="43" t="n">
        <f aca="false">F27-F15</f>
        <v>-8500.60047777778</v>
      </c>
      <c r="G30" s="43" t="n">
        <f aca="false">G27-G15</f>
        <v>-8754.2964654321</v>
      </c>
      <c r="H30" s="43" t="n">
        <f aca="false">H27-H15</f>
        <v>18008.0646469047</v>
      </c>
      <c r="I30" s="43" t="n">
        <f aca="false">I27-I15</f>
        <v>12814.9229034427</v>
      </c>
    </row>
    <row r="31" customFormat="false" ht="15" hidden="false" customHeight="false" outlineLevel="0" collapsed="false">
      <c r="A31" s="17"/>
      <c r="B31" s="17" t="s">
        <v>245</v>
      </c>
      <c r="C31" s="17" t="s">
        <v>246</v>
      </c>
      <c r="D31" s="17" t="s">
        <v>165</v>
      </c>
      <c r="E31" s="44" t="n">
        <f aca="false">E18/P_cont</f>
        <v>0.427289653904152</v>
      </c>
      <c r="F31" s="44" t="n">
        <f aca="false">F18/P_cont</f>
        <v>0</v>
      </c>
      <c r="G31" s="44" t="n">
        <f aca="false">G18/P_cont</f>
        <v>1.64914454184222</v>
      </c>
      <c r="H31" s="44" t="n">
        <f aca="false">H18/P_cont</f>
        <v>0.166894433183277</v>
      </c>
      <c r="I31" s="44" t="n">
        <f aca="false">I18/P_cont</f>
        <v>0</v>
      </c>
    </row>
    <row r="32" customFormat="false" ht="15" hidden="false" customHeight="false" outlineLevel="0" collapsed="false">
      <c r="A32" s="17"/>
      <c r="B32" s="17" t="s">
        <v>247</v>
      </c>
      <c r="C32" s="17" t="s">
        <v>248</v>
      </c>
      <c r="D32" s="17" t="s">
        <v>165</v>
      </c>
      <c r="E32" s="44" t="n">
        <f aca="false">E18/P_vf</f>
        <v>0.263329670429303</v>
      </c>
      <c r="F32" s="44" t="n">
        <f aca="false">F18/P_vf</f>
        <v>0</v>
      </c>
      <c r="G32" s="44" t="n">
        <f aca="false">G18/P_vf</f>
        <v>1.01633326415858</v>
      </c>
      <c r="H32" s="44" t="n">
        <f aca="false">H18/P_vf</f>
        <v>0.102853546031555</v>
      </c>
      <c r="I32" s="44" t="n">
        <f aca="false">I18/P_vf</f>
        <v>0</v>
      </c>
    </row>
    <row r="35" customFormat="false" ht="15" hidden="false" customHeight="false" outlineLevel="0" collapsed="false">
      <c r="A35" s="3" t="s">
        <v>249</v>
      </c>
    </row>
    <row r="36" customFormat="false" ht="15" hidden="false" customHeight="false" outlineLevel="0" collapsed="false">
      <c r="A36" s="9" t="s">
        <v>250</v>
      </c>
      <c r="B36" s="9" t="s">
        <v>64</v>
      </c>
      <c r="C36" s="9" t="s">
        <v>181</v>
      </c>
      <c r="D36" s="9" t="s">
        <v>66</v>
      </c>
      <c r="E36" s="9" t="s">
        <v>65</v>
      </c>
    </row>
    <row r="37" customFormat="false" ht="25.5" hidden="false" customHeight="true" outlineLevel="0" collapsed="false">
      <c r="A37" s="45" t="s">
        <v>251</v>
      </c>
      <c r="B37" s="31" t="s">
        <v>252</v>
      </c>
      <c r="C37" s="31" t="s">
        <v>253</v>
      </c>
      <c r="D37" s="45" t="s">
        <v>141</v>
      </c>
      <c r="E37" s="46" t="n">
        <f aca="false">(mu_us-f_r)*g_acc/delta_m</f>
        <v>8.22078</v>
      </c>
    </row>
    <row r="38" customFormat="false" ht="25.5" hidden="false" customHeight="true" outlineLevel="0" collapsed="false">
      <c r="A38" s="45" t="s">
        <v>254</v>
      </c>
      <c r="B38" s="31" t="s">
        <v>255</v>
      </c>
      <c r="C38" s="31" t="s">
        <v>256</v>
      </c>
      <c r="D38" s="45" t="s">
        <v>165</v>
      </c>
      <c r="E38" s="47" t="n">
        <f aca="false">(mu_us-f_r)*100</f>
        <v>83.8</v>
      </c>
    </row>
    <row r="39" customFormat="false" ht="25.5" hidden="false" customHeight="true" outlineLevel="0" collapsed="false">
      <c r="A39" s="45" t="s">
        <v>257</v>
      </c>
      <c r="B39" s="31" t="s">
        <v>258</v>
      </c>
      <c r="C39" s="31" t="s">
        <v>259</v>
      </c>
      <c r="D39" s="45" t="s">
        <v>8</v>
      </c>
      <c r="E39" s="46" t="n">
        <f aca="false">T_max*i_g*eta_t/(r_w*M_calc*g_acc)</f>
        <v>1.24813006964544</v>
      </c>
    </row>
    <row r="40" customFormat="false" ht="25.5" hidden="false" customHeight="true" outlineLevel="0" collapsed="false">
      <c r="A40" s="45" t="s">
        <v>260</v>
      </c>
      <c r="B40" s="31" t="s">
        <v>261</v>
      </c>
      <c r="C40" s="31" t="s">
        <v>262</v>
      </c>
      <c r="D40" s="45" t="s">
        <v>165</v>
      </c>
      <c r="E40" s="47" t="str">
        <f aca="false">IF(E39&gt;SQRT(1+f_r^2),"nelimitată",100*TAN(ASIN(E39/SQRT(1+f_r^2))-ATAN(f_r)))</f>
        <v>nelimitată</v>
      </c>
    </row>
    <row r="41" customFormat="false" ht="25.5" hidden="false" customHeight="true" outlineLevel="0" collapsed="false">
      <c r="A41" s="45" t="s">
        <v>263</v>
      </c>
      <c r="B41" s="31" t="s">
        <v>264</v>
      </c>
      <c r="C41" s="31" t="s">
        <v>265</v>
      </c>
      <c r="D41" s="45" t="s">
        <v>99</v>
      </c>
      <c r="E41" s="48" t="n">
        <f aca="false">3.6*(POWER((eta_t*P_cont*1000/(0.5*rho_aer*C_x*A_f))/2+SQRT(((eta_t*P_cont*1000/(0.5*rho_aer*C_x*A_f)))^2/4+((f_r*M_calc*g_acc/(0.5*rho_aer*C_x*A_f)))^3/27),1/3)-POWER(SQRT(((eta_t*P_cont*1000/(0.5*rho_aer*C_x*A_f)))^2/4+((f_r*M_calc*g_acc/(0.5*rho_aer*C_x*A_f)))^3/27)-(eta_t*P_cont*1000/(0.5*rho_aer*C_x*A_f))/2,1/3))</f>
        <v>405.502763569018</v>
      </c>
    </row>
    <row r="42" customFormat="false" ht="25.5" hidden="false" customHeight="true" outlineLevel="0" collapsed="false">
      <c r="A42" s="45" t="s">
        <v>266</v>
      </c>
      <c r="B42" s="31" t="s">
        <v>267</v>
      </c>
      <c r="C42" s="31" t="s">
        <v>268</v>
      </c>
      <c r="D42" s="45" t="s">
        <v>99</v>
      </c>
      <c r="E42" s="48" t="n">
        <f aca="false">3.6*(POWER((eta_t*P_vf*1000/(0.5*rho_aer*C_x*A_f))/2+SQRT(((eta_t*P_vf*1000/(0.5*rho_aer*C_x*A_f)))^2/4+((f_r*M_calc*g_acc/(0.5*rho_aer*C_x*A_f)))^3/27),1/3)-POWER(SQRT(((eta_t*P_vf*1000/(0.5*rho_aer*C_x*A_f)))^2/4+((f_r*M_calc*g_acc/(0.5*rho_aer*C_x*A_f)))^3/27)-(eta_t*P_vf*1000/(0.5*rho_aer*C_x*A_f))/2,1/3))</f>
        <v>479.566936132664</v>
      </c>
    </row>
    <row r="43" customFormat="false" ht="25.5" hidden="false" customHeight="true" outlineLevel="0" collapsed="false">
      <c r="A43" s="45" t="s">
        <v>269</v>
      </c>
      <c r="B43" s="31" t="s">
        <v>270</v>
      </c>
      <c r="C43" s="31" t="s">
        <v>271</v>
      </c>
      <c r="D43" s="45" t="s">
        <v>99</v>
      </c>
      <c r="E43" s="47" t="n">
        <f aca="false">3.6*eta_t*P_vf*1000/(T_max*i_g*eta_t/r_w)</f>
        <v>94.7584045793285</v>
      </c>
    </row>
    <row r="44" customFormat="false" ht="25.5" hidden="false" customHeight="true" outlineLevel="0" collapsed="false">
      <c r="A44" s="45" t="s">
        <v>272</v>
      </c>
      <c r="B44" s="31" t="s">
        <v>273</v>
      </c>
      <c r="C44" s="31" t="s">
        <v>274</v>
      </c>
      <c r="D44" s="45" t="s">
        <v>99</v>
      </c>
      <c r="E44" s="47" t="n">
        <f aca="false">3.6*eta_t*P_vf*1000/(mu_perf*M_calc*g_acc)</f>
        <v>98.5590117559066</v>
      </c>
    </row>
  </sheetData>
  <mergeCells count="1">
    <mergeCell ref="A2:I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12" min="5" style="0" width="11"/>
    <col collapsed="false" customWidth="true" hidden="false" outlineLevel="0" max="16" min="13" style="0" width="9"/>
    <col collapsed="false" customWidth="true" hidden="false" outlineLevel="0" max="18" min="17" style="0" width="11"/>
    <col collapsed="false" customWidth="true" hidden="false" outlineLevel="0" max="20" min="19" style="0" width="9"/>
    <col collapsed="false" customWidth="true" hidden="false" outlineLevel="0" max="21" min="21" style="0" width="10"/>
  </cols>
  <sheetData>
    <row r="1" customFormat="false" ht="17.35" hidden="false" customHeight="false" outlineLevel="0" collapsed="false">
      <c r="A1" s="1" t="s">
        <v>275</v>
      </c>
    </row>
    <row r="2" customFormat="false" ht="30" hidden="false" customHeight="true" outlineLevel="0" collapsed="false">
      <c r="A2" s="26" t="s">
        <v>276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4" customFormat="false" ht="42" hidden="false" customHeight="true" outlineLevel="0" collapsed="false">
      <c r="A4" s="9" t="s">
        <v>17</v>
      </c>
      <c r="B4" s="9" t="s">
        <v>277</v>
      </c>
      <c r="C4" s="9" t="s">
        <v>278</v>
      </c>
      <c r="D4" s="9" t="s">
        <v>279</v>
      </c>
      <c r="E4" s="9" t="s">
        <v>280</v>
      </c>
      <c r="F4" s="9" t="s">
        <v>281</v>
      </c>
      <c r="G4" s="9" t="s">
        <v>282</v>
      </c>
      <c r="H4" s="9" t="s">
        <v>283</v>
      </c>
      <c r="I4" s="9" t="s">
        <v>284</v>
      </c>
      <c r="J4" s="9" t="s">
        <v>285</v>
      </c>
      <c r="K4" s="9" t="s">
        <v>286</v>
      </c>
      <c r="L4" s="9" t="s">
        <v>287</v>
      </c>
      <c r="M4" s="9" t="s">
        <v>288</v>
      </c>
      <c r="N4" s="9" t="s">
        <v>289</v>
      </c>
      <c r="O4" s="9" t="s">
        <v>290</v>
      </c>
      <c r="P4" s="9" t="s">
        <v>291</v>
      </c>
      <c r="Q4" s="9" t="s">
        <v>292</v>
      </c>
      <c r="R4" s="9" t="s">
        <v>293</v>
      </c>
      <c r="S4" s="9" t="s">
        <v>294</v>
      </c>
      <c r="T4" s="9" t="s">
        <v>295</v>
      </c>
      <c r="U4" s="9" t="s">
        <v>25</v>
      </c>
    </row>
    <row r="5" customFormat="false" ht="15" hidden="false" customHeight="false" outlineLevel="0" collapsed="false">
      <c r="A5" s="49" t="n">
        <v>0</v>
      </c>
      <c r="B5" s="19" t="n">
        <f aca="false">A5/3.6</f>
        <v>0</v>
      </c>
      <c r="C5" s="50" t="n">
        <f aca="false">0.5*rho_aer*C_x*A_f*B5^2</f>
        <v>0</v>
      </c>
      <c r="D5" s="50" t="n">
        <f aca="false">f_r*M_calc*g_acc</f>
        <v>298.4202</v>
      </c>
      <c r="E5" s="50" t="n">
        <f aca="false">C5+D5</f>
        <v>298.4202</v>
      </c>
      <c r="F5" s="50" t="n">
        <f aca="false">C5+M_calc*g_acc*(f_r*COS(ATAN(p_1/100))+SIN(ATAN(p_1/100)))</f>
        <v>2771.43250822576</v>
      </c>
      <c r="G5" s="50" t="n">
        <f aca="false">IF(B5=0,T_max*i_g*eta_t/r_w,MIN(T_max*i_g*eta_t/r_w,eta_t*P_vf*1000/B5))</f>
        <v>31038.9354174672</v>
      </c>
      <c r="H5" s="50" t="n">
        <f aca="false">IF(B5=0,T_max*i_g*eta_t/r_w,MIN(T_max*i_g*eta_t/r_w,eta_t*P_cont*1000/B5))</f>
        <v>31038.9354174672</v>
      </c>
      <c r="I5" s="50" t="n">
        <f aca="false">mu_us*M_calc*g_acc</f>
        <v>21138.0975</v>
      </c>
      <c r="J5" s="50" t="n">
        <f aca="false">mu_perf*M_calc*g_acc</f>
        <v>29842.02</v>
      </c>
      <c r="K5" s="50" t="n">
        <f aca="false">MIN(G5,I5)</f>
        <v>21138.0975</v>
      </c>
      <c r="L5" s="50" t="n">
        <f aca="false">MIN(G5,J5)</f>
        <v>29842.02</v>
      </c>
      <c r="M5" s="19" t="n">
        <f aca="false">(K5-E5)/(delta_m*M_calc)</f>
        <v>8.22078</v>
      </c>
      <c r="N5" s="19" t="n">
        <f aca="false">(L5-E5)/(delta_m*M_calc)</f>
        <v>11.65428</v>
      </c>
      <c r="O5" s="19" t="n">
        <v>0</v>
      </c>
      <c r="P5" s="19" t="n">
        <v>0</v>
      </c>
      <c r="Q5" s="50" t="n">
        <f aca="false">E5*B5/eta_t/1000</f>
        <v>0</v>
      </c>
      <c r="R5" s="50" t="n">
        <f aca="false">F5*B5/eta_t/1000</f>
        <v>0</v>
      </c>
      <c r="S5" s="50" t="n">
        <f aca="false">P_vf</f>
        <v>860</v>
      </c>
      <c r="T5" s="50" t="n">
        <f aca="false">P_cont</f>
        <v>530</v>
      </c>
      <c r="U5" s="50" t="n">
        <f aca="false">B5/(2*PI()*r_w)*60*i_g</f>
        <v>0</v>
      </c>
    </row>
    <row r="6" customFormat="false" ht="15" hidden="false" customHeight="false" outlineLevel="0" collapsed="false">
      <c r="A6" s="49" t="n">
        <v>5</v>
      </c>
      <c r="B6" s="19" t="n">
        <f aca="false">A6/3.6</f>
        <v>1.38888888888889</v>
      </c>
      <c r="C6" s="50" t="n">
        <f aca="false">0.5*rho_aer*C_x*A_f*B6^2</f>
        <v>0.634239969135803</v>
      </c>
      <c r="D6" s="50" t="n">
        <f aca="false">f_r*M_calc*g_acc</f>
        <v>298.4202</v>
      </c>
      <c r="E6" s="50" t="n">
        <f aca="false">C6+D6</f>
        <v>299.054439969136</v>
      </c>
      <c r="F6" s="50" t="n">
        <f aca="false">C6+M_calc*g_acc*(f_r*COS(ATAN(p_1/100))+SIN(ATAN(p_1/100)))</f>
        <v>2772.0667481949</v>
      </c>
      <c r="G6" s="50" t="n">
        <f aca="false">IF(B6=0,T_max*i_g*eta_t/r_w,MIN(T_max*i_g*eta_t/r_w,eta_t*P_vf*1000/B6))</f>
        <v>31038.9354174672</v>
      </c>
      <c r="H6" s="50" t="n">
        <f aca="false">IF(B6=0,T_max*i_g*eta_t/r_w,MIN(T_max*i_g*eta_t/r_w,eta_t*P_cont*1000/B6))</f>
        <v>31038.9354174672</v>
      </c>
      <c r="I6" s="50" t="n">
        <f aca="false">mu_us*M_calc*g_acc</f>
        <v>21138.0975</v>
      </c>
      <c r="J6" s="50" t="n">
        <f aca="false">mu_perf*M_calc*g_acc</f>
        <v>29842.02</v>
      </c>
      <c r="K6" s="50" t="n">
        <f aca="false">MIN(G6,I6)</f>
        <v>21138.0975</v>
      </c>
      <c r="L6" s="50" t="n">
        <f aca="false">MIN(G6,J6)</f>
        <v>29842.02</v>
      </c>
      <c r="M6" s="19" t="n">
        <f aca="false">(K6-E6)/(delta_m*M_calc)</f>
        <v>8.22052980671829</v>
      </c>
      <c r="N6" s="19" t="n">
        <f aca="false">(L6-E6)/(delta_m*M_calc)</f>
        <v>11.6540298067183</v>
      </c>
      <c r="O6" s="19" t="n">
        <f aca="false">O5+(B6-B5)/((M6+M5)/2)</f>
        <v>0.168951124358883</v>
      </c>
      <c r="P6" s="19" t="n">
        <f aca="false">P5+(B6-B5)/((N6+N5)/2)</f>
        <v>0.119175427167916</v>
      </c>
      <c r="Q6" s="50" t="n">
        <f aca="false">E6*B6/eta_t/1000</f>
        <v>0.437214093522128</v>
      </c>
      <c r="R6" s="50" t="n">
        <f aca="false">F6*B6/eta_t/1000</f>
        <v>4.05272916402763</v>
      </c>
      <c r="S6" s="50" t="n">
        <f aca="false">P_vf</f>
        <v>860</v>
      </c>
      <c r="T6" s="50" t="n">
        <f aca="false">P_cont</f>
        <v>530</v>
      </c>
      <c r="U6" s="50" t="n">
        <f aca="false">B6/(2*PI()*r_w)*60*i_g</f>
        <v>216.666666666667</v>
      </c>
    </row>
    <row r="7" customFormat="false" ht="15" hidden="false" customHeight="false" outlineLevel="0" collapsed="false">
      <c r="A7" s="49" t="n">
        <v>10</v>
      </c>
      <c r="B7" s="19" t="n">
        <f aca="false">A7/3.6</f>
        <v>2.77777777777778</v>
      </c>
      <c r="C7" s="50" t="n">
        <f aca="false">0.5*rho_aer*C_x*A_f*B7^2</f>
        <v>2.53695987654321</v>
      </c>
      <c r="D7" s="50" t="n">
        <f aca="false">f_r*M_calc*g_acc</f>
        <v>298.4202</v>
      </c>
      <c r="E7" s="50" t="n">
        <f aca="false">C7+D7</f>
        <v>300.957159876543</v>
      </c>
      <c r="F7" s="50" t="n">
        <f aca="false">C7+M_calc*g_acc*(f_r*COS(ATAN(p_1/100))+SIN(ATAN(p_1/100)))</f>
        <v>2773.96946810231</v>
      </c>
      <c r="G7" s="50" t="n">
        <f aca="false">IF(B7=0,T_max*i_g*eta_t/r_w,MIN(T_max*i_g*eta_t/r_w,eta_t*P_vf*1000/B7))</f>
        <v>31038.9354174672</v>
      </c>
      <c r="H7" s="50" t="n">
        <f aca="false">IF(B7=0,T_max*i_g*eta_t/r_w,MIN(T_max*i_g*eta_t/r_w,eta_t*P_cont*1000/B7))</f>
        <v>31038.9354174672</v>
      </c>
      <c r="I7" s="50" t="n">
        <f aca="false">mu_us*M_calc*g_acc</f>
        <v>21138.0975</v>
      </c>
      <c r="J7" s="50" t="n">
        <f aca="false">mu_perf*M_calc*g_acc</f>
        <v>29842.02</v>
      </c>
      <c r="K7" s="50" t="n">
        <f aca="false">MIN(G7,I7)</f>
        <v>21138.0975</v>
      </c>
      <c r="L7" s="50" t="n">
        <f aca="false">MIN(G7,J7)</f>
        <v>29842.02</v>
      </c>
      <c r="M7" s="19" t="n">
        <f aca="false">(K7-E7)/(delta_m*M_calc)</f>
        <v>8.21977922687316</v>
      </c>
      <c r="N7" s="19" t="n">
        <f aca="false">(L7-E7)/(delta_m*M_calc)</f>
        <v>11.6532792268732</v>
      </c>
      <c r="O7" s="19" t="n">
        <f aca="false">O6+(B7-B6)/((M7+M6)/2)</f>
        <v>0.337912533302116</v>
      </c>
      <c r="P7" s="19" t="n">
        <f aca="false">P6+(B7-B6)/((N7+N6)/2)</f>
        <v>0.238355971510222</v>
      </c>
      <c r="Q7" s="50" t="n">
        <f aca="false">E7*B7/eta_t/1000</f>
        <v>0.879991695545448</v>
      </c>
      <c r="R7" s="50" t="n">
        <f aca="false">F7*B7/eta_t/1000</f>
        <v>8.11102183655645</v>
      </c>
      <c r="S7" s="50" t="n">
        <f aca="false">P_vf</f>
        <v>860</v>
      </c>
      <c r="T7" s="50" t="n">
        <f aca="false">P_cont</f>
        <v>530</v>
      </c>
      <c r="U7" s="50" t="n">
        <f aca="false">B7/(2*PI()*r_w)*60*i_g</f>
        <v>433.333333333333</v>
      </c>
    </row>
    <row r="8" customFormat="false" ht="15" hidden="false" customHeight="false" outlineLevel="0" collapsed="false">
      <c r="A8" s="49" t="n">
        <v>15</v>
      </c>
      <c r="B8" s="19" t="n">
        <f aca="false">A8/3.6</f>
        <v>4.16666666666667</v>
      </c>
      <c r="C8" s="50" t="n">
        <f aca="false">0.5*rho_aer*C_x*A_f*B8^2</f>
        <v>5.70815972222222</v>
      </c>
      <c r="D8" s="50" t="n">
        <f aca="false">f_r*M_calc*g_acc</f>
        <v>298.4202</v>
      </c>
      <c r="E8" s="50" t="n">
        <f aca="false">C8+D8</f>
        <v>304.128359722222</v>
      </c>
      <c r="F8" s="50" t="n">
        <f aca="false">C8+M_calc*g_acc*(f_r*COS(ATAN(p_1/100))+SIN(ATAN(p_1/100)))</f>
        <v>2777.14066794798</v>
      </c>
      <c r="G8" s="50" t="n">
        <f aca="false">IF(B8=0,T_max*i_g*eta_t/r_w,MIN(T_max*i_g*eta_t/r_w,eta_t*P_vf*1000/B8))</f>
        <v>31038.9354174672</v>
      </c>
      <c r="H8" s="50" t="n">
        <f aca="false">IF(B8=0,T_max*i_g*eta_t/r_w,MIN(T_max*i_g*eta_t/r_w,eta_t*P_cont*1000/B8))</f>
        <v>31038.9354174672</v>
      </c>
      <c r="I8" s="50" t="n">
        <f aca="false">mu_us*M_calc*g_acc</f>
        <v>21138.0975</v>
      </c>
      <c r="J8" s="50" t="n">
        <f aca="false">mu_perf*M_calc*g_acc</f>
        <v>29842.02</v>
      </c>
      <c r="K8" s="50" t="n">
        <f aca="false">MIN(G8,I8)</f>
        <v>21138.0975</v>
      </c>
      <c r="L8" s="50" t="n">
        <f aca="false">MIN(G8,J8)</f>
        <v>29842.02</v>
      </c>
      <c r="M8" s="19" t="n">
        <f aca="false">(K8-E8)/(delta_m*M_calc)</f>
        <v>8.21852826046461</v>
      </c>
      <c r="N8" s="19" t="n">
        <f aca="false">(L8-E8)/(delta_m*M_calc)</f>
        <v>11.6520282604646</v>
      </c>
      <c r="O8" s="19" t="n">
        <f aca="false">O7+(B8-B7)/((M8+M7)/2)</f>
        <v>0.506894515170837</v>
      </c>
      <c r="P8" s="19" t="n">
        <f aca="false">P7+(B8-B7)/((N8+N7)/2)</f>
        <v>0.357546751519754</v>
      </c>
      <c r="Q8" s="50" t="n">
        <f aca="false">E8*B8/eta_t/1000</f>
        <v>1.33389631457115</v>
      </c>
      <c r="R8" s="50" t="n">
        <f aca="false">F8*B8/eta_t/1000</f>
        <v>12.1804415260877</v>
      </c>
      <c r="S8" s="50" t="n">
        <f aca="false">P_vf</f>
        <v>860</v>
      </c>
      <c r="T8" s="50" t="n">
        <f aca="false">P_cont</f>
        <v>530</v>
      </c>
      <c r="U8" s="50" t="n">
        <f aca="false">B8/(2*PI()*r_w)*60*i_g</f>
        <v>650</v>
      </c>
    </row>
    <row r="9" customFormat="false" ht="15" hidden="false" customHeight="false" outlineLevel="0" collapsed="false">
      <c r="A9" s="49" t="n">
        <v>20</v>
      </c>
      <c r="B9" s="19" t="n">
        <f aca="false">A9/3.6</f>
        <v>5.55555555555556</v>
      </c>
      <c r="C9" s="50" t="n">
        <f aca="false">0.5*rho_aer*C_x*A_f*B9^2</f>
        <v>10.1478395061728</v>
      </c>
      <c r="D9" s="50" t="n">
        <f aca="false">f_r*M_calc*g_acc</f>
        <v>298.4202</v>
      </c>
      <c r="E9" s="50" t="n">
        <f aca="false">C9+D9</f>
        <v>308.568039506173</v>
      </c>
      <c r="F9" s="50" t="n">
        <f aca="false">C9+M_calc*g_acc*(f_r*COS(ATAN(p_1/100))+SIN(ATAN(p_1/100)))</f>
        <v>2781.58034773193</v>
      </c>
      <c r="G9" s="50" t="n">
        <f aca="false">IF(B9=0,T_max*i_g*eta_t/r_w,MIN(T_max*i_g*eta_t/r_w,eta_t*P_vf*1000/B9))</f>
        <v>31038.9354174672</v>
      </c>
      <c r="H9" s="50" t="n">
        <f aca="false">IF(B9=0,T_max*i_g*eta_t/r_w,MIN(T_max*i_g*eta_t/r_w,eta_t*P_cont*1000/B9))</f>
        <v>31038.9354174672</v>
      </c>
      <c r="I9" s="50" t="n">
        <f aca="false">mu_us*M_calc*g_acc</f>
        <v>21138.0975</v>
      </c>
      <c r="J9" s="50" t="n">
        <f aca="false">mu_perf*M_calc*g_acc</f>
        <v>29842.02</v>
      </c>
      <c r="K9" s="50" t="n">
        <f aca="false">MIN(G9,I9)</f>
        <v>21138.0975</v>
      </c>
      <c r="L9" s="50" t="n">
        <f aca="false">MIN(G9,J9)</f>
        <v>29842.02</v>
      </c>
      <c r="M9" s="19" t="n">
        <f aca="false">(K9-E9)/(delta_m*M_calc)</f>
        <v>8.21677690749264</v>
      </c>
      <c r="N9" s="19" t="n">
        <f aca="false">(L9-E9)/(delta_m*M_calc)</f>
        <v>11.6502769074926</v>
      </c>
      <c r="O9" s="19" t="n">
        <f aca="false">O8+(B9-B8)/((M9+M8)/2)</f>
        <v>0.675907365823189</v>
      </c>
      <c r="P9" s="19" t="n">
        <f aca="false">P8+(B9-B8)/((N9+N8)/2)</f>
        <v>0.476752888327089</v>
      </c>
      <c r="Q9" s="50" t="n">
        <f aca="false">E9*B9/eta_t/1000</f>
        <v>1.80449145910043</v>
      </c>
      <c r="R9" s="50" t="n">
        <f aca="false">F9*B9/eta_t/1000</f>
        <v>16.2665517411224</v>
      </c>
      <c r="S9" s="50" t="n">
        <f aca="false">P_vf</f>
        <v>860</v>
      </c>
      <c r="T9" s="50" t="n">
        <f aca="false">P_cont</f>
        <v>530</v>
      </c>
      <c r="U9" s="50" t="n">
        <f aca="false">B9/(2*PI()*r_w)*60*i_g</f>
        <v>866.666666666667</v>
      </c>
    </row>
    <row r="10" customFormat="false" ht="15" hidden="false" customHeight="false" outlineLevel="0" collapsed="false">
      <c r="A10" s="49" t="n">
        <v>25</v>
      </c>
      <c r="B10" s="19" t="n">
        <f aca="false">A10/3.6</f>
        <v>6.94444444444445</v>
      </c>
      <c r="C10" s="50" t="n">
        <f aca="false">0.5*rho_aer*C_x*A_f*B10^2</f>
        <v>15.8559992283951</v>
      </c>
      <c r="D10" s="50" t="n">
        <f aca="false">f_r*M_calc*g_acc</f>
        <v>298.4202</v>
      </c>
      <c r="E10" s="50" t="n">
        <f aca="false">C10+D10</f>
        <v>314.276199228395</v>
      </c>
      <c r="F10" s="50" t="n">
        <f aca="false">C10+M_calc*g_acc*(f_r*COS(ATAN(p_1/100))+SIN(ATAN(p_1/100)))</f>
        <v>2787.28850745416</v>
      </c>
      <c r="G10" s="50" t="n">
        <f aca="false">IF(B10=0,T_max*i_g*eta_t/r_w,MIN(T_max*i_g*eta_t/r_w,eta_t*P_vf*1000/B10))</f>
        <v>31038.9354174672</v>
      </c>
      <c r="H10" s="50" t="n">
        <f aca="false">IF(B10=0,T_max*i_g*eta_t/r_w,MIN(T_max*i_g*eta_t/r_w,eta_t*P_cont*1000/B10))</f>
        <v>31038.9354174672</v>
      </c>
      <c r="I10" s="50" t="n">
        <f aca="false">mu_us*M_calc*g_acc</f>
        <v>21138.0975</v>
      </c>
      <c r="J10" s="50" t="n">
        <f aca="false">mu_perf*M_calc*g_acc</f>
        <v>29842.02</v>
      </c>
      <c r="K10" s="50" t="n">
        <f aca="false">MIN(G10,I10)</f>
        <v>21138.0975</v>
      </c>
      <c r="L10" s="50" t="n">
        <f aca="false">MIN(G10,J10)</f>
        <v>29842.02</v>
      </c>
      <c r="M10" s="19" t="n">
        <f aca="false">(K10-E10)/(delta_m*M_calc)</f>
        <v>8.21452516795724</v>
      </c>
      <c r="N10" s="19" t="n">
        <f aca="false">(L10-E10)/(delta_m*M_calc)</f>
        <v>11.6480251679572</v>
      </c>
      <c r="O10" s="19" t="n">
        <f aca="false">O9+(B10-B9)/((M10+M9)/2)</f>
        <v>0.844961392401403</v>
      </c>
      <c r="P10" s="19" t="n">
        <f aca="false">P9+(B10-B9)/((N10+N9)/2)</f>
        <v>0.595979507021539</v>
      </c>
      <c r="Q10" s="50" t="n">
        <f aca="false">E10*B10/eta_t/1000</f>
        <v>2.29734063763447</v>
      </c>
      <c r="R10" s="50" t="n">
        <f aca="false">F10*B10/eta_t/1000</f>
        <v>20.374915990162</v>
      </c>
      <c r="S10" s="50" t="n">
        <f aca="false">P_vf</f>
        <v>860</v>
      </c>
      <c r="T10" s="50" t="n">
        <f aca="false">P_cont</f>
        <v>530</v>
      </c>
      <c r="U10" s="50" t="n">
        <f aca="false">B10/(2*PI()*r_w)*60*i_g</f>
        <v>1083.33333333333</v>
      </c>
    </row>
    <row r="11" customFormat="false" ht="15" hidden="false" customHeight="false" outlineLevel="0" collapsed="false">
      <c r="A11" s="49" t="n">
        <v>30</v>
      </c>
      <c r="B11" s="19" t="n">
        <f aca="false">A11/3.6</f>
        <v>8.33333333333333</v>
      </c>
      <c r="C11" s="50" t="n">
        <f aca="false">0.5*rho_aer*C_x*A_f*B11^2</f>
        <v>22.8326388888889</v>
      </c>
      <c r="D11" s="50" t="n">
        <f aca="false">f_r*M_calc*g_acc</f>
        <v>298.4202</v>
      </c>
      <c r="E11" s="50" t="n">
        <f aca="false">C11+D11</f>
        <v>321.252838888889</v>
      </c>
      <c r="F11" s="50" t="n">
        <f aca="false">C11+M_calc*g_acc*(f_r*COS(ATAN(p_1/100))+SIN(ATAN(p_1/100)))</f>
        <v>2794.26514711465</v>
      </c>
      <c r="G11" s="50" t="n">
        <f aca="false">IF(B11=0,T_max*i_g*eta_t/r_w,MIN(T_max*i_g*eta_t/r_w,eta_t*P_vf*1000/B11))</f>
        <v>31038.9354174672</v>
      </c>
      <c r="H11" s="50" t="n">
        <f aca="false">IF(B11=0,T_max*i_g*eta_t/r_w,MIN(T_max*i_g*eta_t/r_w,eta_t*P_cont*1000/B11))</f>
        <v>31038.9354174672</v>
      </c>
      <c r="I11" s="50" t="n">
        <f aca="false">mu_us*M_calc*g_acc</f>
        <v>21138.0975</v>
      </c>
      <c r="J11" s="50" t="n">
        <f aca="false">mu_perf*M_calc*g_acc</f>
        <v>29842.02</v>
      </c>
      <c r="K11" s="50" t="n">
        <f aca="false">MIN(G11,I11)</f>
        <v>21138.0975</v>
      </c>
      <c r="L11" s="50" t="n">
        <f aca="false">MIN(G11,J11)</f>
        <v>29842.02</v>
      </c>
      <c r="M11" s="19" t="n">
        <f aca="false">(K11-E11)/(delta_m*M_calc)</f>
        <v>8.21177304185843</v>
      </c>
      <c r="N11" s="19" t="n">
        <f aca="false">(L11-E11)/(delta_m*M_calc)</f>
        <v>11.6452730418584</v>
      </c>
      <c r="O11" s="19" t="n">
        <f aca="false">O10+(B11-B10)/((M11+M10)/2)</f>
        <v>1.01406691710921</v>
      </c>
      <c r="P11" s="19" t="n">
        <f aca="false">P10+(B11-B10)/((N11+N10)/2)</f>
        <v>0.7152317379747</v>
      </c>
      <c r="Q11" s="50" t="n">
        <f aca="false">E11*B11/eta_t/1000</f>
        <v>2.81800735867446</v>
      </c>
      <c r="R11" s="50" t="n">
        <f aca="false">F11*B11/eta_t/1000</f>
        <v>24.5110977817075</v>
      </c>
      <c r="S11" s="50" t="n">
        <f aca="false">P_vf</f>
        <v>860</v>
      </c>
      <c r="T11" s="50" t="n">
        <f aca="false">P_cont</f>
        <v>530</v>
      </c>
      <c r="U11" s="50" t="n">
        <f aca="false">B11/(2*PI()*r_w)*60*i_g</f>
        <v>1300</v>
      </c>
    </row>
    <row r="12" customFormat="false" ht="15" hidden="false" customHeight="false" outlineLevel="0" collapsed="false">
      <c r="A12" s="49" t="n">
        <v>35</v>
      </c>
      <c r="B12" s="19" t="n">
        <f aca="false">A12/3.6</f>
        <v>9.72222222222222</v>
      </c>
      <c r="C12" s="50" t="n">
        <f aca="false">0.5*rho_aer*C_x*A_f*B12^2</f>
        <v>31.0777584876543</v>
      </c>
      <c r="D12" s="50" t="n">
        <f aca="false">f_r*M_calc*g_acc</f>
        <v>298.4202</v>
      </c>
      <c r="E12" s="50" t="n">
        <f aca="false">C12+D12</f>
        <v>329.497958487654</v>
      </c>
      <c r="F12" s="50" t="n">
        <f aca="false">C12+M_calc*g_acc*(f_r*COS(ATAN(p_1/100))+SIN(ATAN(p_1/100)))</f>
        <v>2802.51026671342</v>
      </c>
      <c r="G12" s="50" t="n">
        <f aca="false">IF(B12=0,T_max*i_g*eta_t/r_w,MIN(T_max*i_g*eta_t/r_w,eta_t*P_vf*1000/B12))</f>
        <v>31038.9354174672</v>
      </c>
      <c r="H12" s="50" t="n">
        <f aca="false">IF(B12=0,T_max*i_g*eta_t/r_w,MIN(T_max*i_g*eta_t/r_w,eta_t*P_cont*1000/B12))</f>
        <v>31038.9354174672</v>
      </c>
      <c r="I12" s="50" t="n">
        <f aca="false">mu_us*M_calc*g_acc</f>
        <v>21138.0975</v>
      </c>
      <c r="J12" s="50" t="n">
        <f aca="false">mu_perf*M_calc*g_acc</f>
        <v>29842.02</v>
      </c>
      <c r="K12" s="50" t="n">
        <f aca="false">MIN(G12,I12)</f>
        <v>21138.0975</v>
      </c>
      <c r="L12" s="50" t="n">
        <f aca="false">MIN(G12,J12)</f>
        <v>29842.02</v>
      </c>
      <c r="M12" s="19" t="n">
        <f aca="false">(K12-E12)/(delta_m*M_calc)</f>
        <v>8.20852052919619</v>
      </c>
      <c r="N12" s="19" t="n">
        <f aca="false">(L12-E12)/(delta_m*M_calc)</f>
        <v>11.6420205291962</v>
      </c>
      <c r="O12" s="19" t="n">
        <f aca="false">O11+(B12-B11)/((M12+M11)/2)</f>
        <v>1.18323428100302</v>
      </c>
      <c r="P12" s="19" t="n">
        <f aca="false">P11+(B12-B11)/((N12+N11)/2)</f>
        <v>0.834514718167403</v>
      </c>
      <c r="Q12" s="50" t="n">
        <f aca="false">E12*B12/eta_t/1000</f>
        <v>3.37205513072161</v>
      </c>
      <c r="R12" s="50" t="n">
        <f aca="false">F12*B12/eta_t/1000</f>
        <v>28.6806606242601</v>
      </c>
      <c r="S12" s="50" t="n">
        <f aca="false">P_vf</f>
        <v>860</v>
      </c>
      <c r="T12" s="50" t="n">
        <f aca="false">P_cont</f>
        <v>530</v>
      </c>
      <c r="U12" s="50" t="n">
        <f aca="false">B12/(2*PI()*r_w)*60*i_g</f>
        <v>1516.66666666667</v>
      </c>
    </row>
    <row r="13" customFormat="false" ht="15" hidden="false" customHeight="false" outlineLevel="0" collapsed="false">
      <c r="A13" s="49" t="n">
        <v>40</v>
      </c>
      <c r="B13" s="19" t="n">
        <f aca="false">A13/3.6</f>
        <v>11.1111111111111</v>
      </c>
      <c r="C13" s="50" t="n">
        <f aca="false">0.5*rho_aer*C_x*A_f*B13^2</f>
        <v>40.5913580246914</v>
      </c>
      <c r="D13" s="50" t="n">
        <f aca="false">f_r*M_calc*g_acc</f>
        <v>298.4202</v>
      </c>
      <c r="E13" s="50" t="n">
        <f aca="false">C13+D13</f>
        <v>339.011558024691</v>
      </c>
      <c r="F13" s="50" t="n">
        <f aca="false">C13+M_calc*g_acc*(f_r*COS(ATAN(p_1/100))+SIN(ATAN(p_1/100)))</f>
        <v>2812.02386625045</v>
      </c>
      <c r="G13" s="50" t="n">
        <f aca="false">IF(B13=0,T_max*i_g*eta_t/r_w,MIN(T_max*i_g*eta_t/r_w,eta_t*P_vf*1000/B13))</f>
        <v>31038.9354174672</v>
      </c>
      <c r="H13" s="50" t="n">
        <f aca="false">IF(B13=0,T_max*i_g*eta_t/r_w,MIN(T_max*i_g*eta_t/r_w,eta_t*P_cont*1000/B13))</f>
        <v>31038.9354174672</v>
      </c>
      <c r="I13" s="50" t="n">
        <f aca="false">mu_us*M_calc*g_acc</f>
        <v>21138.0975</v>
      </c>
      <c r="J13" s="50" t="n">
        <f aca="false">mu_perf*M_calc*g_acc</f>
        <v>29842.02</v>
      </c>
      <c r="K13" s="50" t="n">
        <f aca="false">MIN(G13,I13)</f>
        <v>21138.0975</v>
      </c>
      <c r="L13" s="50" t="n">
        <f aca="false">MIN(G13,J13)</f>
        <v>29842.02</v>
      </c>
      <c r="M13" s="19" t="n">
        <f aca="false">(K13-E13)/(delta_m*M_calc)</f>
        <v>8.20476762997054</v>
      </c>
      <c r="N13" s="19" t="n">
        <f aca="false">(L13-E13)/(delta_m*M_calc)</f>
        <v>11.6382676299705</v>
      </c>
      <c r="O13" s="19" t="n">
        <f aca="false">O12+(B13-B12)/((M13+M12)/2)</f>
        <v>1.35247384780039</v>
      </c>
      <c r="P13" s="19" t="n">
        <f aca="false">P12+(B13-B12)/((N13+N12)/2)</f>
        <v>0.953833592520941</v>
      </c>
      <c r="Q13" s="50" t="n">
        <f aca="false">E13*B13/eta_t/1000</f>
        <v>3.96504746227709</v>
      </c>
      <c r="R13" s="50" t="n">
        <f aca="false">F13*B13/eta_t/1000</f>
        <v>32.8891680263211</v>
      </c>
      <c r="S13" s="50" t="n">
        <f aca="false">P_vf</f>
        <v>860</v>
      </c>
      <c r="T13" s="50" t="n">
        <f aca="false">P_cont</f>
        <v>530</v>
      </c>
      <c r="U13" s="50" t="n">
        <f aca="false">B13/(2*PI()*r_w)*60*i_g</f>
        <v>1733.33333333333</v>
      </c>
    </row>
    <row r="14" customFormat="false" ht="15" hidden="false" customHeight="false" outlineLevel="0" collapsed="false">
      <c r="A14" s="49" t="n">
        <v>45</v>
      </c>
      <c r="B14" s="19" t="n">
        <f aca="false">A14/3.6</f>
        <v>12.5</v>
      </c>
      <c r="C14" s="50" t="n">
        <f aca="false">0.5*rho_aer*C_x*A_f*B14^2</f>
        <v>51.3734375</v>
      </c>
      <c r="D14" s="50" t="n">
        <f aca="false">f_r*M_calc*g_acc</f>
        <v>298.4202</v>
      </c>
      <c r="E14" s="50" t="n">
        <f aca="false">C14+D14</f>
        <v>349.7936375</v>
      </c>
      <c r="F14" s="50" t="n">
        <f aca="false">C14+M_calc*g_acc*(f_r*COS(ATAN(p_1/100))+SIN(ATAN(p_1/100)))</f>
        <v>2822.80594572576</v>
      </c>
      <c r="G14" s="50" t="n">
        <f aca="false">IF(B14=0,T_max*i_g*eta_t/r_w,MIN(T_max*i_g*eta_t/r_w,eta_t*P_vf*1000/B14))</f>
        <v>31038.9354174672</v>
      </c>
      <c r="H14" s="50" t="n">
        <f aca="false">IF(B14=0,T_max*i_g*eta_t/r_w,MIN(T_max*i_g*eta_t/r_w,eta_t*P_cont*1000/B14))</f>
        <v>31038.9354174672</v>
      </c>
      <c r="I14" s="50" t="n">
        <f aca="false">mu_us*M_calc*g_acc</f>
        <v>21138.0975</v>
      </c>
      <c r="J14" s="50" t="n">
        <f aca="false">mu_perf*M_calc*g_acc</f>
        <v>29842.02</v>
      </c>
      <c r="K14" s="50" t="n">
        <f aca="false">MIN(G14,I14)</f>
        <v>21138.0975</v>
      </c>
      <c r="L14" s="50" t="n">
        <f aca="false">MIN(G14,J14)</f>
        <v>29842.02</v>
      </c>
      <c r="M14" s="19" t="n">
        <f aca="false">(K14-E14)/(delta_m*M_calc)</f>
        <v>8.20051434418146</v>
      </c>
      <c r="N14" s="19" t="n">
        <f aca="false">(L14-E14)/(delta_m*M_calc)</f>
        <v>11.6340143441815</v>
      </c>
      <c r="O14" s="19" t="n">
        <f aca="false">O13+(B14-B13)/((M14+M13)/2)</f>
        <v>1.52179600770928</v>
      </c>
      <c r="P14" s="19" t="n">
        <f aca="false">P13+(B14-B13)/((N14+N13)/2)</f>
        <v>1.07319351523342</v>
      </c>
      <c r="Q14" s="50" t="n">
        <f aca="false">E14*B14/eta_t/1000</f>
        <v>4.60254786184211</v>
      </c>
      <c r="R14" s="50" t="n">
        <f aca="false">F14*B14/eta_t/1000</f>
        <v>37.1421834963916</v>
      </c>
      <c r="S14" s="50" t="n">
        <f aca="false">P_vf</f>
        <v>860</v>
      </c>
      <c r="T14" s="50" t="n">
        <f aca="false">P_cont</f>
        <v>530</v>
      </c>
      <c r="U14" s="50" t="n">
        <f aca="false">B14/(2*PI()*r_w)*60*i_g</f>
        <v>1950</v>
      </c>
    </row>
    <row r="15" customFormat="false" ht="15" hidden="false" customHeight="false" outlineLevel="0" collapsed="false">
      <c r="A15" s="49" t="n">
        <v>50</v>
      </c>
      <c r="B15" s="19" t="n">
        <f aca="false">A15/3.6</f>
        <v>13.8888888888889</v>
      </c>
      <c r="C15" s="50" t="n">
        <f aca="false">0.5*rho_aer*C_x*A_f*B15^2</f>
        <v>63.4239969135803</v>
      </c>
      <c r="D15" s="50" t="n">
        <f aca="false">f_r*M_calc*g_acc</f>
        <v>298.4202</v>
      </c>
      <c r="E15" s="50" t="n">
        <f aca="false">C15+D15</f>
        <v>361.84419691358</v>
      </c>
      <c r="F15" s="50" t="n">
        <f aca="false">C15+M_calc*g_acc*(f_r*COS(ATAN(p_1/100))+SIN(ATAN(p_1/100)))</f>
        <v>2834.85650513934</v>
      </c>
      <c r="G15" s="50" t="n">
        <f aca="false">IF(B15=0,T_max*i_g*eta_t/r_w,MIN(T_max*i_g*eta_t/r_w,eta_t*P_vf*1000/B15))</f>
        <v>31038.9354174672</v>
      </c>
      <c r="H15" s="50" t="n">
        <f aca="false">IF(B15=0,T_max*i_g*eta_t/r_w,MIN(T_max*i_g*eta_t/r_w,eta_t*P_cont*1000/B15))</f>
        <v>31038.9354174672</v>
      </c>
      <c r="I15" s="50" t="n">
        <f aca="false">mu_us*M_calc*g_acc</f>
        <v>21138.0975</v>
      </c>
      <c r="J15" s="50" t="n">
        <f aca="false">mu_perf*M_calc*g_acc</f>
        <v>29842.02</v>
      </c>
      <c r="K15" s="50" t="n">
        <f aca="false">MIN(G15,I15)</f>
        <v>21138.0975</v>
      </c>
      <c r="L15" s="50" t="n">
        <f aca="false">MIN(G15,J15)</f>
        <v>29842.02</v>
      </c>
      <c r="M15" s="19" t="n">
        <f aca="false">(K15-E15)/(delta_m*M_calc)</f>
        <v>8.19576067182896</v>
      </c>
      <c r="N15" s="19" t="n">
        <f aca="false">(L15-E15)/(delta_m*M_calc)</f>
        <v>11.629260671829</v>
      </c>
      <c r="O15" s="19" t="n">
        <f aca="false">O14+(B15-B14)/((M15+M14)/2)</f>
        <v>1.69121118128165</v>
      </c>
      <c r="P15" s="19" t="n">
        <f aca="false">P14+(B15-B14)/((N15+N14)/2)</f>
        <v>1.19259965112211</v>
      </c>
      <c r="Q15" s="50" t="n">
        <f aca="false">E15*B15/eta_t/1000</f>
        <v>5.29011983791784</v>
      </c>
      <c r="R15" s="50" t="n">
        <f aca="false">F15*B15/eta_t/1000</f>
        <v>41.4452705429728</v>
      </c>
      <c r="S15" s="50" t="n">
        <f aca="false">P_vf</f>
        <v>860</v>
      </c>
      <c r="T15" s="50" t="n">
        <f aca="false">P_cont</f>
        <v>530</v>
      </c>
      <c r="U15" s="50" t="n">
        <f aca="false">B15/(2*PI()*r_w)*60*i_g</f>
        <v>2166.66666666667</v>
      </c>
    </row>
    <row r="16" customFormat="false" ht="15" hidden="false" customHeight="false" outlineLevel="0" collapsed="false">
      <c r="A16" s="49" t="n">
        <v>55</v>
      </c>
      <c r="B16" s="19" t="n">
        <f aca="false">A16/3.6</f>
        <v>15.2777777777778</v>
      </c>
      <c r="C16" s="50" t="n">
        <f aca="false">0.5*rho_aer*C_x*A_f*B16^2</f>
        <v>76.7430362654321</v>
      </c>
      <c r="D16" s="50" t="n">
        <f aca="false">f_r*M_calc*g_acc</f>
        <v>298.4202</v>
      </c>
      <c r="E16" s="50" t="n">
        <f aca="false">C16+D16</f>
        <v>375.163236265432</v>
      </c>
      <c r="F16" s="50" t="n">
        <f aca="false">C16+M_calc*g_acc*(f_r*COS(ATAN(p_1/100))+SIN(ATAN(p_1/100)))</f>
        <v>2848.17554449119</v>
      </c>
      <c r="G16" s="50" t="n">
        <f aca="false">IF(B16=0,T_max*i_g*eta_t/r_w,MIN(T_max*i_g*eta_t/r_w,eta_t*P_vf*1000/B16))</f>
        <v>31038.9354174672</v>
      </c>
      <c r="H16" s="50" t="n">
        <f aca="false">IF(B16=0,T_max*i_g*eta_t/r_w,MIN(T_max*i_g*eta_t/r_w,eta_t*P_cont*1000/B16))</f>
        <v>31038.9354174672</v>
      </c>
      <c r="I16" s="50" t="n">
        <f aca="false">mu_us*M_calc*g_acc</f>
        <v>21138.0975</v>
      </c>
      <c r="J16" s="50" t="n">
        <f aca="false">mu_perf*M_calc*g_acc</f>
        <v>29842.02</v>
      </c>
      <c r="K16" s="50" t="n">
        <f aca="false">MIN(G16,I16)</f>
        <v>21138.0975</v>
      </c>
      <c r="L16" s="50" t="n">
        <f aca="false">MIN(G16,J16)</f>
        <v>29842.02</v>
      </c>
      <c r="M16" s="19" t="n">
        <f aca="false">(K16-E16)/(delta_m*M_calc)</f>
        <v>8.19050661291305</v>
      </c>
      <c r="N16" s="19" t="n">
        <f aca="false">(L16-E16)/(delta_m*M_calc)</f>
        <v>11.624006612913</v>
      </c>
      <c r="O16" s="19" t="n">
        <f aca="false">O15+(B16-B15)/((M16+M15)/2)</f>
        <v>1.86072982329503</v>
      </c>
      <c r="P16" s="19" t="n">
        <f aca="false">P15+(B16-B15)/((N16+N15)/2)</f>
        <v>1.3120571769727</v>
      </c>
      <c r="Q16" s="50" t="n">
        <f aca="false">E16*B16/eta_t/1000</f>
        <v>6.03332689900549</v>
      </c>
      <c r="R16" s="50" t="n">
        <f aca="false">F16*B16/eta_t/1000</f>
        <v>45.803992674566</v>
      </c>
      <c r="S16" s="50" t="n">
        <f aca="false">P_vf</f>
        <v>860</v>
      </c>
      <c r="T16" s="50" t="n">
        <f aca="false">P_cont</f>
        <v>530</v>
      </c>
      <c r="U16" s="50" t="n">
        <f aca="false">B16/(2*PI()*r_w)*60*i_g</f>
        <v>2383.33333333333</v>
      </c>
    </row>
    <row r="17" customFormat="false" ht="15" hidden="false" customHeight="false" outlineLevel="0" collapsed="false">
      <c r="A17" s="49" t="n">
        <v>60</v>
      </c>
      <c r="B17" s="19" t="n">
        <f aca="false">A17/3.6</f>
        <v>16.6666666666667</v>
      </c>
      <c r="C17" s="50" t="n">
        <f aca="false">0.5*rho_aer*C_x*A_f*B17^2</f>
        <v>91.3305555555556</v>
      </c>
      <c r="D17" s="50" t="n">
        <f aca="false">f_r*M_calc*g_acc</f>
        <v>298.4202</v>
      </c>
      <c r="E17" s="50" t="n">
        <f aca="false">C17+D17</f>
        <v>389.750755555556</v>
      </c>
      <c r="F17" s="50" t="n">
        <f aca="false">C17+M_calc*g_acc*(f_r*COS(ATAN(p_1/100))+SIN(ATAN(p_1/100)))</f>
        <v>2862.76306378132</v>
      </c>
      <c r="G17" s="50" t="n">
        <f aca="false">IF(B17=0,T_max*i_g*eta_t/r_w,MIN(T_max*i_g*eta_t/r_w,eta_t*P_vf*1000/B17))</f>
        <v>31038.9354174672</v>
      </c>
      <c r="H17" s="50" t="n">
        <f aca="false">IF(B17=0,T_max*i_g*eta_t/r_w,MIN(T_max*i_g*eta_t/r_w,eta_t*P_cont*1000/B17))</f>
        <v>30210</v>
      </c>
      <c r="I17" s="50" t="n">
        <f aca="false">mu_us*M_calc*g_acc</f>
        <v>21138.0975</v>
      </c>
      <c r="J17" s="50" t="n">
        <f aca="false">mu_perf*M_calc*g_acc</f>
        <v>29842.02</v>
      </c>
      <c r="K17" s="50" t="n">
        <f aca="false">MIN(G17,I17)</f>
        <v>21138.0975</v>
      </c>
      <c r="L17" s="50" t="n">
        <f aca="false">MIN(G17,J17)</f>
        <v>29842.02</v>
      </c>
      <c r="M17" s="19" t="n">
        <f aca="false">(K17-E17)/(delta_m*M_calc)</f>
        <v>8.18475216743371</v>
      </c>
      <c r="N17" s="19" t="n">
        <f aca="false">(L17-E17)/(delta_m*M_calc)</f>
        <v>11.6182521674337</v>
      </c>
      <c r="O17" s="19" t="n">
        <f aca="false">O16+(B17-B16)/((M17+M16)/2)</f>
        <v>2.03036242666565</v>
      </c>
      <c r="P17" s="19" t="n">
        <f aca="false">P16+(B17-B16)/((N17+N16)/2)</f>
        <v>1.43157128289629</v>
      </c>
      <c r="Q17" s="50" t="n">
        <f aca="false">E17*B17/eta_t/1000</f>
        <v>6.83773255360624</v>
      </c>
      <c r="R17" s="50" t="n">
        <f aca="false">F17*B17/eta_t/1000</f>
        <v>50.2239133996722</v>
      </c>
      <c r="S17" s="50" t="n">
        <f aca="false">P_vf</f>
        <v>860</v>
      </c>
      <c r="T17" s="50" t="n">
        <f aca="false">P_cont</f>
        <v>530</v>
      </c>
      <c r="U17" s="50" t="n">
        <f aca="false">B17/(2*PI()*r_w)*60*i_g</f>
        <v>2600</v>
      </c>
    </row>
    <row r="18" customFormat="false" ht="15" hidden="false" customHeight="false" outlineLevel="0" collapsed="false">
      <c r="A18" s="49" t="n">
        <v>65</v>
      </c>
      <c r="B18" s="19" t="n">
        <f aca="false">A18/3.6</f>
        <v>18.0555555555556</v>
      </c>
      <c r="C18" s="50" t="n">
        <f aca="false">0.5*rho_aer*C_x*A_f*B18^2</f>
        <v>107.186554783951</v>
      </c>
      <c r="D18" s="50" t="n">
        <f aca="false">f_r*M_calc*g_acc</f>
        <v>298.4202</v>
      </c>
      <c r="E18" s="50" t="n">
        <f aca="false">C18+D18</f>
        <v>405.606754783951</v>
      </c>
      <c r="F18" s="50" t="n">
        <f aca="false">C18+M_calc*g_acc*(f_r*COS(ATAN(p_1/100))+SIN(ATAN(p_1/100)))</f>
        <v>2878.61906300971</v>
      </c>
      <c r="G18" s="50" t="n">
        <f aca="false">IF(B18=0,T_max*i_g*eta_t/r_w,MIN(T_max*i_g*eta_t/r_w,eta_t*P_vf*1000/B18))</f>
        <v>31038.9354174672</v>
      </c>
      <c r="H18" s="50" t="n">
        <f aca="false">IF(B18=0,T_max*i_g*eta_t/r_w,MIN(T_max*i_g*eta_t/r_w,eta_t*P_cont*1000/B18))</f>
        <v>27886.1538461538</v>
      </c>
      <c r="I18" s="50" t="n">
        <f aca="false">mu_us*M_calc*g_acc</f>
        <v>21138.0975</v>
      </c>
      <c r="J18" s="50" t="n">
        <f aca="false">mu_perf*M_calc*g_acc</f>
        <v>29842.02</v>
      </c>
      <c r="K18" s="50" t="n">
        <f aca="false">MIN(G18,I18)</f>
        <v>21138.0975</v>
      </c>
      <c r="L18" s="50" t="n">
        <f aca="false">MIN(G18,J18)</f>
        <v>29842.02</v>
      </c>
      <c r="M18" s="19" t="n">
        <f aca="false">(K18-E18)/(delta_m*M_calc)</f>
        <v>8.17849733539095</v>
      </c>
      <c r="N18" s="19" t="n">
        <f aca="false">(L18-E18)/(delta_m*M_calc)</f>
        <v>11.6119973353909</v>
      </c>
      <c r="O18" s="19" t="n">
        <f aca="false">O17+(B18-B17)/((M18+M17)/2)</f>
        <v>2.20011952639687</v>
      </c>
      <c r="P18" s="19" t="n">
        <f aca="false">P17+(B18-B17)/((N18+N17)/2)</f>
        <v>1.55114717369505</v>
      </c>
      <c r="Q18" s="50" t="n">
        <f aca="false">E18*B18/eta_t/1000</f>
        <v>7.70890031022128</v>
      </c>
      <c r="R18" s="50" t="n">
        <f aca="false">F18*B18/eta_t/1000</f>
        <v>54.7105962267928</v>
      </c>
      <c r="S18" s="50" t="n">
        <f aca="false">P_vf</f>
        <v>860</v>
      </c>
      <c r="T18" s="50" t="n">
        <f aca="false">P_cont</f>
        <v>530</v>
      </c>
      <c r="U18" s="50" t="n">
        <f aca="false">B18/(2*PI()*r_w)*60*i_g</f>
        <v>2816.66666666667</v>
      </c>
    </row>
    <row r="19" customFormat="false" ht="15" hidden="false" customHeight="false" outlineLevel="0" collapsed="false">
      <c r="A19" s="49" t="n">
        <v>70</v>
      </c>
      <c r="B19" s="19" t="n">
        <f aca="false">A19/3.6</f>
        <v>19.4444444444444</v>
      </c>
      <c r="C19" s="50" t="n">
        <f aca="false">0.5*rho_aer*C_x*A_f*B19^2</f>
        <v>124.311033950617</v>
      </c>
      <c r="D19" s="50" t="n">
        <f aca="false">f_r*M_calc*g_acc</f>
        <v>298.4202</v>
      </c>
      <c r="E19" s="50" t="n">
        <f aca="false">C19+D19</f>
        <v>422.731233950617</v>
      </c>
      <c r="F19" s="50" t="n">
        <f aca="false">C19+M_calc*g_acc*(f_r*COS(ATAN(p_1/100))+SIN(ATAN(p_1/100)))</f>
        <v>2895.74354217638</v>
      </c>
      <c r="G19" s="50" t="n">
        <f aca="false">IF(B19=0,T_max*i_g*eta_t/r_w,MIN(T_max*i_g*eta_t/r_w,eta_t*P_vf*1000/B19))</f>
        <v>31038.9354174672</v>
      </c>
      <c r="H19" s="50" t="n">
        <f aca="false">IF(B19=0,T_max*i_g*eta_t/r_w,MIN(T_max*i_g*eta_t/r_w,eta_t*P_cont*1000/B19))</f>
        <v>25894.2857142857</v>
      </c>
      <c r="I19" s="50" t="n">
        <f aca="false">mu_us*M_calc*g_acc</f>
        <v>21138.0975</v>
      </c>
      <c r="J19" s="50" t="n">
        <f aca="false">mu_perf*M_calc*g_acc</f>
        <v>29842.02</v>
      </c>
      <c r="K19" s="50" t="n">
        <f aca="false">MIN(G19,I19)</f>
        <v>21138.0975</v>
      </c>
      <c r="L19" s="50" t="n">
        <f aca="false">MIN(G19,J19)</f>
        <v>29842.02</v>
      </c>
      <c r="M19" s="19" t="n">
        <f aca="false">(K19-E19)/(delta_m*M_calc)</f>
        <v>8.17174211678477</v>
      </c>
      <c r="N19" s="19" t="n">
        <f aca="false">(L19-E19)/(delta_m*M_calc)</f>
        <v>11.6052421167848</v>
      </c>
      <c r="O19" s="19" t="n">
        <f aca="false">O18+(B19-B18)/((M19+M18)/2)</f>
        <v>2.37001170356667</v>
      </c>
      <c r="P19" s="19" t="n">
        <f aca="false">P18+(B19-B18)/((N19+N18)/2)</f>
        <v>1.6707900702375</v>
      </c>
      <c r="Q19" s="50" t="n">
        <f aca="false">E19*B19/eta_t/1000</f>
        <v>8.65239367735182</v>
      </c>
      <c r="R19" s="50" t="n">
        <f aca="false">F19*B19/eta_t/1000</f>
        <v>59.2696046644288</v>
      </c>
      <c r="S19" s="50" t="n">
        <f aca="false">P_vf</f>
        <v>860</v>
      </c>
      <c r="T19" s="50" t="n">
        <f aca="false">P_cont</f>
        <v>530</v>
      </c>
      <c r="U19" s="50" t="n">
        <f aca="false">B19/(2*PI()*r_w)*60*i_g</f>
        <v>3033.33333333333</v>
      </c>
    </row>
    <row r="20" customFormat="false" ht="15" hidden="false" customHeight="false" outlineLevel="0" collapsed="false">
      <c r="A20" s="49" t="n">
        <v>75</v>
      </c>
      <c r="B20" s="19" t="n">
        <f aca="false">A20/3.6</f>
        <v>20.8333333333333</v>
      </c>
      <c r="C20" s="50" t="n">
        <f aca="false">0.5*rho_aer*C_x*A_f*B20^2</f>
        <v>142.703993055556</v>
      </c>
      <c r="D20" s="50" t="n">
        <f aca="false">f_r*M_calc*g_acc</f>
        <v>298.4202</v>
      </c>
      <c r="E20" s="50" t="n">
        <f aca="false">C20+D20</f>
        <v>441.124193055556</v>
      </c>
      <c r="F20" s="50" t="n">
        <f aca="false">C20+M_calc*g_acc*(f_r*COS(ATAN(p_1/100))+SIN(ATAN(p_1/100)))</f>
        <v>2914.13650128132</v>
      </c>
      <c r="G20" s="50" t="n">
        <f aca="false">IF(B20=0,T_max*i_g*eta_t/r_w,MIN(T_max*i_g*eta_t/r_w,eta_t*P_vf*1000/B20))</f>
        <v>31038.9354174672</v>
      </c>
      <c r="H20" s="50" t="n">
        <f aca="false">IF(B20=0,T_max*i_g*eta_t/r_w,MIN(T_max*i_g*eta_t/r_w,eta_t*P_cont*1000/B20))</f>
        <v>24168</v>
      </c>
      <c r="I20" s="50" t="n">
        <f aca="false">mu_us*M_calc*g_acc</f>
        <v>21138.0975</v>
      </c>
      <c r="J20" s="50" t="n">
        <f aca="false">mu_perf*M_calc*g_acc</f>
        <v>29842.02</v>
      </c>
      <c r="K20" s="50" t="n">
        <f aca="false">MIN(G20,I20)</f>
        <v>21138.0975</v>
      </c>
      <c r="L20" s="50" t="n">
        <f aca="false">MIN(G20,J20)</f>
        <v>29842.02</v>
      </c>
      <c r="M20" s="19" t="n">
        <f aca="false">(K20-E20)/(delta_m*M_calc)</f>
        <v>8.16448651161517</v>
      </c>
      <c r="N20" s="19" t="n">
        <f aca="false">(L20-E20)/(delta_m*M_calc)</f>
        <v>11.5979865116152</v>
      </c>
      <c r="O20" s="19" t="n">
        <f aca="false">O19+(B20-B19)/((M20+M19)/2)</f>
        <v>2.54004958935806</v>
      </c>
      <c r="P20" s="19" t="n">
        <f aca="false">P19+(B20-B19)/((N20+N19)/2)</f>
        <v>1.79050521084417</v>
      </c>
      <c r="Q20" s="50" t="n">
        <f aca="false">E20*B20/eta_t/1000</f>
        <v>9.67377616349903</v>
      </c>
      <c r="R20" s="50" t="n">
        <f aca="false">F20*B20/eta_t/1000</f>
        <v>63.9065022210815</v>
      </c>
      <c r="S20" s="50" t="n">
        <f aca="false">P_vf</f>
        <v>860</v>
      </c>
      <c r="T20" s="50" t="n">
        <f aca="false">P_cont</f>
        <v>530</v>
      </c>
      <c r="U20" s="50" t="n">
        <f aca="false">B20/(2*PI()*r_w)*60*i_g</f>
        <v>3250</v>
      </c>
    </row>
    <row r="21" customFormat="false" ht="15" hidden="false" customHeight="false" outlineLevel="0" collapsed="false">
      <c r="A21" s="49" t="n">
        <v>80</v>
      </c>
      <c r="B21" s="19" t="n">
        <f aca="false">A21/3.6</f>
        <v>22.2222222222222</v>
      </c>
      <c r="C21" s="50" t="n">
        <f aca="false">0.5*rho_aer*C_x*A_f*B21^2</f>
        <v>162.365432098765</v>
      </c>
      <c r="D21" s="50" t="n">
        <f aca="false">f_r*M_calc*g_acc</f>
        <v>298.4202</v>
      </c>
      <c r="E21" s="50" t="n">
        <f aca="false">C21+D21</f>
        <v>460.785632098765</v>
      </c>
      <c r="F21" s="50" t="n">
        <f aca="false">C21+M_calc*g_acc*(f_r*COS(ATAN(p_1/100))+SIN(ATAN(p_1/100)))</f>
        <v>2933.79794032453</v>
      </c>
      <c r="G21" s="50" t="n">
        <f aca="false">IF(B21=0,T_max*i_g*eta_t/r_w,MIN(T_max*i_g*eta_t/r_w,eta_t*P_vf*1000/B21))</f>
        <v>31038.9354174672</v>
      </c>
      <c r="H21" s="50" t="n">
        <f aca="false">IF(B21=0,T_max*i_g*eta_t/r_w,MIN(T_max*i_g*eta_t/r_w,eta_t*P_cont*1000/B21))</f>
        <v>22657.5</v>
      </c>
      <c r="I21" s="50" t="n">
        <f aca="false">mu_us*M_calc*g_acc</f>
        <v>21138.0975</v>
      </c>
      <c r="J21" s="50" t="n">
        <f aca="false">mu_perf*M_calc*g_acc</f>
        <v>29842.02</v>
      </c>
      <c r="K21" s="50" t="n">
        <f aca="false">MIN(G21,I21)</f>
        <v>21138.0975</v>
      </c>
      <c r="L21" s="50" t="n">
        <f aca="false">MIN(G21,J21)</f>
        <v>29842.02</v>
      </c>
      <c r="M21" s="19" t="n">
        <f aca="false">(K21-E21)/(delta_m*M_calc)</f>
        <v>8.15673051988214</v>
      </c>
      <c r="N21" s="19" t="n">
        <f aca="false">(L21-E21)/(delta_m*M_calc)</f>
        <v>11.5902305198821</v>
      </c>
      <c r="O21" s="19" t="n">
        <f aca="false">O20+(B21-B20)/((M21+M20)/2)</f>
        <v>2.71024386913616</v>
      </c>
      <c r="P21" s="19" t="n">
        <f aca="false">P20+(B21-B20)/((N21+N20)/2)</f>
        <v>1.91029785268484</v>
      </c>
      <c r="Q21" s="50" t="n">
        <f aca="false">E21*B21/eta_t/1000</f>
        <v>10.7786112771641</v>
      </c>
      <c r="R21" s="50" t="n">
        <f aca="false">F21*B21/eta_t/1000</f>
        <v>68.6268524052521</v>
      </c>
      <c r="S21" s="50" t="n">
        <f aca="false">P_vf</f>
        <v>860</v>
      </c>
      <c r="T21" s="50" t="n">
        <f aca="false">P_cont</f>
        <v>530</v>
      </c>
      <c r="U21" s="50" t="n">
        <f aca="false">B21/(2*PI()*r_w)*60*i_g</f>
        <v>3466.66666666667</v>
      </c>
    </row>
    <row r="22" customFormat="false" ht="15" hidden="false" customHeight="false" outlineLevel="0" collapsed="false">
      <c r="A22" s="49" t="n">
        <v>85</v>
      </c>
      <c r="B22" s="19" t="n">
        <f aca="false">A22/3.6</f>
        <v>23.6111111111111</v>
      </c>
      <c r="C22" s="50" t="n">
        <f aca="false">0.5*rho_aer*C_x*A_f*B22^2</f>
        <v>183.295351080247</v>
      </c>
      <c r="D22" s="50" t="n">
        <f aca="false">f_r*M_calc*g_acc</f>
        <v>298.4202</v>
      </c>
      <c r="E22" s="50" t="n">
        <f aca="false">C22+D22</f>
        <v>481.715551080247</v>
      </c>
      <c r="F22" s="50" t="n">
        <f aca="false">C22+M_calc*g_acc*(f_r*COS(ATAN(p_1/100))+SIN(ATAN(p_1/100)))</f>
        <v>2954.72785930601</v>
      </c>
      <c r="G22" s="50" t="n">
        <f aca="false">IF(B22=0,T_max*i_g*eta_t/r_w,MIN(T_max*i_g*eta_t/r_w,eta_t*P_vf*1000/B22))</f>
        <v>31038.9354174672</v>
      </c>
      <c r="H22" s="50" t="n">
        <f aca="false">IF(B22=0,T_max*i_g*eta_t/r_w,MIN(T_max*i_g*eta_t/r_w,eta_t*P_cont*1000/B22))</f>
        <v>21324.7058823529</v>
      </c>
      <c r="I22" s="50" t="n">
        <f aca="false">mu_us*M_calc*g_acc</f>
        <v>21138.0975</v>
      </c>
      <c r="J22" s="50" t="n">
        <f aca="false">mu_perf*M_calc*g_acc</f>
        <v>29842.02</v>
      </c>
      <c r="K22" s="50" t="n">
        <f aca="false">MIN(G22,I22)</f>
        <v>21138.0975</v>
      </c>
      <c r="L22" s="50" t="n">
        <f aca="false">MIN(G22,J22)</f>
        <v>29842.02</v>
      </c>
      <c r="M22" s="19" t="n">
        <f aca="false">(K22-E22)/(delta_m*M_calc)</f>
        <v>8.1484741415857</v>
      </c>
      <c r="N22" s="19" t="n">
        <f aca="false">(L22-E22)/(delta_m*M_calc)</f>
        <v>11.5819741415857</v>
      </c>
      <c r="O22" s="19" t="n">
        <f aca="false">O21+(B22-B21)/((M22+M21)/2)</f>
        <v>2.88060528657621</v>
      </c>
      <c r="P22" s="19" t="n">
        <f aca="false">P21+(B22-B21)/((N22+N21)/2)</f>
        <v>2.03017327318796</v>
      </c>
      <c r="Q22" s="50" t="n">
        <f aca="false">E22*B22/eta_t/1000</f>
        <v>11.9724625268482</v>
      </c>
      <c r="R22" s="50" t="n">
        <f aca="false">F22*B22/eta_t/1000</f>
        <v>73.4362187254417</v>
      </c>
      <c r="S22" s="50" t="n">
        <f aca="false">P_vf</f>
        <v>860</v>
      </c>
      <c r="T22" s="50" t="n">
        <f aca="false">P_cont</f>
        <v>530</v>
      </c>
      <c r="U22" s="50" t="n">
        <f aca="false">B22/(2*PI()*r_w)*60*i_g</f>
        <v>3683.33333333333</v>
      </c>
    </row>
    <row r="23" customFormat="false" ht="15" hidden="false" customHeight="false" outlineLevel="0" collapsed="false">
      <c r="A23" s="49" t="n">
        <v>90</v>
      </c>
      <c r="B23" s="19" t="n">
        <f aca="false">A23/3.6</f>
        <v>25</v>
      </c>
      <c r="C23" s="50" t="n">
        <f aca="false">0.5*rho_aer*C_x*A_f*B23^2</f>
        <v>205.49375</v>
      </c>
      <c r="D23" s="50" t="n">
        <f aca="false">f_r*M_calc*g_acc</f>
        <v>298.4202</v>
      </c>
      <c r="E23" s="50" t="n">
        <f aca="false">C23+D23</f>
        <v>503.91395</v>
      </c>
      <c r="F23" s="50" t="n">
        <f aca="false">C23+M_calc*g_acc*(f_r*COS(ATAN(p_1/100))+SIN(ATAN(p_1/100)))</f>
        <v>2976.92625822576</v>
      </c>
      <c r="G23" s="50" t="n">
        <f aca="false">IF(B23=0,T_max*i_g*eta_t/r_w,MIN(T_max*i_g*eta_t/r_w,eta_t*P_vf*1000/B23))</f>
        <v>31038.9354174672</v>
      </c>
      <c r="H23" s="50" t="n">
        <f aca="false">IF(B23=0,T_max*i_g*eta_t/r_w,MIN(T_max*i_g*eta_t/r_w,eta_t*P_cont*1000/B23))</f>
        <v>20140</v>
      </c>
      <c r="I23" s="50" t="n">
        <f aca="false">mu_us*M_calc*g_acc</f>
        <v>21138.0975</v>
      </c>
      <c r="J23" s="50" t="n">
        <f aca="false">mu_perf*M_calc*g_acc</f>
        <v>29842.02</v>
      </c>
      <c r="K23" s="50" t="n">
        <f aca="false">MIN(G23,I23)</f>
        <v>21138.0975</v>
      </c>
      <c r="L23" s="50" t="n">
        <f aca="false">MIN(G23,J23)</f>
        <v>29842.02</v>
      </c>
      <c r="M23" s="19" t="n">
        <f aca="false">(K23-E23)/(delta_m*M_calc)</f>
        <v>8.13971737672584</v>
      </c>
      <c r="N23" s="19" t="n">
        <f aca="false">(L23-E23)/(delta_m*M_calc)</f>
        <v>11.5732173767258</v>
      </c>
      <c r="O23" s="19" t="n">
        <f aca="false">O22+(B23-B22)/((M23+M22)/2)</f>
        <v>3.0511446478463</v>
      </c>
      <c r="P23" s="19" t="n">
        <f aca="false">P22+(B23-B22)/((N23+N22)/2)</f>
        <v>2.15013677146354</v>
      </c>
      <c r="Q23" s="50" t="n">
        <f aca="false">E23*B23/eta_t/1000</f>
        <v>13.2608934210526</v>
      </c>
      <c r="R23" s="50" t="n">
        <f aca="false">F23*B23/eta_t/1000</f>
        <v>78.3401646901516</v>
      </c>
      <c r="S23" s="50" t="n">
        <f aca="false">P_vf</f>
        <v>860</v>
      </c>
      <c r="T23" s="50" t="n">
        <f aca="false">P_cont</f>
        <v>530</v>
      </c>
      <c r="U23" s="50" t="n">
        <f aca="false">B23/(2*PI()*r_w)*60*i_g</f>
        <v>3900</v>
      </c>
    </row>
    <row r="24" customFormat="false" ht="15" hidden="false" customHeight="false" outlineLevel="0" collapsed="false">
      <c r="A24" s="49" t="n">
        <v>95</v>
      </c>
      <c r="B24" s="19" t="n">
        <f aca="false">A24/3.6</f>
        <v>26.3888888888889</v>
      </c>
      <c r="C24" s="50" t="n">
        <f aca="false">0.5*rho_aer*C_x*A_f*B24^2</f>
        <v>228.960628858025</v>
      </c>
      <c r="D24" s="50" t="n">
        <f aca="false">f_r*M_calc*g_acc</f>
        <v>298.4202</v>
      </c>
      <c r="E24" s="50" t="n">
        <f aca="false">C24+D24</f>
        <v>527.380828858025</v>
      </c>
      <c r="F24" s="50" t="n">
        <f aca="false">C24+M_calc*g_acc*(f_r*COS(ATAN(p_1/100))+SIN(ATAN(p_1/100)))</f>
        <v>3000.39313708379</v>
      </c>
      <c r="G24" s="50" t="n">
        <f aca="false">IF(B24=0,T_max*i_g*eta_t/r_w,MIN(T_max*i_g*eta_t/r_w,eta_t*P_vf*1000/B24))</f>
        <v>30960</v>
      </c>
      <c r="H24" s="50" t="n">
        <f aca="false">IF(B24=0,T_max*i_g*eta_t/r_w,MIN(T_max*i_g*eta_t/r_w,eta_t*P_cont*1000/B24))</f>
        <v>19080</v>
      </c>
      <c r="I24" s="50" t="n">
        <f aca="false">mu_us*M_calc*g_acc</f>
        <v>21138.0975</v>
      </c>
      <c r="J24" s="50" t="n">
        <f aca="false">mu_perf*M_calc*g_acc</f>
        <v>29842.02</v>
      </c>
      <c r="K24" s="50" t="n">
        <f aca="false">MIN(G24,I24)</f>
        <v>21138.0975</v>
      </c>
      <c r="L24" s="50" t="n">
        <f aca="false">MIN(G24,J24)</f>
        <v>29842.02</v>
      </c>
      <c r="M24" s="19" t="n">
        <f aca="false">(K24-E24)/(delta_m*M_calc)</f>
        <v>8.13046022530256</v>
      </c>
      <c r="N24" s="19" t="n">
        <f aca="false">(L24-E24)/(delta_m*M_calc)</f>
        <v>11.5639602253026</v>
      </c>
      <c r="O24" s="19" t="n">
        <f aca="false">O23+(B24-B23)/((M24+M23)/2)</f>
        <v>3.22187282584919</v>
      </c>
      <c r="P24" s="19" t="n">
        <f aca="false">P23+(B24-B23)/((N24+N23)/2)</f>
        <v>2.27019366974029</v>
      </c>
      <c r="Q24" s="50" t="n">
        <f aca="false">E24*B24/eta_t/1000</f>
        <v>14.6494674682785</v>
      </c>
      <c r="R24" s="50" t="n">
        <f aca="false">F24*B24/eta_t/1000</f>
        <v>83.344253807883</v>
      </c>
      <c r="S24" s="50" t="n">
        <f aca="false">P_vf</f>
        <v>860</v>
      </c>
      <c r="T24" s="50" t="n">
        <f aca="false">P_cont</f>
        <v>530</v>
      </c>
      <c r="U24" s="50" t="n">
        <f aca="false">B24/(2*PI()*r_w)*60*i_g</f>
        <v>4116.66666666667</v>
      </c>
    </row>
    <row r="25" customFormat="false" ht="15" hidden="false" customHeight="false" outlineLevel="0" collapsed="false">
      <c r="A25" s="49" t="n">
        <v>100</v>
      </c>
      <c r="B25" s="19" t="n">
        <f aca="false">A25/3.6</f>
        <v>27.7777777777778</v>
      </c>
      <c r="C25" s="50" t="n">
        <f aca="false">0.5*rho_aer*C_x*A_f*B25^2</f>
        <v>253.695987654321</v>
      </c>
      <c r="D25" s="50" t="n">
        <f aca="false">f_r*M_calc*g_acc</f>
        <v>298.4202</v>
      </c>
      <c r="E25" s="50" t="n">
        <f aca="false">C25+D25</f>
        <v>552.116187654321</v>
      </c>
      <c r="F25" s="50" t="n">
        <f aca="false">C25+M_calc*g_acc*(f_r*COS(ATAN(p_1/100))+SIN(ATAN(p_1/100)))</f>
        <v>3025.12849588008</v>
      </c>
      <c r="G25" s="50" t="n">
        <f aca="false">IF(B25=0,T_max*i_g*eta_t/r_w,MIN(T_max*i_g*eta_t/r_w,eta_t*P_vf*1000/B25))</f>
        <v>29412</v>
      </c>
      <c r="H25" s="50" t="n">
        <f aca="false">IF(B25=0,T_max*i_g*eta_t/r_w,MIN(T_max*i_g*eta_t/r_w,eta_t*P_cont*1000/B25))</f>
        <v>18126</v>
      </c>
      <c r="I25" s="50" t="n">
        <f aca="false">mu_us*M_calc*g_acc</f>
        <v>21138.0975</v>
      </c>
      <c r="J25" s="50" t="n">
        <f aca="false">mu_perf*M_calc*g_acc</f>
        <v>29842.02</v>
      </c>
      <c r="K25" s="50" t="n">
        <f aca="false">MIN(G25,I25)</f>
        <v>21138.0975</v>
      </c>
      <c r="L25" s="50" t="n">
        <f aca="false">MIN(G25,J25)</f>
        <v>29412</v>
      </c>
      <c r="M25" s="19" t="n">
        <f aca="false">(K25-E25)/(delta_m*M_calc)</f>
        <v>8.12070268731585</v>
      </c>
      <c r="N25" s="19" t="n">
        <f aca="false">(L25-E25)/(delta_m*M_calc)</f>
        <v>11.3845695512212</v>
      </c>
      <c r="O25" s="19" t="n">
        <f aca="false">O24+(B25-B24)/((M25+M24)/2)</f>
        <v>3.39280076452741</v>
      </c>
      <c r="P25" s="19" t="n">
        <f aca="false">P24+(B25-B24)/((N25+N24)/2)</f>
        <v>2.39123749280121</v>
      </c>
      <c r="Q25" s="50" t="n">
        <f aca="false">E25*B25/eta_t/1000</f>
        <v>16.1437481770269</v>
      </c>
      <c r="R25" s="50" t="n">
        <f aca="false">F25*B25/eta_t/1000</f>
        <v>88.4540495871369</v>
      </c>
      <c r="S25" s="50" t="n">
        <f aca="false">P_vf</f>
        <v>860</v>
      </c>
      <c r="T25" s="50" t="n">
        <f aca="false">P_cont</f>
        <v>530</v>
      </c>
      <c r="U25" s="50" t="n">
        <f aca="false">B25/(2*PI()*r_w)*60*i_g</f>
        <v>4333.33333333333</v>
      </c>
    </row>
    <row r="26" customFormat="false" ht="15" hidden="false" customHeight="false" outlineLevel="0" collapsed="false">
      <c r="A26" s="49" t="n">
        <v>105</v>
      </c>
      <c r="B26" s="19" t="n">
        <f aca="false">A26/3.6</f>
        <v>29.1666666666667</v>
      </c>
      <c r="C26" s="50" t="n">
        <f aca="false">0.5*rho_aer*C_x*A_f*B26^2</f>
        <v>279.699826388889</v>
      </c>
      <c r="D26" s="50" t="n">
        <f aca="false">f_r*M_calc*g_acc</f>
        <v>298.4202</v>
      </c>
      <c r="E26" s="50" t="n">
        <f aca="false">C26+D26</f>
        <v>578.120026388889</v>
      </c>
      <c r="F26" s="50" t="n">
        <f aca="false">C26+M_calc*g_acc*(f_r*COS(ATAN(p_1/100))+SIN(ATAN(p_1/100)))</f>
        <v>3051.13233461465</v>
      </c>
      <c r="G26" s="50" t="n">
        <f aca="false">IF(B26=0,T_max*i_g*eta_t/r_w,MIN(T_max*i_g*eta_t/r_w,eta_t*P_vf*1000/B26))</f>
        <v>28011.4285714286</v>
      </c>
      <c r="H26" s="50" t="n">
        <f aca="false">IF(B26=0,T_max*i_g*eta_t/r_w,MIN(T_max*i_g*eta_t/r_w,eta_t*P_cont*1000/B26))</f>
        <v>17262.8571428571</v>
      </c>
      <c r="I26" s="50" t="n">
        <f aca="false">mu_us*M_calc*g_acc</f>
        <v>21138.0975</v>
      </c>
      <c r="J26" s="50" t="n">
        <f aca="false">mu_perf*M_calc*g_acc</f>
        <v>29842.02</v>
      </c>
      <c r="K26" s="50" t="n">
        <f aca="false">MIN(G26,I26)</f>
        <v>21138.0975</v>
      </c>
      <c r="L26" s="50" t="n">
        <f aca="false">MIN(G26,J26)</f>
        <v>28011.4285714286</v>
      </c>
      <c r="M26" s="19" t="n">
        <f aca="false">(K26-E26)/(delta_m*M_calc)</f>
        <v>8.11044476276572</v>
      </c>
      <c r="N26" s="19" t="n">
        <f aca="false">(L26-E26)/(delta_m*M_calc)</f>
        <v>10.8218179664851</v>
      </c>
      <c r="O26" s="19" t="n">
        <f aca="false">O25+(B26-B25)/((M26+M25)/2)</f>
        <v>3.56393948323604</v>
      </c>
      <c r="P26" s="19" t="n">
        <f aca="false">P25+(B26-B25)/((N26+N25)/2)</f>
        <v>2.51632662652739</v>
      </c>
      <c r="Q26" s="50" t="n">
        <f aca="false">E26*B26/eta_t/1000</f>
        <v>17.7492990557992</v>
      </c>
      <c r="R26" s="50" t="n">
        <f aca="false">F26*B26/eta_t/1000</f>
        <v>93.6751155364147</v>
      </c>
      <c r="S26" s="50" t="n">
        <f aca="false">P_vf</f>
        <v>860</v>
      </c>
      <c r="T26" s="50" t="n">
        <f aca="false">P_cont</f>
        <v>530</v>
      </c>
      <c r="U26" s="50" t="n">
        <f aca="false">B26/(2*PI()*r_w)*60*i_g</f>
        <v>4550</v>
      </c>
    </row>
    <row r="27" customFormat="false" ht="15" hidden="false" customHeight="false" outlineLevel="0" collapsed="false">
      <c r="A27" s="49" t="n">
        <v>110</v>
      </c>
      <c r="B27" s="19" t="n">
        <f aca="false">A27/3.6</f>
        <v>30.5555555555556</v>
      </c>
      <c r="C27" s="50" t="n">
        <f aca="false">0.5*rho_aer*C_x*A_f*B27^2</f>
        <v>306.972145061728</v>
      </c>
      <c r="D27" s="50" t="n">
        <f aca="false">f_r*M_calc*g_acc</f>
        <v>298.4202</v>
      </c>
      <c r="E27" s="50" t="n">
        <f aca="false">C27+D27</f>
        <v>605.392345061728</v>
      </c>
      <c r="F27" s="50" t="n">
        <f aca="false">C27+M_calc*g_acc*(f_r*COS(ATAN(p_1/100))+SIN(ATAN(p_1/100)))</f>
        <v>3078.40465328749</v>
      </c>
      <c r="G27" s="50" t="n">
        <f aca="false">IF(B27=0,T_max*i_g*eta_t/r_w,MIN(T_max*i_g*eta_t/r_w,eta_t*P_vf*1000/B27))</f>
        <v>26738.1818181818</v>
      </c>
      <c r="H27" s="50" t="n">
        <f aca="false">IF(B27=0,T_max*i_g*eta_t/r_w,MIN(T_max*i_g*eta_t/r_w,eta_t*P_cont*1000/B27))</f>
        <v>16478.1818181818</v>
      </c>
      <c r="I27" s="50" t="n">
        <f aca="false">mu_us*M_calc*g_acc</f>
        <v>21138.0975</v>
      </c>
      <c r="J27" s="50" t="n">
        <f aca="false">mu_perf*M_calc*g_acc</f>
        <v>29842.02</v>
      </c>
      <c r="K27" s="50" t="n">
        <f aca="false">MIN(G27,I27)</f>
        <v>21138.0975</v>
      </c>
      <c r="L27" s="50" t="n">
        <f aca="false">MIN(G27,J27)</f>
        <v>26738.1818181818</v>
      </c>
      <c r="M27" s="19" t="n">
        <f aca="false">(K27-E27)/(delta_m*M_calc)</f>
        <v>8.09968645165218</v>
      </c>
      <c r="N27" s="19" t="n">
        <f aca="false">(L27-E27)/(delta_m*M_calc)</f>
        <v>10.3087926915661</v>
      </c>
      <c r="O27" s="19" t="n">
        <f aca="false">O26+(B27-B26)/((M27+M26)/2)</f>
        <v>3.73530008118771</v>
      </c>
      <c r="P27" s="19" t="n">
        <f aca="false">P26+(B27-B26)/((N27+N26)/2)</f>
        <v>2.64778415147684</v>
      </c>
      <c r="Q27" s="50" t="n">
        <f aca="false">E27*B27/eta_t/1000</f>
        <v>19.4716836130965</v>
      </c>
      <c r="R27" s="50" t="n">
        <f aca="false">F27*B27/eta_t/1000</f>
        <v>99.0130151642175</v>
      </c>
      <c r="S27" s="50" t="n">
        <f aca="false">P_vf</f>
        <v>860</v>
      </c>
      <c r="T27" s="50" t="n">
        <f aca="false">P_cont</f>
        <v>530</v>
      </c>
      <c r="U27" s="50" t="n">
        <f aca="false">B27/(2*PI()*r_w)*60*i_g</f>
        <v>4766.66666666667</v>
      </c>
    </row>
    <row r="28" customFormat="false" ht="15" hidden="false" customHeight="false" outlineLevel="0" collapsed="false">
      <c r="A28" s="49" t="n">
        <v>115</v>
      </c>
      <c r="B28" s="19" t="n">
        <f aca="false">A28/3.6</f>
        <v>31.9444444444444</v>
      </c>
      <c r="C28" s="50" t="n">
        <f aca="false">0.5*rho_aer*C_x*A_f*B28^2</f>
        <v>335.51294367284</v>
      </c>
      <c r="D28" s="50" t="n">
        <f aca="false">f_r*M_calc*g_acc</f>
        <v>298.4202</v>
      </c>
      <c r="E28" s="50" t="n">
        <f aca="false">C28+D28</f>
        <v>633.93314367284</v>
      </c>
      <c r="F28" s="50" t="n">
        <f aca="false">C28+M_calc*g_acc*(f_r*COS(ATAN(p_1/100))+SIN(ATAN(p_1/100)))</f>
        <v>3106.9454518986</v>
      </c>
      <c r="G28" s="50" t="n">
        <f aca="false">IF(B28=0,T_max*i_g*eta_t/r_w,MIN(T_max*i_g*eta_t/r_w,eta_t*P_vf*1000/B28))</f>
        <v>25575.652173913</v>
      </c>
      <c r="H28" s="50" t="n">
        <f aca="false">IF(B28=0,T_max*i_g*eta_t/r_w,MIN(T_max*i_g*eta_t/r_w,eta_t*P_cont*1000/B28))</f>
        <v>15761.7391304348</v>
      </c>
      <c r="I28" s="50" t="n">
        <f aca="false">mu_us*M_calc*g_acc</f>
        <v>21138.0975</v>
      </c>
      <c r="J28" s="50" t="n">
        <f aca="false">mu_perf*M_calc*g_acc</f>
        <v>29842.02</v>
      </c>
      <c r="K28" s="50" t="n">
        <f aca="false">MIN(G28,I28)</f>
        <v>21138.0975</v>
      </c>
      <c r="L28" s="50" t="n">
        <f aca="false">MIN(G28,J28)</f>
        <v>25575.652173913</v>
      </c>
      <c r="M28" s="19" t="n">
        <f aca="false">(K28-E28)/(delta_m*M_calc)</f>
        <v>8.08842775397521</v>
      </c>
      <c r="N28" s="19" t="n">
        <f aca="false">(L28-E28)/(delta_m*M_calc)</f>
        <v>9.83894241824071</v>
      </c>
      <c r="O28" s="19" t="n">
        <f aca="false">O27+(B28-B27)/((M28+M27)/2)</f>
        <v>3.90689374197448</v>
      </c>
      <c r="P28" s="19" t="n">
        <f aca="false">P27+(B28-B27)/((N28+N27)/2)</f>
        <v>2.78565462488929</v>
      </c>
      <c r="Q28" s="50" t="n">
        <f aca="false">E28*B28/eta_t/1000</f>
        <v>21.31646535742</v>
      </c>
      <c r="R28" s="50" t="n">
        <f aca="false">F28*B28/eta_t/1000</f>
        <v>104.473311979047</v>
      </c>
      <c r="S28" s="50" t="n">
        <f aca="false">P_vf</f>
        <v>860</v>
      </c>
      <c r="T28" s="50" t="n">
        <f aca="false">P_cont</f>
        <v>530</v>
      </c>
      <c r="U28" s="50" t="n">
        <f aca="false">B28/(2*PI()*r_w)*60*i_g</f>
        <v>4983.33333333333</v>
      </c>
    </row>
    <row r="29" customFormat="false" ht="15" hidden="false" customHeight="false" outlineLevel="0" collapsed="false">
      <c r="A29" s="49" t="n">
        <v>120</v>
      </c>
      <c r="B29" s="19" t="n">
        <f aca="false">A29/3.6</f>
        <v>33.3333333333333</v>
      </c>
      <c r="C29" s="50" t="n">
        <f aca="false">0.5*rho_aer*C_x*A_f*B29^2</f>
        <v>365.322222222222</v>
      </c>
      <c r="D29" s="50" t="n">
        <f aca="false">f_r*M_calc*g_acc</f>
        <v>298.4202</v>
      </c>
      <c r="E29" s="50" t="n">
        <f aca="false">C29+D29</f>
        <v>663.742422222222</v>
      </c>
      <c r="F29" s="50" t="n">
        <f aca="false">C29+M_calc*g_acc*(f_r*COS(ATAN(p_1/100))+SIN(ATAN(p_1/100)))</f>
        <v>3136.75473044798</v>
      </c>
      <c r="G29" s="50" t="n">
        <f aca="false">IF(B29=0,T_max*i_g*eta_t/r_w,MIN(T_max*i_g*eta_t/r_w,eta_t*P_vf*1000/B29))</f>
        <v>24510</v>
      </c>
      <c r="H29" s="50" t="n">
        <f aca="false">IF(B29=0,T_max*i_g*eta_t/r_w,MIN(T_max*i_g*eta_t/r_w,eta_t*P_cont*1000/B29))</f>
        <v>15105</v>
      </c>
      <c r="I29" s="50" t="n">
        <f aca="false">mu_us*M_calc*g_acc</f>
        <v>21138.0975</v>
      </c>
      <c r="J29" s="50" t="n">
        <f aca="false">mu_perf*M_calc*g_acc</f>
        <v>29842.02</v>
      </c>
      <c r="K29" s="50" t="n">
        <f aca="false">MIN(G29,I29)</f>
        <v>21138.0975</v>
      </c>
      <c r="L29" s="50" t="n">
        <f aca="false">MIN(G29,J29)</f>
        <v>24510</v>
      </c>
      <c r="M29" s="19" t="n">
        <f aca="false">(K29-E29)/(delta_m*M_calc)</f>
        <v>8.07666866973482</v>
      </c>
      <c r="N29" s="19" t="n">
        <f aca="false">(L29-E29)/(delta_m*M_calc)</f>
        <v>9.40680772298926</v>
      </c>
      <c r="O29" s="19" t="n">
        <f aca="false">O28+(B29-B28)/((M29+M28)/2)</f>
        <v>4.07873173817124</v>
      </c>
      <c r="P29" s="19" t="n">
        <f aca="false">P28+(B29-B28)/((N29+N28)/2)</f>
        <v>2.92998663363895</v>
      </c>
      <c r="Q29" s="50" t="n">
        <f aca="false">E29*B29/eta_t/1000</f>
        <v>23.289207797271</v>
      </c>
      <c r="R29" s="50" t="n">
        <f aca="false">F29*B29/eta_t/1000</f>
        <v>110.061569489403</v>
      </c>
      <c r="S29" s="50" t="n">
        <f aca="false">P_vf</f>
        <v>860</v>
      </c>
      <c r="T29" s="50" t="n">
        <f aca="false">P_cont</f>
        <v>530</v>
      </c>
      <c r="U29" s="50" t="n">
        <f aca="false">B29/(2*PI()*r_w)*60*i_g</f>
        <v>5200</v>
      </c>
    </row>
    <row r="30" customFormat="false" ht="15" hidden="false" customHeight="false" outlineLevel="0" collapsed="false">
      <c r="A30" s="49" t="n">
        <v>125</v>
      </c>
      <c r="B30" s="19" t="n">
        <f aca="false">A30/3.6</f>
        <v>34.7222222222222</v>
      </c>
      <c r="C30" s="50" t="n">
        <f aca="false">0.5*rho_aer*C_x*A_f*B30^2</f>
        <v>396.399980709877</v>
      </c>
      <c r="D30" s="50" t="n">
        <f aca="false">f_r*M_calc*g_acc</f>
        <v>298.4202</v>
      </c>
      <c r="E30" s="50" t="n">
        <f aca="false">C30+D30</f>
        <v>694.820180709877</v>
      </c>
      <c r="F30" s="50" t="n">
        <f aca="false">C30+M_calc*g_acc*(f_r*COS(ATAN(p_1/100))+SIN(ATAN(p_1/100)))</f>
        <v>3167.83248893564</v>
      </c>
      <c r="G30" s="50" t="n">
        <f aca="false">IF(B30=0,T_max*i_g*eta_t/r_w,MIN(T_max*i_g*eta_t/r_w,eta_t*P_vf*1000/B30))</f>
        <v>23529.6</v>
      </c>
      <c r="H30" s="50" t="n">
        <f aca="false">IF(B30=0,T_max*i_g*eta_t/r_w,MIN(T_max*i_g*eta_t/r_w,eta_t*P_cont*1000/B30))</f>
        <v>14500.8</v>
      </c>
      <c r="I30" s="50" t="n">
        <f aca="false">mu_us*M_calc*g_acc</f>
        <v>21138.0975</v>
      </c>
      <c r="J30" s="50" t="n">
        <f aca="false">mu_perf*M_calc*g_acc</f>
        <v>29842.02</v>
      </c>
      <c r="K30" s="50" t="n">
        <f aca="false">MIN(G30,I30)</f>
        <v>21138.0975</v>
      </c>
      <c r="L30" s="50" t="n">
        <f aca="false">MIN(G30,J30)</f>
        <v>23529.6</v>
      </c>
      <c r="M30" s="19" t="n">
        <f aca="false">(K30-E30)/(delta_m*M_calc)</f>
        <v>8.06440919893102</v>
      </c>
      <c r="N30" s="19" t="n">
        <f aca="false">(L30-E30)/(delta_m*M_calc)</f>
        <v>9.00780269005528</v>
      </c>
      <c r="O30" s="19" t="n">
        <f aca="false">O29+(B30-B29)/((M30+M29)/2)</f>
        <v>4.25082543602584</v>
      </c>
      <c r="P30" s="19" t="n">
        <f aca="false">P29+(B30-B29)/((N30+N29)/2)</f>
        <v>3.08083303850289</v>
      </c>
      <c r="Q30" s="50" t="n">
        <f aca="false">E30*B30/eta_t/1000</f>
        <v>25.3954744411505</v>
      </c>
      <c r="R30" s="50" t="n">
        <f aca="false">F30*B30/eta_t/1000</f>
        <v>115.783351203788</v>
      </c>
      <c r="S30" s="50" t="n">
        <f aca="false">P_vf</f>
        <v>860</v>
      </c>
      <c r="T30" s="50" t="n">
        <f aca="false">P_cont</f>
        <v>530</v>
      </c>
      <c r="U30" s="50" t="n">
        <f aca="false">B30/(2*PI()*r_w)*60*i_g</f>
        <v>5416.66666666667</v>
      </c>
    </row>
    <row r="31" customFormat="false" ht="15" hidden="false" customHeight="false" outlineLevel="0" collapsed="false">
      <c r="A31" s="49" t="n">
        <v>130</v>
      </c>
      <c r="B31" s="19" t="n">
        <f aca="false">A31/3.6</f>
        <v>36.1111111111111</v>
      </c>
      <c r="C31" s="50" t="n">
        <f aca="false">0.5*rho_aer*C_x*A_f*B31^2</f>
        <v>428.746219135802</v>
      </c>
      <c r="D31" s="50" t="n">
        <f aca="false">f_r*M_calc*g_acc</f>
        <v>298.4202</v>
      </c>
      <c r="E31" s="50" t="n">
        <f aca="false">C31+D31</f>
        <v>727.166419135803</v>
      </c>
      <c r="F31" s="50" t="n">
        <f aca="false">C31+M_calc*g_acc*(f_r*COS(ATAN(p_1/100))+SIN(ATAN(p_1/100)))</f>
        <v>3200.17872736156</v>
      </c>
      <c r="G31" s="50" t="n">
        <f aca="false">IF(B31=0,T_max*i_g*eta_t/r_w,MIN(T_max*i_g*eta_t/r_w,eta_t*P_vf*1000/B31))</f>
        <v>22624.6153846154</v>
      </c>
      <c r="H31" s="50" t="n">
        <f aca="false">IF(B31=0,T_max*i_g*eta_t/r_w,MIN(T_max*i_g*eta_t/r_w,eta_t*P_cont*1000/B31))</f>
        <v>13943.0769230769</v>
      </c>
      <c r="I31" s="50" t="n">
        <f aca="false">mu_us*M_calc*g_acc</f>
        <v>21138.0975</v>
      </c>
      <c r="J31" s="50" t="n">
        <f aca="false">mu_perf*M_calc*g_acc</f>
        <v>29842.02</v>
      </c>
      <c r="K31" s="50" t="n">
        <f aca="false">MIN(G31,I31)</f>
        <v>21138.0975</v>
      </c>
      <c r="L31" s="50" t="n">
        <f aca="false">MIN(G31,J31)</f>
        <v>22624.6153846154</v>
      </c>
      <c r="M31" s="19" t="n">
        <f aca="false">(K31-E31)/(delta_m*M_calc)</f>
        <v>8.05164934156379</v>
      </c>
      <c r="N31" s="19" t="n">
        <f aca="false">(L31-E31)/(delta_m*M_calc)</f>
        <v>8.63804692918327</v>
      </c>
      <c r="O31" s="19" t="n">
        <f aca="false">O30+(B31-B30)/((M31+M30)/2)</f>
        <v>4.42318630024075</v>
      </c>
      <c r="P31" s="19" t="n">
        <f aca="false">P30+(B31-B30)/((N31+N30)/2)</f>
        <v>3.23825123245311</v>
      </c>
      <c r="Q31" s="50" t="n">
        <f aca="false">E31*B31/eta_t/1000</f>
        <v>27.6408287975597</v>
      </c>
      <c r="R31" s="50" t="n">
        <f aca="false">F31*B31/eta_t/1000</f>
        <v>121.644220630703</v>
      </c>
      <c r="S31" s="50" t="n">
        <f aca="false">P_vf</f>
        <v>860</v>
      </c>
      <c r="T31" s="50" t="n">
        <f aca="false">P_cont</f>
        <v>530</v>
      </c>
      <c r="U31" s="50" t="n">
        <f aca="false">B31/(2*PI()*r_w)*60*i_g</f>
        <v>5633.33333333333</v>
      </c>
    </row>
    <row r="32" customFormat="false" ht="15" hidden="false" customHeight="false" outlineLevel="0" collapsed="false">
      <c r="A32" s="49" t="n">
        <v>135</v>
      </c>
      <c r="B32" s="19" t="n">
        <f aca="false">A32/3.6</f>
        <v>37.5</v>
      </c>
      <c r="C32" s="50" t="n">
        <f aca="false">0.5*rho_aer*C_x*A_f*B32^2</f>
        <v>462.3609375</v>
      </c>
      <c r="D32" s="50" t="n">
        <f aca="false">f_r*M_calc*g_acc</f>
        <v>298.4202</v>
      </c>
      <c r="E32" s="50" t="n">
        <f aca="false">C32+D32</f>
        <v>760.7811375</v>
      </c>
      <c r="F32" s="50" t="n">
        <f aca="false">C32+M_calc*g_acc*(f_r*COS(ATAN(p_1/100))+SIN(ATAN(p_1/100)))</f>
        <v>3233.79344572576</v>
      </c>
      <c r="G32" s="50" t="n">
        <f aca="false">IF(B32=0,T_max*i_g*eta_t/r_w,MIN(T_max*i_g*eta_t/r_w,eta_t*P_vf*1000/B32))</f>
        <v>21786.6666666667</v>
      </c>
      <c r="H32" s="50" t="n">
        <f aca="false">IF(B32=0,T_max*i_g*eta_t/r_w,MIN(T_max*i_g*eta_t/r_w,eta_t*P_cont*1000/B32))</f>
        <v>13426.6666666667</v>
      </c>
      <c r="I32" s="50" t="n">
        <f aca="false">mu_us*M_calc*g_acc</f>
        <v>21138.0975</v>
      </c>
      <c r="J32" s="50" t="n">
        <f aca="false">mu_perf*M_calc*g_acc</f>
        <v>29842.02</v>
      </c>
      <c r="K32" s="50" t="n">
        <f aca="false">MIN(G32,I32)</f>
        <v>21138.0975</v>
      </c>
      <c r="L32" s="50" t="n">
        <f aca="false">MIN(G32,J32)</f>
        <v>21786.6666666667</v>
      </c>
      <c r="M32" s="19" t="n">
        <f aca="false">(K32-E32)/(delta_m*M_calc)</f>
        <v>8.03838909763314</v>
      </c>
      <c r="N32" s="19" t="n">
        <f aca="false">(L32-E32)/(delta_m*M_calc)</f>
        <v>8.29423492274819</v>
      </c>
      <c r="O32" s="19" t="n">
        <f aca="false">O31+(B32-B31)/((M32+M31)/2)</f>
        <v>4.59582589885171</v>
      </c>
      <c r="P32" s="19" t="n">
        <f aca="false">P31+(B32-B31)/((N32+N31)/2)</f>
        <v>3.40230341408278</v>
      </c>
      <c r="Q32" s="50" t="n">
        <f aca="false">E32*B32/eta_t/1000</f>
        <v>30.030834375</v>
      </c>
      <c r="R32" s="50" t="n">
        <f aca="false">F32*B32/eta_t/1000</f>
        <v>127.649741278649</v>
      </c>
      <c r="S32" s="50" t="n">
        <f aca="false">P_vf</f>
        <v>860</v>
      </c>
      <c r="T32" s="50" t="n">
        <f aca="false">P_cont</f>
        <v>530</v>
      </c>
      <c r="U32" s="50" t="n">
        <f aca="false">B32/(2*PI()*r_w)*60*i_g</f>
        <v>5850</v>
      </c>
    </row>
    <row r="33" customFormat="false" ht="15" hidden="false" customHeight="false" outlineLevel="0" collapsed="false">
      <c r="A33" s="49" t="n">
        <v>140</v>
      </c>
      <c r="B33" s="19" t="n">
        <f aca="false">A33/3.6</f>
        <v>38.8888888888889</v>
      </c>
      <c r="C33" s="50" t="n">
        <f aca="false">0.5*rho_aer*C_x*A_f*B33^2</f>
        <v>497.244135802469</v>
      </c>
      <c r="D33" s="50" t="n">
        <f aca="false">f_r*M_calc*g_acc</f>
        <v>298.4202</v>
      </c>
      <c r="E33" s="50" t="n">
        <f aca="false">C33+D33</f>
        <v>795.664335802469</v>
      </c>
      <c r="F33" s="50" t="n">
        <f aca="false">C33+M_calc*g_acc*(f_r*COS(ATAN(p_1/100))+SIN(ATAN(p_1/100)))</f>
        <v>3268.67664402823</v>
      </c>
      <c r="G33" s="50" t="n">
        <f aca="false">IF(B33=0,T_max*i_g*eta_t/r_w,MIN(T_max*i_g*eta_t/r_w,eta_t*P_vf*1000/B33))</f>
        <v>21008.5714285714</v>
      </c>
      <c r="H33" s="50" t="n">
        <f aca="false">IF(B33=0,T_max*i_g*eta_t/r_w,MIN(T_max*i_g*eta_t/r_w,eta_t*P_cont*1000/B33))</f>
        <v>12947.1428571429</v>
      </c>
      <c r="I33" s="50" t="n">
        <f aca="false">mu_us*M_calc*g_acc</f>
        <v>21138.0975</v>
      </c>
      <c r="J33" s="50" t="n">
        <f aca="false">mu_perf*M_calc*g_acc</f>
        <v>29842.02</v>
      </c>
      <c r="K33" s="50" t="n">
        <f aca="false">MIN(G33,I33)</f>
        <v>21008.5714285714</v>
      </c>
      <c r="L33" s="50" t="n">
        <f aca="false">MIN(G33,J33)</f>
        <v>21008.5714285714</v>
      </c>
      <c r="M33" s="19" t="n">
        <f aca="false">(K33-E33)/(delta_m*M_calc)</f>
        <v>7.97353336992858</v>
      </c>
      <c r="N33" s="19" t="n">
        <f aca="false">(L33-E33)/(delta_m*M_calc)</f>
        <v>7.97353336992858</v>
      </c>
      <c r="O33" s="19" t="n">
        <f aca="false">O32+(B33-B32)/((M33+M32)/2)</f>
        <v>4.76930773923691</v>
      </c>
      <c r="P33" s="19" t="n">
        <f aca="false">P32+(B33-B32)/((N33+N32)/2)</f>
        <v>3.57305687748367</v>
      </c>
      <c r="Q33" s="50" t="n">
        <f aca="false">E33*B33/eta_t/1000</f>
        <v>32.5710546819724</v>
      </c>
      <c r="R33" s="50" t="n">
        <f aca="false">F33*B33/eta_t/1000</f>
        <v>133.805476656126</v>
      </c>
      <c r="S33" s="50" t="n">
        <f aca="false">P_vf</f>
        <v>860</v>
      </c>
      <c r="T33" s="50" t="n">
        <f aca="false">P_cont</f>
        <v>530</v>
      </c>
      <c r="U33" s="50" t="n">
        <f aca="false">B33/(2*PI()*r_w)*60*i_g</f>
        <v>6066.66666666667</v>
      </c>
    </row>
    <row r="34" customFormat="false" ht="15" hidden="false" customHeight="false" outlineLevel="0" collapsed="false">
      <c r="A34" s="49" t="n">
        <v>145</v>
      </c>
      <c r="B34" s="19" t="n">
        <f aca="false">A34/3.6</f>
        <v>40.2777777777778</v>
      </c>
      <c r="C34" s="50" t="n">
        <f aca="false">0.5*rho_aer*C_x*A_f*B34^2</f>
        <v>533.39581404321</v>
      </c>
      <c r="D34" s="50" t="n">
        <f aca="false">f_r*M_calc*g_acc</f>
        <v>298.4202</v>
      </c>
      <c r="E34" s="50" t="n">
        <f aca="false">C34+D34</f>
        <v>831.81601404321</v>
      </c>
      <c r="F34" s="50" t="n">
        <f aca="false">C34+M_calc*g_acc*(f_r*COS(ATAN(p_1/100))+SIN(ATAN(p_1/100)))</f>
        <v>3304.82832226897</v>
      </c>
      <c r="G34" s="50" t="n">
        <f aca="false">IF(B34=0,T_max*i_g*eta_t/r_w,MIN(T_max*i_g*eta_t/r_w,eta_t*P_vf*1000/B34))</f>
        <v>20284.1379310345</v>
      </c>
      <c r="H34" s="50" t="n">
        <f aca="false">IF(B34=0,T_max*i_g*eta_t/r_w,MIN(T_max*i_g*eta_t/r_w,eta_t*P_cont*1000/B34))</f>
        <v>12500.6896551724</v>
      </c>
      <c r="I34" s="50" t="n">
        <f aca="false">mu_us*M_calc*g_acc</f>
        <v>21138.0975</v>
      </c>
      <c r="J34" s="50" t="n">
        <f aca="false">mu_perf*M_calc*g_acc</f>
        <v>29842.02</v>
      </c>
      <c r="K34" s="50" t="n">
        <f aca="false">MIN(G34,I34)</f>
        <v>20284.1379310345</v>
      </c>
      <c r="L34" s="50" t="n">
        <f aca="false">MIN(G34,J34)</f>
        <v>20284.1379310345</v>
      </c>
      <c r="M34" s="19" t="n">
        <f aca="false">(K34-E34)/(delta_m*M_calc)</f>
        <v>7.67349977001628</v>
      </c>
      <c r="N34" s="19" t="n">
        <f aca="false">(L34-E34)/(delta_m*M_calc)</f>
        <v>7.67349977001628</v>
      </c>
      <c r="O34" s="19" t="n">
        <f aca="false">O33+(B34-B33)/((M34+M33)/2)</f>
        <v>4.94683518184751</v>
      </c>
      <c r="P34" s="19" t="n">
        <f aca="false">P33+(B34-B33)/((N34+N33)/2)</f>
        <v>3.75058432009427</v>
      </c>
      <c r="Q34" s="50" t="n">
        <f aca="false">E34*B34/eta_t/1000</f>
        <v>35.2670532269782</v>
      </c>
      <c r="R34" s="50" t="n">
        <f aca="false">F34*B34/eta_t/1000</f>
        <v>140.116990271638</v>
      </c>
      <c r="S34" s="50" t="n">
        <f aca="false">P_vf</f>
        <v>860</v>
      </c>
      <c r="T34" s="50" t="n">
        <f aca="false">P_cont</f>
        <v>530</v>
      </c>
      <c r="U34" s="50" t="n">
        <f aca="false">B34/(2*PI()*r_w)*60*i_g</f>
        <v>6283.33333333333</v>
      </c>
    </row>
    <row r="35" customFormat="false" ht="15" hidden="false" customHeight="false" outlineLevel="0" collapsed="false">
      <c r="A35" s="49" t="n">
        <v>150</v>
      </c>
      <c r="B35" s="19" t="n">
        <f aca="false">A35/3.6</f>
        <v>41.6666666666667</v>
      </c>
      <c r="C35" s="50" t="n">
        <f aca="false">0.5*rho_aer*C_x*A_f*B35^2</f>
        <v>570.815972222222</v>
      </c>
      <c r="D35" s="50" t="n">
        <f aca="false">f_r*M_calc*g_acc</f>
        <v>298.4202</v>
      </c>
      <c r="E35" s="50" t="n">
        <f aca="false">C35+D35</f>
        <v>869.236172222222</v>
      </c>
      <c r="F35" s="50" t="n">
        <f aca="false">C35+M_calc*g_acc*(f_r*COS(ATAN(p_1/100))+SIN(ATAN(p_1/100)))</f>
        <v>3342.24848044798</v>
      </c>
      <c r="G35" s="50" t="n">
        <f aca="false">IF(B35=0,T_max*i_g*eta_t/r_w,MIN(T_max*i_g*eta_t/r_w,eta_t*P_vf*1000/B35))</f>
        <v>19608</v>
      </c>
      <c r="H35" s="50" t="n">
        <f aca="false">IF(B35=0,T_max*i_g*eta_t/r_w,MIN(T_max*i_g*eta_t/r_w,eta_t*P_cont*1000/B35))</f>
        <v>12084</v>
      </c>
      <c r="I35" s="50" t="n">
        <f aca="false">mu_us*M_calc*g_acc</f>
        <v>21138.0975</v>
      </c>
      <c r="J35" s="50" t="n">
        <f aca="false">mu_perf*M_calc*g_acc</f>
        <v>29842.02</v>
      </c>
      <c r="K35" s="50" t="n">
        <f aca="false">MIN(G35,I35)</f>
        <v>19608</v>
      </c>
      <c r="L35" s="50" t="n">
        <f aca="false">MIN(G35,J35)</f>
        <v>19608</v>
      </c>
      <c r="M35" s="19" t="n">
        <f aca="false">(K35-E35)/(delta_m*M_calc)</f>
        <v>7.39201728906421</v>
      </c>
      <c r="N35" s="19" t="n">
        <f aca="false">(L35-E35)/(delta_m*M_calc)</f>
        <v>7.39201728906421</v>
      </c>
      <c r="O35" s="19" t="n">
        <f aca="false">O34+(B35-B34)/((M35+M34)/2)</f>
        <v>5.131215031997</v>
      </c>
      <c r="P35" s="19" t="n">
        <f aca="false">P34+(B35-B34)/((N35+N34)/2)</f>
        <v>3.93496417024376</v>
      </c>
      <c r="Q35" s="50" t="n">
        <f aca="false">E35*B35/eta_t/1000</f>
        <v>38.1243935185185</v>
      </c>
      <c r="R35" s="50" t="n">
        <f aca="false">F35*B35/eta_t/1000</f>
        <v>146.589845633684</v>
      </c>
      <c r="S35" s="50" t="n">
        <f aca="false">P_vf</f>
        <v>860</v>
      </c>
      <c r="T35" s="50" t="n">
        <f aca="false">P_cont</f>
        <v>530</v>
      </c>
      <c r="U35" s="50" t="n">
        <f aca="false">B35/(2*PI()*r_w)*60*i_g</f>
        <v>6500</v>
      </c>
    </row>
    <row r="36" customFormat="false" ht="15" hidden="false" customHeight="false" outlineLevel="0" collapsed="false">
      <c r="A36" s="49" t="n">
        <v>155</v>
      </c>
      <c r="B36" s="19" t="n">
        <f aca="false">A36/3.6</f>
        <v>43.0555555555556</v>
      </c>
      <c r="C36" s="50" t="n">
        <f aca="false">0.5*rho_aer*C_x*A_f*B36^2</f>
        <v>609.504610339506</v>
      </c>
      <c r="D36" s="50" t="n">
        <f aca="false">f_r*M_calc*g_acc</f>
        <v>298.4202</v>
      </c>
      <c r="E36" s="50" t="n">
        <f aca="false">C36+D36</f>
        <v>907.924810339506</v>
      </c>
      <c r="F36" s="50" t="n">
        <f aca="false">C36+M_calc*g_acc*(f_r*COS(ATAN(p_1/100))+SIN(ATAN(p_1/100)))</f>
        <v>3380.93711856527</v>
      </c>
      <c r="G36" s="50" t="n">
        <f aca="false">IF(B36=0,T_max*i_g*eta_t/r_w,MIN(T_max*i_g*eta_t/r_w,eta_t*P_vf*1000/B36))</f>
        <v>18975.4838709677</v>
      </c>
      <c r="H36" s="50" t="n">
        <f aca="false">IF(B36=0,T_max*i_g*eta_t/r_w,MIN(T_max*i_g*eta_t/r_w,eta_t*P_cont*1000/B36))</f>
        <v>11694.1935483871</v>
      </c>
      <c r="I36" s="50" t="n">
        <f aca="false">mu_us*M_calc*g_acc</f>
        <v>21138.0975</v>
      </c>
      <c r="J36" s="50" t="n">
        <f aca="false">mu_perf*M_calc*g_acc</f>
        <v>29842.02</v>
      </c>
      <c r="K36" s="50" t="n">
        <f aca="false">MIN(G36,I36)</f>
        <v>18975.4838709677</v>
      </c>
      <c r="L36" s="50" t="n">
        <f aca="false">MIN(G36,J36)</f>
        <v>18975.4838709677</v>
      </c>
      <c r="M36" s="19" t="n">
        <f aca="false">(K36-E36)/(delta_m*M_calc)</f>
        <v>7.12724223298944</v>
      </c>
      <c r="N36" s="19" t="n">
        <f aca="false">(L36-E36)/(delta_m*M_calc)</f>
        <v>7.12724223298944</v>
      </c>
      <c r="O36" s="19" t="n">
        <f aca="false">O35+(B36-B35)/((M36+M35)/2)</f>
        <v>5.32253179808679</v>
      </c>
      <c r="P36" s="19" t="n">
        <f aca="false">P35+(B36-B35)/((N36+N35)/2)</f>
        <v>4.12628093633355</v>
      </c>
      <c r="Q36" s="50" t="n">
        <f aca="false">E36*B36/eta_t/1000</f>
        <v>41.1486390650946</v>
      </c>
      <c r="R36" s="50" t="n">
        <f aca="false">F36*B36/eta_t/1000</f>
        <v>153.229606250765</v>
      </c>
      <c r="S36" s="50" t="n">
        <f aca="false">P_vf</f>
        <v>860</v>
      </c>
      <c r="T36" s="50" t="n">
        <f aca="false">P_cont</f>
        <v>530</v>
      </c>
      <c r="U36" s="50" t="n">
        <f aca="false">B36/(2*PI()*r_w)*60*i_g</f>
        <v>6716.66666666667</v>
      </c>
    </row>
    <row r="37" customFormat="false" ht="15" hidden="false" customHeight="false" outlineLevel="0" collapsed="false">
      <c r="A37" s="49" t="n">
        <v>160</v>
      </c>
      <c r="B37" s="19" t="n">
        <f aca="false">A37/3.6</f>
        <v>44.4444444444444</v>
      </c>
      <c r="C37" s="50" t="n">
        <f aca="false">0.5*rho_aer*C_x*A_f*B37^2</f>
        <v>649.461728395062</v>
      </c>
      <c r="D37" s="50" t="n">
        <f aca="false">f_r*M_calc*g_acc</f>
        <v>298.4202</v>
      </c>
      <c r="E37" s="50" t="n">
        <f aca="false">C37+D37</f>
        <v>947.881928395062</v>
      </c>
      <c r="F37" s="50" t="n">
        <f aca="false">C37+M_calc*g_acc*(f_r*COS(ATAN(p_1/100))+SIN(ATAN(p_1/100)))</f>
        <v>3420.89423662082</v>
      </c>
      <c r="G37" s="50" t="n">
        <f aca="false">IF(B37=0,T_max*i_g*eta_t/r_w,MIN(T_max*i_g*eta_t/r_w,eta_t*P_vf*1000/B37))</f>
        <v>18382.5</v>
      </c>
      <c r="H37" s="50" t="n">
        <f aca="false">IF(B37=0,T_max*i_g*eta_t/r_w,MIN(T_max*i_g*eta_t/r_w,eta_t*P_cont*1000/B37))</f>
        <v>11328.75</v>
      </c>
      <c r="I37" s="50" t="n">
        <f aca="false">mu_us*M_calc*g_acc</f>
        <v>21138.0975</v>
      </c>
      <c r="J37" s="50" t="n">
        <f aca="false">mu_perf*M_calc*g_acc</f>
        <v>29842.02</v>
      </c>
      <c r="K37" s="50" t="n">
        <f aca="false">MIN(G37,I37)</f>
        <v>18382.5</v>
      </c>
      <c r="L37" s="50" t="n">
        <f aca="false">MIN(G37,J37)</f>
        <v>18382.5</v>
      </c>
      <c r="M37" s="19" t="n">
        <f aca="false">(K37-E37)/(delta_m*M_calc)</f>
        <v>6.8775613694694</v>
      </c>
      <c r="N37" s="19" t="n">
        <f aca="false">(L37-E37)/(delta_m*M_calc)</f>
        <v>6.8775613694694</v>
      </c>
      <c r="O37" s="19" t="n">
        <f aca="false">O36+(B37-B36)/((M37+M36)/2)</f>
        <v>5.52087644158398</v>
      </c>
      <c r="P37" s="19" t="n">
        <f aca="false">P36+(B37-B36)/((N37+N36)/2)</f>
        <v>4.32462557983074</v>
      </c>
      <c r="Q37" s="50" t="n">
        <f aca="false">E37*B37/eta_t/1000</f>
        <v>44.3453533752076</v>
      </c>
      <c r="R37" s="50" t="n">
        <f aca="false">F37*B37/eta_t/1000</f>
        <v>160.041835631384</v>
      </c>
      <c r="S37" s="50" t="n">
        <f aca="false">P_vf</f>
        <v>860</v>
      </c>
      <c r="T37" s="50" t="n">
        <f aca="false">P_cont</f>
        <v>530</v>
      </c>
      <c r="U37" s="50" t="n">
        <f aca="false">B37/(2*PI()*r_w)*60*i_g</f>
        <v>6933.33333333333</v>
      </c>
    </row>
    <row r="38" customFormat="false" ht="15" hidden="false" customHeight="false" outlineLevel="0" collapsed="false">
      <c r="A38" s="49" t="n">
        <v>165</v>
      </c>
      <c r="B38" s="19" t="n">
        <f aca="false">A38/3.6</f>
        <v>45.8333333333333</v>
      </c>
      <c r="C38" s="50" t="n">
        <f aca="false">0.5*rho_aer*C_x*A_f*B38^2</f>
        <v>690.687326388889</v>
      </c>
      <c r="D38" s="50" t="n">
        <f aca="false">f_r*M_calc*g_acc</f>
        <v>298.4202</v>
      </c>
      <c r="E38" s="50" t="n">
        <f aca="false">C38+D38</f>
        <v>989.107526388889</v>
      </c>
      <c r="F38" s="50" t="n">
        <f aca="false">C38+M_calc*g_acc*(f_r*COS(ATAN(p_1/100))+SIN(ATAN(p_1/100)))</f>
        <v>3462.11983461465</v>
      </c>
      <c r="G38" s="50" t="n">
        <f aca="false">IF(B38=0,T_max*i_g*eta_t/r_w,MIN(T_max*i_g*eta_t/r_w,eta_t*P_vf*1000/B38))</f>
        <v>17825.4545454545</v>
      </c>
      <c r="H38" s="50" t="n">
        <f aca="false">IF(B38=0,T_max*i_g*eta_t/r_w,MIN(T_max*i_g*eta_t/r_w,eta_t*P_cont*1000/B38))</f>
        <v>10985.4545454545</v>
      </c>
      <c r="I38" s="50" t="n">
        <f aca="false">mu_us*M_calc*g_acc</f>
        <v>21138.0975</v>
      </c>
      <c r="J38" s="50" t="n">
        <f aca="false">mu_perf*M_calc*g_acc</f>
        <v>29842.02</v>
      </c>
      <c r="K38" s="50" t="n">
        <f aca="false">MIN(G38,I38)</f>
        <v>17825.4545454545</v>
      </c>
      <c r="L38" s="50" t="n">
        <f aca="false">MIN(G38,J38)</f>
        <v>17825.4545454545</v>
      </c>
      <c r="M38" s="19" t="n">
        <f aca="false">(K38-E38)/(delta_m*M_calc)</f>
        <v>6.64155700949336</v>
      </c>
      <c r="N38" s="19" t="n">
        <f aca="false">(L38-E38)/(delta_m*M_calc)</f>
        <v>6.64155700949336</v>
      </c>
      <c r="O38" s="19" t="n">
        <f aca="false">O37+(B38-B37)/((M38+M37)/2)</f>
        <v>5.72634677625464</v>
      </c>
      <c r="P38" s="19" t="n">
        <f aca="false">P37+(B38-B37)/((N38+N37)/2)</f>
        <v>4.5300959145014</v>
      </c>
      <c r="Q38" s="50" t="n">
        <f aca="false">E38*B38/eta_t/1000</f>
        <v>47.7200999573587</v>
      </c>
      <c r="R38" s="50" t="n">
        <f aca="false">F38*B38/eta_t/1000</f>
        <v>167.03209728404</v>
      </c>
      <c r="S38" s="50" t="n">
        <f aca="false">P_vf</f>
        <v>860</v>
      </c>
      <c r="T38" s="50" t="n">
        <f aca="false">P_cont</f>
        <v>530</v>
      </c>
      <c r="U38" s="50" t="n">
        <f aca="false">B38/(2*PI()*r_w)*60*i_g</f>
        <v>7150</v>
      </c>
    </row>
    <row r="39" customFormat="false" ht="15" hidden="false" customHeight="false" outlineLevel="0" collapsed="false">
      <c r="A39" s="49" t="n">
        <v>170</v>
      </c>
      <c r="B39" s="19" t="n">
        <f aca="false">A39/3.6</f>
        <v>47.2222222222222</v>
      </c>
      <c r="C39" s="50" t="n">
        <f aca="false">0.5*rho_aer*C_x*A_f*B39^2</f>
        <v>733.181404320988</v>
      </c>
      <c r="D39" s="50" t="n">
        <f aca="false">f_r*M_calc*g_acc</f>
        <v>298.4202</v>
      </c>
      <c r="E39" s="50" t="n">
        <f aca="false">C39+D39</f>
        <v>1031.60160432099</v>
      </c>
      <c r="F39" s="50" t="n">
        <f aca="false">C39+M_calc*g_acc*(f_r*COS(ATAN(p_1/100))+SIN(ATAN(p_1/100)))</f>
        <v>3504.61391254675</v>
      </c>
      <c r="G39" s="50" t="n">
        <f aca="false">IF(B39=0,T_max*i_g*eta_t/r_w,MIN(T_max*i_g*eta_t/r_w,eta_t*P_vf*1000/B39))</f>
        <v>17301.1764705882</v>
      </c>
      <c r="H39" s="50" t="n">
        <f aca="false">IF(B39=0,T_max*i_g*eta_t/r_w,MIN(T_max*i_g*eta_t/r_w,eta_t*P_cont*1000/B39))</f>
        <v>10662.3529411765</v>
      </c>
      <c r="I39" s="50" t="n">
        <f aca="false">mu_us*M_calc*g_acc</f>
        <v>21138.0975</v>
      </c>
      <c r="J39" s="50" t="n">
        <f aca="false">mu_perf*M_calc*g_acc</f>
        <v>29842.02</v>
      </c>
      <c r="K39" s="50" t="n">
        <f aca="false">MIN(G39,I39)</f>
        <v>17301.1764705882</v>
      </c>
      <c r="L39" s="50" t="n">
        <f aca="false">MIN(G39,J39)</f>
        <v>17301.1764705882</v>
      </c>
      <c r="M39" s="19" t="n">
        <f aca="false">(K39-E39)/(delta_m*M_calc)</f>
        <v>6.417978250993</v>
      </c>
      <c r="N39" s="19" t="n">
        <f aca="false">(L39-E39)/(delta_m*M_calc)</f>
        <v>6.417978250993</v>
      </c>
      <c r="O39" s="19" t="n">
        <f aca="false">O38+(B39-B38)/((M39+M38)/2)</f>
        <v>5.93904789634598</v>
      </c>
      <c r="P39" s="19" t="n">
        <f aca="false">P38+(B39-B38)/((N39+N38)/2)</f>
        <v>4.74279703459274</v>
      </c>
      <c r="Q39" s="50" t="n">
        <f aca="false">E39*B39/eta_t/1000</f>
        <v>51.2784423200491</v>
      </c>
      <c r="R39" s="50" t="n">
        <f aca="false">F39*B39/eta_t/1000</f>
        <v>174.205954717236</v>
      </c>
      <c r="S39" s="50" t="n">
        <f aca="false">P_vf</f>
        <v>860</v>
      </c>
      <c r="T39" s="50" t="n">
        <f aca="false">P_cont</f>
        <v>530</v>
      </c>
      <c r="U39" s="50" t="n">
        <f aca="false">B39/(2*PI()*r_w)*60*i_g</f>
        <v>7366.66666666667</v>
      </c>
    </row>
    <row r="40" customFormat="false" ht="15" hidden="false" customHeight="false" outlineLevel="0" collapsed="false">
      <c r="A40" s="49" t="n">
        <v>175</v>
      </c>
      <c r="B40" s="19" t="n">
        <f aca="false">A40/3.6</f>
        <v>48.6111111111111</v>
      </c>
      <c r="C40" s="50" t="n">
        <f aca="false">0.5*rho_aer*C_x*A_f*B40^2</f>
        <v>776.943962191358</v>
      </c>
      <c r="D40" s="50" t="n">
        <f aca="false">f_r*M_calc*g_acc</f>
        <v>298.4202</v>
      </c>
      <c r="E40" s="50" t="n">
        <f aca="false">C40+D40</f>
        <v>1075.36416219136</v>
      </c>
      <c r="F40" s="50" t="n">
        <f aca="false">C40+M_calc*g_acc*(f_r*COS(ATAN(p_1/100))+SIN(ATAN(p_1/100)))</f>
        <v>3548.37647041712</v>
      </c>
      <c r="G40" s="50" t="n">
        <f aca="false">IF(B40=0,T_max*i_g*eta_t/r_w,MIN(T_max*i_g*eta_t/r_w,eta_t*P_vf*1000/B40))</f>
        <v>16806.8571428571</v>
      </c>
      <c r="H40" s="50" t="n">
        <f aca="false">IF(B40=0,T_max*i_g*eta_t/r_w,MIN(T_max*i_g*eta_t/r_w,eta_t*P_cont*1000/B40))</f>
        <v>10357.7142857143</v>
      </c>
      <c r="I40" s="50" t="n">
        <f aca="false">mu_us*M_calc*g_acc</f>
        <v>21138.0975</v>
      </c>
      <c r="J40" s="50" t="n">
        <f aca="false">mu_perf*M_calc*g_acc</f>
        <v>29842.02</v>
      </c>
      <c r="K40" s="50" t="n">
        <f aca="false">MIN(G40,I40)</f>
        <v>16806.8571428571</v>
      </c>
      <c r="L40" s="50" t="n">
        <f aca="false">MIN(G40,J40)</f>
        <v>16806.8571428571</v>
      </c>
      <c r="M40" s="19" t="n">
        <f aca="false">(K40-E40)/(delta_m*M_calc)</f>
        <v>6.20571715213641</v>
      </c>
      <c r="N40" s="19" t="n">
        <f aca="false">(L40-E40)/(delta_m*M_calc)</f>
        <v>6.20571715213641</v>
      </c>
      <c r="O40" s="19" t="n">
        <f aca="false">O39+(B40-B39)/((M40+M39)/2)</f>
        <v>6.15909263673865</v>
      </c>
      <c r="P40" s="19" t="n">
        <f aca="false">P39+(B40-B39)/((N40+N39)/2)</f>
        <v>4.96284177498541</v>
      </c>
      <c r="Q40" s="50" t="n">
        <f aca="false">E40*B40/eta_t/1000</f>
        <v>55.02594397178</v>
      </c>
      <c r="R40" s="50" t="n">
        <f aca="false">F40*B40/eta_t/1000</f>
        <v>181.568971439472</v>
      </c>
      <c r="S40" s="50" t="n">
        <f aca="false">P_vf</f>
        <v>860</v>
      </c>
      <c r="T40" s="50" t="n">
        <f aca="false">P_cont</f>
        <v>530</v>
      </c>
      <c r="U40" s="50" t="n">
        <f aca="false">B40/(2*PI()*r_w)*60*i_g</f>
        <v>7583.33333333333</v>
      </c>
    </row>
    <row r="41" customFormat="false" ht="15" hidden="false" customHeight="false" outlineLevel="0" collapsed="false">
      <c r="A41" s="49" t="n">
        <v>180</v>
      </c>
      <c r="B41" s="19" t="n">
        <f aca="false">A41/3.6</f>
        <v>50</v>
      </c>
      <c r="C41" s="50" t="n">
        <f aca="false">0.5*rho_aer*C_x*A_f*B41^2</f>
        <v>821.975</v>
      </c>
      <c r="D41" s="50" t="n">
        <f aca="false">f_r*M_calc*g_acc</f>
        <v>298.4202</v>
      </c>
      <c r="E41" s="50" t="n">
        <f aca="false">C41+D41</f>
        <v>1120.3952</v>
      </c>
      <c r="F41" s="50" t="n">
        <f aca="false">C41+M_calc*g_acc*(f_r*COS(ATAN(p_1/100))+SIN(ATAN(p_1/100)))</f>
        <v>3593.40750822576</v>
      </c>
      <c r="G41" s="50" t="n">
        <f aca="false">IF(B41=0,T_max*i_g*eta_t/r_w,MIN(T_max*i_g*eta_t/r_w,eta_t*P_vf*1000/B41))</f>
        <v>16340</v>
      </c>
      <c r="H41" s="50" t="n">
        <f aca="false">IF(B41=0,T_max*i_g*eta_t/r_w,MIN(T_max*i_g*eta_t/r_w,eta_t*P_cont*1000/B41))</f>
        <v>10070</v>
      </c>
      <c r="I41" s="50" t="n">
        <f aca="false">mu_us*M_calc*g_acc</f>
        <v>21138.0975</v>
      </c>
      <c r="J41" s="50" t="n">
        <f aca="false">mu_perf*M_calc*g_acc</f>
        <v>29842.02</v>
      </c>
      <c r="K41" s="50" t="n">
        <f aca="false">MIN(G41,I41)</f>
        <v>16340</v>
      </c>
      <c r="L41" s="50" t="n">
        <f aca="false">MIN(G41,J41)</f>
        <v>16340</v>
      </c>
      <c r="M41" s="19" t="n">
        <f aca="false">(K41-E41)/(delta_m*M_calc)</f>
        <v>6.00378887573965</v>
      </c>
      <c r="N41" s="19" t="n">
        <f aca="false">(L41-E41)/(delta_m*M_calc)</f>
        <v>6.00378887573965</v>
      </c>
      <c r="O41" s="19" t="n">
        <f aca="false">O40+(B41-B40)/((M41+M40)/2)</f>
        <v>6.38660206844176</v>
      </c>
      <c r="P41" s="19" t="n">
        <f aca="false">P40+(B41-B40)/((N41+N40)/2)</f>
        <v>5.19035120668852</v>
      </c>
      <c r="Q41" s="50" t="n">
        <f aca="false">E41*B41/eta_t/1000</f>
        <v>58.9681684210526</v>
      </c>
      <c r="R41" s="50" t="n">
        <f aca="false">F41*B41/eta_t/1000</f>
        <v>189.126710959251</v>
      </c>
      <c r="S41" s="50" t="n">
        <f aca="false">P_vf</f>
        <v>860</v>
      </c>
      <c r="T41" s="50" t="n">
        <f aca="false">P_cont</f>
        <v>530</v>
      </c>
      <c r="U41" s="50" t="n">
        <f aca="false">B41/(2*PI()*r_w)*60*i_g</f>
        <v>7800</v>
      </c>
    </row>
    <row r="42" customFormat="false" ht="15" hidden="false" customHeight="false" outlineLevel="0" collapsed="false">
      <c r="A42" s="49" t="n">
        <v>185</v>
      </c>
      <c r="B42" s="19" t="n">
        <f aca="false">A42/3.6</f>
        <v>51.3888888888889</v>
      </c>
      <c r="C42" s="50" t="n">
        <f aca="false">0.5*rho_aer*C_x*A_f*B42^2</f>
        <v>868.274517746914</v>
      </c>
      <c r="D42" s="50" t="n">
        <f aca="false">f_r*M_calc*g_acc</f>
        <v>298.4202</v>
      </c>
      <c r="E42" s="50" t="n">
        <f aca="false">C42+D42</f>
        <v>1166.69471774691</v>
      </c>
      <c r="F42" s="50" t="n">
        <f aca="false">C42+M_calc*g_acc*(f_r*COS(ATAN(p_1/100))+SIN(ATAN(p_1/100)))</f>
        <v>3639.70702597268</v>
      </c>
      <c r="G42" s="50" t="n">
        <f aca="false">IF(B42=0,T_max*i_g*eta_t/r_w,MIN(T_max*i_g*eta_t/r_w,eta_t*P_vf*1000/B42))</f>
        <v>15898.3783783784</v>
      </c>
      <c r="H42" s="50" t="n">
        <f aca="false">IF(B42=0,T_max*i_g*eta_t/r_w,MIN(T_max*i_g*eta_t/r_w,eta_t*P_cont*1000/B42))</f>
        <v>9797.83783783784</v>
      </c>
      <c r="I42" s="50" t="n">
        <f aca="false">mu_us*M_calc*g_acc</f>
        <v>21138.0975</v>
      </c>
      <c r="J42" s="50" t="n">
        <f aca="false">mu_perf*M_calc*g_acc</f>
        <v>29842.02</v>
      </c>
      <c r="K42" s="50" t="n">
        <f aca="false">MIN(G42,I42)</f>
        <v>15898.3783783784</v>
      </c>
      <c r="L42" s="50" t="n">
        <f aca="false">MIN(G42,J42)</f>
        <v>15898.3783783784</v>
      </c>
      <c r="M42" s="19" t="n">
        <f aca="false">(K42-E42)/(delta_m*M_calc)</f>
        <v>5.81131505350354</v>
      </c>
      <c r="N42" s="19" t="n">
        <f aca="false">(L42-E42)/(delta_m*M_calc)</f>
        <v>5.81131505350354</v>
      </c>
      <c r="O42" s="19" t="n">
        <f aca="false">O41+(B42-B41)/((M42+M41)/2)</f>
        <v>6.62170603319848</v>
      </c>
      <c r="P42" s="19" t="n">
        <f aca="false">P41+(B42-B41)/((N42+N41)/2)</f>
        <v>5.42545517144524</v>
      </c>
      <c r="Q42" s="50" t="n">
        <f aca="false">E42*B42/eta_t/1000</f>
        <v>63.1106791763681</v>
      </c>
      <c r="R42" s="50" t="n">
        <f aca="false">F42*B42/eta_t/1000</f>
        <v>196.884736785072</v>
      </c>
      <c r="S42" s="50" t="n">
        <f aca="false">P_vf</f>
        <v>860</v>
      </c>
      <c r="T42" s="50" t="n">
        <f aca="false">P_cont</f>
        <v>530</v>
      </c>
      <c r="U42" s="50" t="n">
        <f aca="false">B42/(2*PI()*r_w)*60*i_g</f>
        <v>8016.66666666667</v>
      </c>
    </row>
    <row r="43" customFormat="false" ht="15" hidden="false" customHeight="false" outlineLevel="0" collapsed="false">
      <c r="A43" s="49" t="n">
        <v>190</v>
      </c>
      <c r="B43" s="19" t="n">
        <f aca="false">A43/3.6</f>
        <v>52.7777777777778</v>
      </c>
      <c r="C43" s="50" t="n">
        <f aca="false">0.5*rho_aer*C_x*A_f*B43^2</f>
        <v>915.842515432099</v>
      </c>
      <c r="D43" s="50" t="n">
        <f aca="false">f_r*M_calc*g_acc</f>
        <v>298.4202</v>
      </c>
      <c r="E43" s="50" t="n">
        <f aca="false">C43+D43</f>
        <v>1214.2627154321</v>
      </c>
      <c r="F43" s="50" t="n">
        <f aca="false">C43+M_calc*g_acc*(f_r*COS(ATAN(p_1/100))+SIN(ATAN(p_1/100)))</f>
        <v>3687.27502365786</v>
      </c>
      <c r="G43" s="50" t="n">
        <f aca="false">IF(B43=0,T_max*i_g*eta_t/r_w,MIN(T_max*i_g*eta_t/r_w,eta_t*P_vf*1000/B43))</f>
        <v>15480</v>
      </c>
      <c r="H43" s="50" t="n">
        <f aca="false">IF(B43=0,T_max*i_g*eta_t/r_w,MIN(T_max*i_g*eta_t/r_w,eta_t*P_cont*1000/B43))</f>
        <v>9540</v>
      </c>
      <c r="I43" s="50" t="n">
        <f aca="false">mu_us*M_calc*g_acc</f>
        <v>21138.0975</v>
      </c>
      <c r="J43" s="50" t="n">
        <f aca="false">mu_perf*M_calc*g_acc</f>
        <v>29842.02</v>
      </c>
      <c r="K43" s="50" t="n">
        <f aca="false">MIN(G43,I43)</f>
        <v>15480</v>
      </c>
      <c r="L43" s="50" t="n">
        <f aca="false">MIN(G43,J43)</f>
        <v>15480</v>
      </c>
      <c r="M43" s="19" t="n">
        <f aca="false">(K43-E43)/(delta_m*M_calc)</f>
        <v>5.62750977694986</v>
      </c>
      <c r="N43" s="19" t="n">
        <f aca="false">(L43-E43)/(delta_m*M_calc)</f>
        <v>5.62750977694986</v>
      </c>
      <c r="O43" s="19" t="n">
        <f aca="false">O42+(B43-B42)/((M43+M42)/2)</f>
        <v>6.86454372141821</v>
      </c>
      <c r="P43" s="19" t="n">
        <f aca="false">P42+(B43-B42)/((N43+N42)/2)</f>
        <v>5.66829285966497</v>
      </c>
      <c r="Q43" s="50" t="n">
        <f aca="false">E43*B43/eta_t/1000</f>
        <v>67.4590397462277</v>
      </c>
      <c r="R43" s="50" t="n">
        <f aca="false">F43*B43/eta_t/1000</f>
        <v>204.848612425437</v>
      </c>
      <c r="S43" s="50" t="n">
        <f aca="false">P_vf</f>
        <v>860</v>
      </c>
      <c r="T43" s="50" t="n">
        <f aca="false">P_cont</f>
        <v>530</v>
      </c>
      <c r="U43" s="50" t="n">
        <f aca="false">B43/(2*PI()*r_w)*60*i_g</f>
        <v>8233.33333333333</v>
      </c>
    </row>
    <row r="44" customFormat="false" ht="15" hidden="false" customHeight="false" outlineLevel="0" collapsed="false">
      <c r="A44" s="49" t="n">
        <v>195</v>
      </c>
      <c r="B44" s="19" t="n">
        <f aca="false">A44/3.6</f>
        <v>54.1666666666667</v>
      </c>
      <c r="C44" s="50" t="n">
        <f aca="false">0.5*rho_aer*C_x*A_f*B44^2</f>
        <v>964.678993055556</v>
      </c>
      <c r="D44" s="50" t="n">
        <f aca="false">f_r*M_calc*g_acc</f>
        <v>298.4202</v>
      </c>
      <c r="E44" s="50" t="n">
        <f aca="false">C44+D44</f>
        <v>1263.09919305556</v>
      </c>
      <c r="F44" s="50" t="n">
        <f aca="false">C44+M_calc*g_acc*(f_r*COS(ATAN(p_1/100))+SIN(ATAN(p_1/100)))</f>
        <v>3736.11150128132</v>
      </c>
      <c r="G44" s="50" t="n">
        <f aca="false">IF(B44=0,T_max*i_g*eta_t/r_w,MIN(T_max*i_g*eta_t/r_w,eta_t*P_vf*1000/B44))</f>
        <v>15083.0769230769</v>
      </c>
      <c r="H44" s="50" t="n">
        <f aca="false">IF(B44=0,T_max*i_g*eta_t/r_w,MIN(T_max*i_g*eta_t/r_w,eta_t*P_cont*1000/B44))</f>
        <v>9295.38461538462</v>
      </c>
      <c r="I44" s="50" t="n">
        <f aca="false">mu_us*M_calc*g_acc</f>
        <v>21138.0975</v>
      </c>
      <c r="J44" s="50" t="n">
        <f aca="false">mu_perf*M_calc*g_acc</f>
        <v>29842.02</v>
      </c>
      <c r="K44" s="50" t="n">
        <f aca="false">MIN(G44,I44)</f>
        <v>15083.0769230769</v>
      </c>
      <c r="L44" s="50" t="n">
        <f aca="false">MIN(G44,J44)</f>
        <v>15083.0769230769</v>
      </c>
      <c r="M44" s="19" t="n">
        <f aca="false">(K44-E44)/(delta_m*M_calc)</f>
        <v>5.45166774359817</v>
      </c>
      <c r="N44" s="19" t="n">
        <f aca="false">(L44-E44)/(delta_m*M_calc)</f>
        <v>5.45166774359817</v>
      </c>
      <c r="O44" s="19" t="n">
        <f aca="false">O43+(B44-B43)/((M44+M43)/2)</f>
        <v>7.11526429816012</v>
      </c>
      <c r="P44" s="19" t="n">
        <f aca="false">P43+(B44-B43)/((N44+N43)/2)</f>
        <v>5.91901343640688</v>
      </c>
      <c r="Q44" s="50" t="n">
        <f aca="false">E44*B44/eta_t/1000</f>
        <v>72.0188136391326</v>
      </c>
      <c r="R44" s="50" t="n">
        <f aca="false">F44*B44/eta_t/1000</f>
        <v>213.023901388847</v>
      </c>
      <c r="S44" s="50" t="n">
        <f aca="false">P_vf</f>
        <v>860</v>
      </c>
      <c r="T44" s="50" t="n">
        <f aca="false">P_cont</f>
        <v>530</v>
      </c>
      <c r="U44" s="50" t="n">
        <f aca="false">B44/(2*PI()*r_w)*60*i_g</f>
        <v>8450</v>
      </c>
    </row>
    <row r="45" customFormat="false" ht="15" hidden="false" customHeight="false" outlineLevel="0" collapsed="false">
      <c r="A45" s="49" t="n">
        <v>200</v>
      </c>
      <c r="B45" s="19" t="n">
        <f aca="false">A45/3.6</f>
        <v>55.5555555555556</v>
      </c>
      <c r="C45" s="50" t="n">
        <f aca="false">0.5*rho_aer*C_x*A_f*B45^2</f>
        <v>1014.78395061728</v>
      </c>
      <c r="D45" s="50" t="n">
        <f aca="false">f_r*M_calc*g_acc</f>
        <v>298.4202</v>
      </c>
      <c r="E45" s="50" t="n">
        <f aca="false">C45+D45</f>
        <v>1313.20415061728</v>
      </c>
      <c r="F45" s="50" t="n">
        <f aca="false">C45+M_calc*g_acc*(f_r*COS(ATAN(p_1/100))+SIN(ATAN(p_1/100)))</f>
        <v>3786.21645884305</v>
      </c>
      <c r="G45" s="50" t="n">
        <f aca="false">IF(B45=0,T_max*i_g*eta_t/r_w,MIN(T_max*i_g*eta_t/r_w,eta_t*P_vf*1000/B45))</f>
        <v>14706</v>
      </c>
      <c r="H45" s="50" t="n">
        <f aca="false">IF(B45=0,T_max*i_g*eta_t/r_w,MIN(T_max*i_g*eta_t/r_w,eta_t*P_cont*1000/B45))</f>
        <v>9063</v>
      </c>
      <c r="I45" s="50" t="n">
        <f aca="false">mu_us*M_calc*g_acc</f>
        <v>21138.0975</v>
      </c>
      <c r="J45" s="50" t="n">
        <f aca="false">mu_perf*M_calc*g_acc</f>
        <v>29842.02</v>
      </c>
      <c r="K45" s="50" t="n">
        <f aca="false">MIN(G45,I45)</f>
        <v>14706</v>
      </c>
      <c r="L45" s="50" t="n">
        <f aca="false">MIN(G45,J45)</f>
        <v>14706</v>
      </c>
      <c r="M45" s="19" t="n">
        <f aca="false">(K45-E45)/(delta_m*M_calc)</f>
        <v>5.28315418121606</v>
      </c>
      <c r="N45" s="19" t="n">
        <f aca="false">(L45-E45)/(delta_m*M_calc)</f>
        <v>5.28315418121606</v>
      </c>
      <c r="O45" s="19" t="n">
        <f aca="false">O44+(B45-B44)/((M45+M44)/2)</f>
        <v>7.3740275824729</v>
      </c>
      <c r="P45" s="19" t="n">
        <f aca="false">P44+(B45-B44)/((N45+N44)/2)</f>
        <v>6.17777672071966</v>
      </c>
      <c r="Q45" s="50" t="n">
        <f aca="false">E45*B45/eta_t/1000</f>
        <v>76.7955643635839</v>
      </c>
      <c r="R45" s="50" t="n">
        <f aca="false">F45*B45/eta_t/1000</f>
        <v>221.416167183804</v>
      </c>
      <c r="S45" s="50" t="n">
        <f aca="false">P_vf</f>
        <v>860</v>
      </c>
      <c r="T45" s="50" t="n">
        <f aca="false">P_cont</f>
        <v>530</v>
      </c>
      <c r="U45" s="50" t="n">
        <f aca="false">B45/(2*PI()*r_w)*60*i_g</f>
        <v>8666.66666666667</v>
      </c>
    </row>
    <row r="46" customFormat="false" ht="15" hidden="false" customHeight="false" outlineLevel="0" collapsed="false">
      <c r="A46" s="49" t="n">
        <v>205</v>
      </c>
      <c r="B46" s="19" t="n">
        <f aca="false">A46/3.6</f>
        <v>56.9444444444444</v>
      </c>
      <c r="C46" s="50" t="n">
        <f aca="false">0.5*rho_aer*C_x*A_f*B46^2</f>
        <v>1066.15738811728</v>
      </c>
      <c r="D46" s="50" t="n">
        <f aca="false">f_r*M_calc*g_acc</f>
        <v>298.4202</v>
      </c>
      <c r="E46" s="50" t="n">
        <f aca="false">C46+D46</f>
        <v>1364.57758811728</v>
      </c>
      <c r="F46" s="50" t="n">
        <f aca="false">C46+M_calc*g_acc*(f_r*COS(ATAN(p_1/100))+SIN(ATAN(p_1/100)))</f>
        <v>3837.58989634305</v>
      </c>
      <c r="G46" s="50" t="n">
        <f aca="false">IF(B46=0,T_max*i_g*eta_t/r_w,MIN(T_max*i_g*eta_t/r_w,eta_t*P_vf*1000/B46))</f>
        <v>14347.3170731707</v>
      </c>
      <c r="H46" s="50" t="n">
        <f aca="false">IF(B46=0,T_max*i_g*eta_t/r_w,MIN(T_max*i_g*eta_t/r_w,eta_t*P_cont*1000/B46))</f>
        <v>8841.9512195122</v>
      </c>
      <c r="I46" s="50" t="n">
        <f aca="false">mu_us*M_calc*g_acc</f>
        <v>21138.0975</v>
      </c>
      <c r="J46" s="50" t="n">
        <f aca="false">mu_perf*M_calc*g_acc</f>
        <v>29842.02</v>
      </c>
      <c r="K46" s="50" t="n">
        <f aca="false">MIN(G46,I46)</f>
        <v>14347.3170731707</v>
      </c>
      <c r="L46" s="50" t="n">
        <f aca="false">MIN(G46,J46)</f>
        <v>14347.3170731707</v>
      </c>
      <c r="M46" s="19" t="n">
        <f aca="false">(K46-E46)/(delta_m*M_calc)</f>
        <v>5.12139624656941</v>
      </c>
      <c r="N46" s="19" t="n">
        <f aca="false">(L46-E46)/(delta_m*M_calc)</f>
        <v>5.12139624656941</v>
      </c>
      <c r="O46" s="19" t="n">
        <f aca="false">O45+(B46-B45)/((M46+M45)/2)</f>
        <v>7.64100478605872</v>
      </c>
      <c r="P46" s="19" t="n">
        <f aca="false">P45+(B46-B45)/((N46+N45)/2)</f>
        <v>6.44475392430548</v>
      </c>
      <c r="Q46" s="50" t="n">
        <f aca="false">E46*B46/eta_t/1000</f>
        <v>81.7948554280828</v>
      </c>
      <c r="R46" s="50" t="n">
        <f aca="false">F46*B46/eta_t/1000</f>
        <v>230.030973318808</v>
      </c>
      <c r="S46" s="50" t="n">
        <f aca="false">P_vf</f>
        <v>860</v>
      </c>
      <c r="T46" s="50" t="n">
        <f aca="false">P_cont</f>
        <v>530</v>
      </c>
      <c r="U46" s="50" t="n">
        <f aca="false">B46/(2*PI()*r_w)*60*i_g</f>
        <v>8883.33333333333</v>
      </c>
    </row>
    <row r="47" customFormat="false" ht="15" hidden="false" customHeight="false" outlineLevel="0" collapsed="false">
      <c r="A47" s="49" t="n">
        <v>210</v>
      </c>
      <c r="B47" s="19" t="n">
        <f aca="false">A47/3.6</f>
        <v>58.3333333333333</v>
      </c>
      <c r="C47" s="50" t="n">
        <f aca="false">0.5*rho_aer*C_x*A_f*B47^2</f>
        <v>1118.79930555556</v>
      </c>
      <c r="D47" s="50" t="n">
        <f aca="false">f_r*M_calc*g_acc</f>
        <v>298.4202</v>
      </c>
      <c r="E47" s="50" t="n">
        <f aca="false">C47+D47</f>
        <v>1417.21950555556</v>
      </c>
      <c r="F47" s="50" t="n">
        <f aca="false">C47+M_calc*g_acc*(f_r*COS(ATAN(p_1/100))+SIN(ATAN(p_1/100)))</f>
        <v>3890.23181378132</v>
      </c>
      <c r="G47" s="50" t="n">
        <f aca="false">IF(B47=0,T_max*i_g*eta_t/r_w,MIN(T_max*i_g*eta_t/r_w,eta_t*P_vf*1000/B47))</f>
        <v>14005.7142857143</v>
      </c>
      <c r="H47" s="50" t="n">
        <f aca="false">IF(B47=0,T_max*i_g*eta_t/r_w,MIN(T_max*i_g*eta_t/r_w,eta_t*P_cont*1000/B47))</f>
        <v>8631.42857142857</v>
      </c>
      <c r="I47" s="50" t="n">
        <f aca="false">mu_us*M_calc*g_acc</f>
        <v>21138.0975</v>
      </c>
      <c r="J47" s="50" t="n">
        <f aca="false">mu_perf*M_calc*g_acc</f>
        <v>29842.02</v>
      </c>
      <c r="K47" s="50" t="n">
        <f aca="false">MIN(G47,I47)</f>
        <v>14005.7142857143</v>
      </c>
      <c r="L47" s="50" t="n">
        <f aca="false">MIN(G47,J47)</f>
        <v>14005.7142857143</v>
      </c>
      <c r="M47" s="19" t="n">
        <f aca="false">(K47-E47)/(delta_m*M_calc)</f>
        <v>4.96587565292258</v>
      </c>
      <c r="N47" s="19" t="n">
        <f aca="false">(L47-E47)/(delta_m*M_calc)</f>
        <v>4.96587565292258</v>
      </c>
      <c r="O47" s="19" t="n">
        <f aca="false">O46+(B47-B46)/((M47+M46)/2)</f>
        <v>7.91637931798917</v>
      </c>
      <c r="P47" s="19" t="n">
        <f aca="false">P46+(B47-B46)/((N47+N46)/2)</f>
        <v>6.72012845623593</v>
      </c>
      <c r="Q47" s="50" t="n">
        <f aca="false">E47*B47/eta_t/1000</f>
        <v>87.0222503411306</v>
      </c>
      <c r="R47" s="50" t="n">
        <f aca="false">F47*B47/eta_t/1000</f>
        <v>238.873883302362</v>
      </c>
      <c r="S47" s="50" t="n">
        <f aca="false">P_vf</f>
        <v>860</v>
      </c>
      <c r="T47" s="50" t="n">
        <f aca="false">P_cont</f>
        <v>530</v>
      </c>
      <c r="U47" s="50" t="n">
        <f aca="false">B47/(2*PI()*r_w)*60*i_g</f>
        <v>9100</v>
      </c>
    </row>
    <row r="48" customFormat="false" ht="15" hidden="false" customHeight="false" outlineLevel="0" collapsed="false">
      <c r="A48" s="49" t="n">
        <v>215</v>
      </c>
      <c r="B48" s="19" t="n">
        <f aca="false">A48/3.6</f>
        <v>59.7222222222222</v>
      </c>
      <c r="C48" s="50" t="n">
        <f aca="false">0.5*rho_aer*C_x*A_f*B48^2</f>
        <v>1172.7097029321</v>
      </c>
      <c r="D48" s="50" t="n">
        <f aca="false">f_r*M_calc*g_acc</f>
        <v>298.4202</v>
      </c>
      <c r="E48" s="50" t="n">
        <f aca="false">C48+D48</f>
        <v>1471.1299029321</v>
      </c>
      <c r="F48" s="50" t="n">
        <f aca="false">C48+M_calc*g_acc*(f_r*COS(ATAN(p_1/100))+SIN(ATAN(p_1/100)))</f>
        <v>3944.14221115786</v>
      </c>
      <c r="G48" s="50" t="n">
        <f aca="false">IF(B48=0,T_max*i_g*eta_t/r_w,MIN(T_max*i_g*eta_t/r_w,eta_t*P_vf*1000/B48))</f>
        <v>13680</v>
      </c>
      <c r="H48" s="50" t="n">
        <f aca="false">IF(B48=0,T_max*i_g*eta_t/r_w,MIN(T_max*i_g*eta_t/r_w,eta_t*P_cont*1000/B48))</f>
        <v>8430.69767441861</v>
      </c>
      <c r="I48" s="50" t="n">
        <f aca="false">mu_us*M_calc*g_acc</f>
        <v>21138.0975</v>
      </c>
      <c r="J48" s="50" t="n">
        <f aca="false">mu_perf*M_calc*g_acc</f>
        <v>29842.02</v>
      </c>
      <c r="K48" s="50" t="n">
        <f aca="false">MIN(G48,I48)</f>
        <v>13680</v>
      </c>
      <c r="L48" s="50" t="n">
        <f aca="false">MIN(G48,J48)</f>
        <v>13680</v>
      </c>
      <c r="M48" s="19" t="n">
        <f aca="false">(K48-E48)/(delta_m*M_calc)</f>
        <v>4.81612232625953</v>
      </c>
      <c r="N48" s="19" t="n">
        <f aca="false">(L48-E48)/(delta_m*M_calc)</f>
        <v>4.81612232625953</v>
      </c>
      <c r="O48" s="19" t="n">
        <f aca="false">O47+(B48-B47)/((M48+M47)/2)</f>
        <v>8.20034766307464</v>
      </c>
      <c r="P48" s="19" t="n">
        <f aca="false">P47+(B48-B47)/((N48+N47)/2)</f>
        <v>7.0040968013214</v>
      </c>
      <c r="Q48" s="50" t="n">
        <f aca="false">E48*B48/eta_t/1000</f>
        <v>92.4833126112285</v>
      </c>
      <c r="R48" s="50" t="n">
        <f aca="false">F48*B48/eta_t/1000</f>
        <v>247.950460642965</v>
      </c>
      <c r="S48" s="50" t="n">
        <f aca="false">P_vf</f>
        <v>860</v>
      </c>
      <c r="T48" s="50" t="n">
        <f aca="false">P_cont</f>
        <v>530</v>
      </c>
      <c r="U48" s="50" t="n">
        <f aca="false">B48/(2*PI()*r_w)*60*i_g</f>
        <v>9316.66666666667</v>
      </c>
    </row>
    <row r="49" customFormat="false" ht="15" hidden="false" customHeight="false" outlineLevel="0" collapsed="false">
      <c r="A49" s="49" t="n">
        <v>220</v>
      </c>
      <c r="B49" s="19" t="n">
        <f aca="false">A49/3.6</f>
        <v>61.1111111111111</v>
      </c>
      <c r="C49" s="50" t="n">
        <f aca="false">0.5*rho_aer*C_x*A_f*B49^2</f>
        <v>1227.88858024691</v>
      </c>
      <c r="D49" s="50" t="n">
        <f aca="false">f_r*M_calc*g_acc</f>
        <v>298.4202</v>
      </c>
      <c r="E49" s="50" t="n">
        <f aca="false">C49+D49</f>
        <v>1526.30878024691</v>
      </c>
      <c r="F49" s="50" t="n">
        <f aca="false">C49+M_calc*g_acc*(f_r*COS(ATAN(p_1/100))+SIN(ATAN(p_1/100)))</f>
        <v>3999.32108847268</v>
      </c>
      <c r="G49" s="50" t="n">
        <f aca="false">IF(B49=0,T_max*i_g*eta_t/r_w,MIN(T_max*i_g*eta_t/r_w,eta_t*P_vf*1000/B49))</f>
        <v>13369.0909090909</v>
      </c>
      <c r="H49" s="50" t="n">
        <f aca="false">IF(B49=0,T_max*i_g*eta_t/r_w,MIN(T_max*i_g*eta_t/r_w,eta_t*P_cont*1000/B49))</f>
        <v>8239.09090909091</v>
      </c>
      <c r="I49" s="50" t="n">
        <f aca="false">mu_us*M_calc*g_acc</f>
        <v>21138.0975</v>
      </c>
      <c r="J49" s="50" t="n">
        <f aca="false">mu_perf*M_calc*g_acc</f>
        <v>29842.02</v>
      </c>
      <c r="K49" s="50" t="n">
        <f aca="false">MIN(G49,I49)</f>
        <v>13369.0909090909</v>
      </c>
      <c r="L49" s="50" t="n">
        <f aca="false">MIN(G49,J49)</f>
        <v>13369.0909090909</v>
      </c>
      <c r="M49" s="19" t="n">
        <f aca="false">(K49-E49)/(delta_m*M_calc)</f>
        <v>4.67170892656568</v>
      </c>
      <c r="N49" s="19" t="n">
        <f aca="false">(L49-E49)/(delta_m*M_calc)</f>
        <v>4.67170892656568</v>
      </c>
      <c r="O49" s="19" t="n">
        <f aca="false">O48+(B49-B48)/((M49+M48)/2)</f>
        <v>8.49312034249499</v>
      </c>
      <c r="P49" s="19" t="n">
        <f aca="false">P48+(B49-B48)/((N49+N48)/2)</f>
        <v>7.29686948074175</v>
      </c>
      <c r="Q49" s="50" t="n">
        <f aca="false">E49*B49/eta_t/1000</f>
        <v>98.1836057468775</v>
      </c>
      <c r="R49" s="50" t="n">
        <f aca="false">F49*B49/eta_t/1000</f>
        <v>257.266268849119</v>
      </c>
      <c r="S49" s="50" t="n">
        <f aca="false">P_vf</f>
        <v>860</v>
      </c>
      <c r="T49" s="50" t="n">
        <f aca="false">P_cont</f>
        <v>530</v>
      </c>
      <c r="U49" s="50" t="n">
        <f aca="false">B49/(2*PI()*r_w)*60*i_g</f>
        <v>9533.33333333333</v>
      </c>
    </row>
    <row r="50" customFormat="false" ht="15" hidden="false" customHeight="false" outlineLevel="0" collapsed="false">
      <c r="A50" s="49" t="n">
        <v>225</v>
      </c>
      <c r="B50" s="19" t="n">
        <f aca="false">A50/3.6</f>
        <v>62.5</v>
      </c>
      <c r="C50" s="50" t="n">
        <f aca="false">0.5*rho_aer*C_x*A_f*B50^2</f>
        <v>1284.3359375</v>
      </c>
      <c r="D50" s="50" t="n">
        <f aca="false">f_r*M_calc*g_acc</f>
        <v>298.4202</v>
      </c>
      <c r="E50" s="50" t="n">
        <f aca="false">C50+D50</f>
        <v>1582.7561375</v>
      </c>
      <c r="F50" s="50" t="n">
        <f aca="false">C50+M_calc*g_acc*(f_r*COS(ATAN(p_1/100))+SIN(ATAN(p_1/100)))</f>
        <v>4055.76844572576</v>
      </c>
      <c r="G50" s="50" t="n">
        <f aca="false">IF(B50=0,T_max*i_g*eta_t/r_w,MIN(T_max*i_g*eta_t/r_w,eta_t*P_vf*1000/B50))</f>
        <v>13072</v>
      </c>
      <c r="H50" s="50" t="n">
        <f aca="false">IF(B50=0,T_max*i_g*eta_t/r_w,MIN(T_max*i_g*eta_t/r_w,eta_t*P_cont*1000/B50))</f>
        <v>8056</v>
      </c>
      <c r="I50" s="50" t="n">
        <f aca="false">mu_us*M_calc*g_acc</f>
        <v>21138.0975</v>
      </c>
      <c r="J50" s="50" t="n">
        <f aca="false">mu_perf*M_calc*g_acc</f>
        <v>29842.02</v>
      </c>
      <c r="K50" s="50" t="n">
        <f aca="false">MIN(G50,I50)</f>
        <v>13072</v>
      </c>
      <c r="L50" s="50" t="n">
        <f aca="false">MIN(G50,J50)</f>
        <v>13072</v>
      </c>
      <c r="M50" s="19" t="n">
        <f aca="false">(K50-E50)/(delta_m*M_calc)</f>
        <v>4.53224609960552</v>
      </c>
      <c r="N50" s="19" t="n">
        <f aca="false">(L50-E50)/(delta_m*M_calc)</f>
        <v>4.53224609960552</v>
      </c>
      <c r="O50" s="19" t="n">
        <f aca="false">O49+(B50-B49)/((M50+M49)/2)</f>
        <v>8.79492296646254</v>
      </c>
      <c r="P50" s="19" t="n">
        <f aca="false">P49+(B50-B49)/((N50+N49)/2)</f>
        <v>7.5986721047093</v>
      </c>
      <c r="Q50" s="50" t="n">
        <f aca="false">E50*B50/eta_t/1000</f>
        <v>104.128693256579</v>
      </c>
      <c r="R50" s="50" t="n">
        <f aca="false">F50*B50/eta_t/1000</f>
        <v>266.826871429326</v>
      </c>
      <c r="S50" s="50" t="n">
        <f aca="false">P_vf</f>
        <v>860</v>
      </c>
      <c r="T50" s="50" t="n">
        <f aca="false">P_cont</f>
        <v>530</v>
      </c>
      <c r="U50" s="50" t="n">
        <f aca="false">B50/(2*PI()*r_w)*60*i_g</f>
        <v>9750</v>
      </c>
    </row>
    <row r="51" customFormat="false" ht="15" hidden="false" customHeight="false" outlineLevel="0" collapsed="false">
      <c r="A51" s="49" t="n">
        <v>230</v>
      </c>
      <c r="B51" s="19" t="n">
        <f aca="false">A51/3.6</f>
        <v>63.8888888888889</v>
      </c>
      <c r="C51" s="50" t="n">
        <f aca="false">0.5*rho_aer*C_x*A_f*B51^2</f>
        <v>1342.05177469136</v>
      </c>
      <c r="D51" s="50" t="n">
        <f aca="false">f_r*M_calc*g_acc</f>
        <v>298.4202</v>
      </c>
      <c r="E51" s="50" t="n">
        <f aca="false">C51+D51</f>
        <v>1640.47197469136</v>
      </c>
      <c r="F51" s="50" t="n">
        <f aca="false">C51+M_calc*g_acc*(f_r*COS(ATAN(p_1/100))+SIN(ATAN(p_1/100)))</f>
        <v>4113.48428291712</v>
      </c>
      <c r="G51" s="50" t="n">
        <f aca="false">IF(B51=0,T_max*i_g*eta_t/r_w,MIN(T_max*i_g*eta_t/r_w,eta_t*P_vf*1000/B51))</f>
        <v>12787.8260869565</v>
      </c>
      <c r="H51" s="50" t="n">
        <f aca="false">IF(B51=0,T_max*i_g*eta_t/r_w,MIN(T_max*i_g*eta_t/r_w,eta_t*P_cont*1000/B51))</f>
        <v>7880.86956521739</v>
      </c>
      <c r="I51" s="50" t="n">
        <f aca="false">mu_us*M_calc*g_acc</f>
        <v>21138.0975</v>
      </c>
      <c r="J51" s="50" t="n">
        <f aca="false">mu_perf*M_calc*g_acc</f>
        <v>29842.02</v>
      </c>
      <c r="K51" s="50" t="n">
        <f aca="false">MIN(G51,I51)</f>
        <v>12787.8260869565</v>
      </c>
      <c r="L51" s="50" t="n">
        <f aca="false">MIN(G51,J51)</f>
        <v>12787.8260869565</v>
      </c>
      <c r="M51" s="19" t="n">
        <f aca="false">(K51-E51)/(delta_m*M_calc)</f>
        <v>4.3973783480336</v>
      </c>
      <c r="N51" s="19" t="n">
        <f aca="false">(L51-E51)/(delta_m*M_calc)</f>
        <v>4.3973783480336</v>
      </c>
      <c r="O51" s="19" t="n">
        <f aca="false">O50+(B51-B50)/((M51+M50)/2)</f>
        <v>9.10599739003611</v>
      </c>
      <c r="P51" s="19" t="n">
        <f aca="false">P50+(B51-B50)/((N51+N50)/2)</f>
        <v>7.90974652828287</v>
      </c>
      <c r="Q51" s="50" t="n">
        <f aca="false">E51*B51/eta_t/1000</f>
        <v>110.324138648834</v>
      </c>
      <c r="R51" s="50" t="n">
        <f aca="false">F51*B51/eta_t/1000</f>
        <v>276.637831892087</v>
      </c>
      <c r="S51" s="50" t="n">
        <f aca="false">P_vf</f>
        <v>860</v>
      </c>
      <c r="T51" s="50" t="n">
        <f aca="false">P_cont</f>
        <v>530</v>
      </c>
      <c r="U51" s="50" t="n">
        <f aca="false">B51/(2*PI()*r_w)*60*i_g</f>
        <v>9966.66666666667</v>
      </c>
    </row>
    <row r="52" customFormat="false" ht="15" hidden="false" customHeight="false" outlineLevel="0" collapsed="false">
      <c r="A52" s="49" t="n">
        <v>235</v>
      </c>
      <c r="B52" s="19" t="n">
        <f aca="false">A52/3.6</f>
        <v>65.2777777777778</v>
      </c>
      <c r="C52" s="50" t="n">
        <f aca="false">0.5*rho_aer*C_x*A_f*B52^2</f>
        <v>1401.03609182099</v>
      </c>
      <c r="D52" s="50" t="n">
        <f aca="false">f_r*M_calc*g_acc</f>
        <v>298.4202</v>
      </c>
      <c r="E52" s="50" t="n">
        <f aca="false">C52+D52</f>
        <v>1699.45629182099</v>
      </c>
      <c r="F52" s="50" t="n">
        <f aca="false">C52+M_calc*g_acc*(f_r*COS(ATAN(p_1/100))+SIN(ATAN(p_1/100)))</f>
        <v>4172.46860004675</v>
      </c>
      <c r="G52" s="50" t="n">
        <f aca="false">IF(B52=0,T_max*i_g*eta_t/r_w,MIN(T_max*i_g*eta_t/r_w,eta_t*P_vf*1000/B52))</f>
        <v>12515.7446808511</v>
      </c>
      <c r="H52" s="50" t="n">
        <f aca="false">IF(B52=0,T_max*i_g*eta_t/r_w,MIN(T_max*i_g*eta_t/r_w,eta_t*P_cont*1000/B52))</f>
        <v>7713.1914893617</v>
      </c>
      <c r="I52" s="50" t="n">
        <f aca="false">mu_us*M_calc*g_acc</f>
        <v>21138.0975</v>
      </c>
      <c r="J52" s="50" t="n">
        <f aca="false">mu_perf*M_calc*g_acc</f>
        <v>29842.02</v>
      </c>
      <c r="K52" s="50" t="n">
        <f aca="false">MIN(G52,I52)</f>
        <v>12515.7446808511</v>
      </c>
      <c r="L52" s="50" t="n">
        <f aca="false">MIN(G52,J52)</f>
        <v>12515.7446808511</v>
      </c>
      <c r="M52" s="19" t="n">
        <f aca="false">(K52-E52)/(delta_m*M_calc)</f>
        <v>4.26678042959766</v>
      </c>
      <c r="N52" s="19" t="n">
        <f aca="false">(L52-E52)/(delta_m*M_calc)</f>
        <v>4.26678042959766</v>
      </c>
      <c r="O52" s="19" t="n">
        <f aca="false">O51+(B52-B51)/((M52+M51)/2)</f>
        <v>9.42660298477074</v>
      </c>
      <c r="P52" s="19" t="n">
        <f aca="false">P51+(B52-B51)/((N52+N51)/2)</f>
        <v>8.2303521230175</v>
      </c>
      <c r="Q52" s="50" t="n">
        <f aca="false">E52*B52/eta_t/1000</f>
        <v>116.775505432144</v>
      </c>
      <c r="R52" s="50" t="n">
        <f aca="false">F52*B52/eta_t/1000</f>
        <v>286.704713745902</v>
      </c>
      <c r="S52" s="50" t="n">
        <f aca="false">P_vf</f>
        <v>860</v>
      </c>
      <c r="T52" s="50" t="n">
        <f aca="false">P_cont</f>
        <v>530</v>
      </c>
      <c r="U52" s="50" t="n">
        <f aca="false">B52/(2*PI()*r_w)*60*i_g</f>
        <v>10183.3333333333</v>
      </c>
    </row>
    <row r="53" customFormat="false" ht="15" hidden="false" customHeight="false" outlineLevel="0" collapsed="false">
      <c r="A53" s="49" t="n">
        <v>240</v>
      </c>
      <c r="B53" s="19" t="n">
        <f aca="false">A53/3.6</f>
        <v>66.6666666666667</v>
      </c>
      <c r="C53" s="50" t="n">
        <f aca="false">0.5*rho_aer*C_x*A_f*B53^2</f>
        <v>1461.28888888889</v>
      </c>
      <c r="D53" s="50" t="n">
        <f aca="false">f_r*M_calc*g_acc</f>
        <v>298.4202</v>
      </c>
      <c r="E53" s="50" t="n">
        <f aca="false">C53+D53</f>
        <v>1759.70908888889</v>
      </c>
      <c r="F53" s="50" t="n">
        <f aca="false">C53+M_calc*g_acc*(f_r*COS(ATAN(p_1/100))+SIN(ATAN(p_1/100)))</f>
        <v>4232.72139711465</v>
      </c>
      <c r="G53" s="50" t="n">
        <f aca="false">IF(B53=0,T_max*i_g*eta_t/r_w,MIN(T_max*i_g*eta_t/r_w,eta_t*P_vf*1000/B53))</f>
        <v>12255</v>
      </c>
      <c r="H53" s="50" t="n">
        <f aca="false">IF(B53=0,T_max*i_g*eta_t/r_w,MIN(T_max*i_g*eta_t/r_w,eta_t*P_cont*1000/B53))</f>
        <v>7552.5</v>
      </c>
      <c r="I53" s="50" t="n">
        <f aca="false">mu_us*M_calc*g_acc</f>
        <v>21138.0975</v>
      </c>
      <c r="J53" s="50" t="n">
        <f aca="false">mu_perf*M_calc*g_acc</f>
        <v>29842.02</v>
      </c>
      <c r="K53" s="50" t="n">
        <f aca="false">MIN(G53,I53)</f>
        <v>12255</v>
      </c>
      <c r="L53" s="50" t="n">
        <f aca="false">MIN(G53,J53)</f>
        <v>12255</v>
      </c>
      <c r="M53" s="19" t="n">
        <f aca="false">(K53-E53)/(delta_m*M_calc)</f>
        <v>4.14015420556651</v>
      </c>
      <c r="N53" s="19" t="n">
        <f aca="false">(L53-E53)/(delta_m*M_calc)</f>
        <v>4.14015420556651</v>
      </c>
      <c r="O53" s="19" t="n">
        <f aca="false">O52+(B53-B52)/((M53+M52)/2)</f>
        <v>9.75701804071266</v>
      </c>
      <c r="P53" s="19" t="n">
        <f aca="false">P52+(B53-B52)/((N53+N52)/2)</f>
        <v>8.56076717895942</v>
      </c>
      <c r="Q53" s="50" t="n">
        <f aca="false">E53*B53/eta_t/1000</f>
        <v>123.48835711501</v>
      </c>
      <c r="R53" s="50" t="n">
        <f aca="false">F53*B53/eta_t/1000</f>
        <v>297.033080499274</v>
      </c>
      <c r="S53" s="50" t="n">
        <f aca="false">P_vf</f>
        <v>860</v>
      </c>
      <c r="T53" s="50" t="n">
        <f aca="false">P_cont</f>
        <v>530</v>
      </c>
      <c r="U53" s="50" t="n">
        <f aca="false">B53/(2*PI()*r_w)*60*i_g</f>
        <v>10400</v>
      </c>
    </row>
    <row r="54" customFormat="false" ht="15" hidden="false" customHeight="false" outlineLevel="0" collapsed="false">
      <c r="A54" s="49" t="n">
        <v>245</v>
      </c>
      <c r="B54" s="19" t="n">
        <f aca="false">A54/3.6</f>
        <v>68.0555555555556</v>
      </c>
      <c r="C54" s="50" t="n">
        <f aca="false">0.5*rho_aer*C_x*A_f*B54^2</f>
        <v>1522.81016589506</v>
      </c>
      <c r="D54" s="50" t="n">
        <f aca="false">f_r*M_calc*g_acc</f>
        <v>298.4202</v>
      </c>
      <c r="E54" s="50" t="n">
        <f aca="false">C54+D54</f>
        <v>1821.23036589506</v>
      </c>
      <c r="F54" s="50" t="n">
        <f aca="false">C54+M_calc*g_acc*(f_r*COS(ATAN(p_1/100))+SIN(ATAN(p_1/100)))</f>
        <v>4294.24267412082</v>
      </c>
      <c r="G54" s="50" t="n">
        <f aca="false">IF(B54=0,T_max*i_g*eta_t/r_w,MIN(T_max*i_g*eta_t/r_w,eta_t*P_vf*1000/B54))</f>
        <v>12004.8979591837</v>
      </c>
      <c r="H54" s="50" t="n">
        <f aca="false">IF(B54=0,T_max*i_g*eta_t/r_w,MIN(T_max*i_g*eta_t/r_w,eta_t*P_cont*1000/B54))</f>
        <v>7398.36734693878</v>
      </c>
      <c r="I54" s="50" t="n">
        <f aca="false">mu_us*M_calc*g_acc</f>
        <v>21138.0975</v>
      </c>
      <c r="J54" s="50" t="n">
        <f aca="false">mu_perf*M_calc*g_acc</f>
        <v>29842.02</v>
      </c>
      <c r="K54" s="50" t="n">
        <f aca="false">MIN(G54,I54)</f>
        <v>12004.8979591837</v>
      </c>
      <c r="L54" s="50" t="n">
        <f aca="false">MIN(G54,J54)</f>
        <v>12004.8979591837</v>
      </c>
      <c r="M54" s="19" t="n">
        <f aca="false">(K54-E54)/(delta_m*M_calc)</f>
        <v>4.01722587506454</v>
      </c>
      <c r="N54" s="19" t="n">
        <f aca="false">(L54-E54)/(delta_m*M_calc)</f>
        <v>4.01722587506454</v>
      </c>
      <c r="O54" s="19" t="n">
        <f aca="false">O53+(B54-B53)/((M54+M53)/2)</f>
        <v>10.0975413153819</v>
      </c>
      <c r="P54" s="19" t="n">
        <f aca="false">P53+(B54-B53)/((N54+N53)/2)</f>
        <v>8.90129045362862</v>
      </c>
      <c r="Q54" s="50" t="n">
        <f aca="false">E54*B54/eta_t/1000</f>
        <v>130.468257205933</v>
      </c>
      <c r="R54" s="50" t="n">
        <f aca="false">F54*B54/eta_t/1000</f>
        <v>307.628495660702</v>
      </c>
      <c r="S54" s="50" t="n">
        <f aca="false">P_vf</f>
        <v>860</v>
      </c>
      <c r="T54" s="50" t="n">
        <f aca="false">P_cont</f>
        <v>530</v>
      </c>
      <c r="U54" s="50" t="n">
        <f aca="false">B54/(2*PI()*r_w)*60*i_g</f>
        <v>10616.6666666667</v>
      </c>
    </row>
    <row r="55" customFormat="false" ht="15" hidden="false" customHeight="false" outlineLevel="0" collapsed="false">
      <c r="A55" s="49" t="n">
        <v>250</v>
      </c>
      <c r="B55" s="19" t="n">
        <f aca="false">A55/3.6</f>
        <v>69.4444444444444</v>
      </c>
      <c r="C55" s="50" t="n">
        <f aca="false">0.5*rho_aer*C_x*A_f*B55^2</f>
        <v>1585.59992283951</v>
      </c>
      <c r="D55" s="50" t="n">
        <f aca="false">f_r*M_calc*g_acc</f>
        <v>298.4202</v>
      </c>
      <c r="E55" s="50" t="n">
        <f aca="false">C55+D55</f>
        <v>1884.02012283951</v>
      </c>
      <c r="F55" s="50" t="n">
        <f aca="false">C55+M_calc*g_acc*(f_r*COS(ATAN(p_1/100))+SIN(ATAN(p_1/100)))</f>
        <v>4357.03243106527</v>
      </c>
      <c r="G55" s="50" t="n">
        <f aca="false">IF(B55=0,T_max*i_g*eta_t/r_w,MIN(T_max*i_g*eta_t/r_w,eta_t*P_vf*1000/B55))</f>
        <v>11764.8</v>
      </c>
      <c r="H55" s="50" t="n">
        <f aca="false">IF(B55=0,T_max*i_g*eta_t/r_w,MIN(T_max*i_g*eta_t/r_w,eta_t*P_cont*1000/B55))</f>
        <v>7250.4</v>
      </c>
      <c r="I55" s="50" t="n">
        <f aca="false">mu_us*M_calc*g_acc</f>
        <v>21138.0975</v>
      </c>
      <c r="J55" s="50" t="n">
        <f aca="false">mu_perf*M_calc*g_acc</f>
        <v>29842.02</v>
      </c>
      <c r="K55" s="50" t="n">
        <f aca="false">MIN(G55,I55)</f>
        <v>11764.8</v>
      </c>
      <c r="L55" s="50" t="n">
        <f aca="false">MIN(G55,J55)</f>
        <v>11764.8</v>
      </c>
      <c r="M55" s="19" t="n">
        <f aca="false">(K55-E55)/(delta_m*M_calc)</f>
        <v>3.89774354128619</v>
      </c>
      <c r="N55" s="19" t="n">
        <f aca="false">(L55-E55)/(delta_m*M_calc)</f>
        <v>3.89774354128619</v>
      </c>
      <c r="O55" s="19" t="n">
        <f aca="false">O54+(B55-B54)/((M55+M54)/2)</f>
        <v>10.4484937488858</v>
      </c>
      <c r="P55" s="19" t="n">
        <f aca="false">P54+(B55-B54)/((N55+N54)/2)</f>
        <v>9.25224288713258</v>
      </c>
      <c r="Q55" s="50" t="n">
        <f aca="false">E55*B55/eta_t/1000</f>
        <v>137.720769213414</v>
      </c>
      <c r="R55" s="50" t="n">
        <f aca="false">F55*B55/eta_t/1000</f>
        <v>318.496522738689</v>
      </c>
      <c r="S55" s="50" t="n">
        <f aca="false">P_vf</f>
        <v>860</v>
      </c>
      <c r="T55" s="50" t="n">
        <f aca="false">P_cont</f>
        <v>530</v>
      </c>
      <c r="U55" s="50" t="n">
        <f aca="false">B55/(2*PI()*r_w)*60*i_g</f>
        <v>10833.3333333333</v>
      </c>
    </row>
    <row r="56" customFormat="false" ht="15" hidden="false" customHeight="false" outlineLevel="0" collapsed="false">
      <c r="A56" s="49" t="n">
        <v>255</v>
      </c>
      <c r="B56" s="19" t="n">
        <f aca="false">A56/3.6</f>
        <v>70.8333333333333</v>
      </c>
      <c r="C56" s="50" t="n">
        <f aca="false">0.5*rho_aer*C_x*A_f*B56^2</f>
        <v>1649.65815972222</v>
      </c>
      <c r="D56" s="50" t="n">
        <f aca="false">f_r*M_calc*g_acc</f>
        <v>298.4202</v>
      </c>
      <c r="E56" s="50" t="n">
        <f aca="false">C56+D56</f>
        <v>1948.07835972222</v>
      </c>
      <c r="F56" s="50" t="n">
        <f aca="false">C56+M_calc*g_acc*(f_r*COS(ATAN(p_1/100))+SIN(ATAN(p_1/100)))</f>
        <v>4421.09066794798</v>
      </c>
      <c r="G56" s="50" t="n">
        <f aca="false">IF(B56=0,T_max*i_g*eta_t/r_w,MIN(T_max*i_g*eta_t/r_w,eta_t*P_vf*1000/B56))</f>
        <v>11534.1176470588</v>
      </c>
      <c r="H56" s="50" t="n">
        <f aca="false">IF(B56=0,T_max*i_g*eta_t/r_w,MIN(T_max*i_g*eta_t/r_w,eta_t*P_cont*1000/B56))</f>
        <v>7108.23529411765</v>
      </c>
      <c r="I56" s="50" t="n">
        <f aca="false">mu_us*M_calc*g_acc</f>
        <v>21138.0975</v>
      </c>
      <c r="J56" s="50" t="n">
        <f aca="false">mu_perf*M_calc*g_acc</f>
        <v>29842.02</v>
      </c>
      <c r="K56" s="50" t="n">
        <f aca="false">MIN(G56,I56)</f>
        <v>11534.1176470588</v>
      </c>
      <c r="L56" s="50" t="n">
        <f aca="false">MIN(G56,J56)</f>
        <v>11534.1176470588</v>
      </c>
      <c r="M56" s="19" t="n">
        <f aca="false">(K56-E56)/(delta_m*M_calc)</f>
        <v>3.78147506403811</v>
      </c>
      <c r="N56" s="19" t="n">
        <f aca="false">(L56-E56)/(delta_m*M_calc)</f>
        <v>3.78147506403811</v>
      </c>
      <c r="O56" s="19" t="n">
        <f aca="false">O55+(B56-B55)/((M56+M55)/2)</f>
        <v>10.8102203672493</v>
      </c>
      <c r="P56" s="19" t="n">
        <f aca="false">P55+(B56-B55)/((N56+N55)/2)</f>
        <v>9.61396950549605</v>
      </c>
      <c r="Q56" s="50" t="n">
        <f aca="false">E56*B56/eta_t/1000</f>
        <v>145.251456645955</v>
      </c>
      <c r="R56" s="50" t="n">
        <f aca="false">F56*B56/eta_t/1000</f>
        <v>329.642725241736</v>
      </c>
      <c r="S56" s="50" t="n">
        <f aca="false">P_vf</f>
        <v>860</v>
      </c>
      <c r="T56" s="50" t="n">
        <f aca="false">P_cont</f>
        <v>530</v>
      </c>
      <c r="U56" s="50" t="n">
        <f aca="false">B56/(2*PI()*r_w)*60*i_g</f>
        <v>11050</v>
      </c>
    </row>
    <row r="57" customFormat="false" ht="15" hidden="false" customHeight="false" outlineLevel="0" collapsed="false">
      <c r="A57" s="49" t="n">
        <v>260</v>
      </c>
      <c r="B57" s="19" t="n">
        <f aca="false">A57/3.6</f>
        <v>72.2222222222222</v>
      </c>
      <c r="C57" s="50" t="n">
        <f aca="false">0.5*rho_aer*C_x*A_f*B57^2</f>
        <v>1714.98487654321</v>
      </c>
      <c r="D57" s="50" t="n">
        <f aca="false">f_r*M_calc*g_acc</f>
        <v>298.4202</v>
      </c>
      <c r="E57" s="50" t="n">
        <f aca="false">C57+D57</f>
        <v>2013.40507654321</v>
      </c>
      <c r="F57" s="50" t="n">
        <f aca="false">C57+M_calc*g_acc*(f_r*COS(ATAN(p_1/100))+SIN(ATAN(p_1/100)))</f>
        <v>4486.41738476897</v>
      </c>
      <c r="G57" s="50" t="n">
        <f aca="false">IF(B57=0,T_max*i_g*eta_t/r_w,MIN(T_max*i_g*eta_t/r_w,eta_t*P_vf*1000/B57))</f>
        <v>11312.3076923077</v>
      </c>
      <c r="H57" s="50" t="n">
        <f aca="false">IF(B57=0,T_max*i_g*eta_t/r_w,MIN(T_max*i_g*eta_t/r_w,eta_t*P_cont*1000/B57))</f>
        <v>6971.53846153846</v>
      </c>
      <c r="I57" s="50" t="n">
        <f aca="false">mu_us*M_calc*g_acc</f>
        <v>21138.0975</v>
      </c>
      <c r="J57" s="50" t="n">
        <f aca="false">mu_perf*M_calc*g_acc</f>
        <v>29842.02</v>
      </c>
      <c r="K57" s="50" t="n">
        <f aca="false">MIN(G57,I57)</f>
        <v>11312.3076923077</v>
      </c>
      <c r="L57" s="50" t="n">
        <f aca="false">MIN(G57,J57)</f>
        <v>11312.3076923077</v>
      </c>
      <c r="M57" s="19" t="n">
        <f aca="false">(K57-E57)/(delta_m*M_calc)</f>
        <v>3.66820616006489</v>
      </c>
      <c r="N57" s="19" t="n">
        <f aca="false">(L57-E57)/(delta_m*M_calc)</f>
        <v>3.66820616006489</v>
      </c>
      <c r="O57" s="19" t="n">
        <f aca="false">O56+(B57-B56)/((M57+M56)/2)</f>
        <v>11.183092399517</v>
      </c>
      <c r="P57" s="19" t="n">
        <f aca="false">P56+(B57-B56)/((N57+N56)/2)</f>
        <v>9.98684153776375</v>
      </c>
      <c r="Q57" s="50" t="n">
        <f aca="false">E57*B57/eta_t/1000</f>
        <v>153.065883012057</v>
      </c>
      <c r="R57" s="50" t="n">
        <f aca="false">F57*B57/eta_t/1000</f>
        <v>341.072666678343</v>
      </c>
      <c r="S57" s="50" t="n">
        <f aca="false">P_vf</f>
        <v>860</v>
      </c>
      <c r="T57" s="50" t="n">
        <f aca="false">P_cont</f>
        <v>530</v>
      </c>
      <c r="U57" s="50" t="n">
        <f aca="false">B57/(2*PI()*r_w)*60*i_g</f>
        <v>11266.6666666667</v>
      </c>
    </row>
    <row r="58" customFormat="false" ht="15" hidden="false" customHeight="false" outlineLevel="0" collapsed="false">
      <c r="A58" s="49" t="n">
        <v>265</v>
      </c>
      <c r="B58" s="19" t="n">
        <f aca="false">A58/3.6</f>
        <v>73.6111111111111</v>
      </c>
      <c r="C58" s="50" t="n">
        <f aca="false">0.5*rho_aer*C_x*A_f*B58^2</f>
        <v>1781.58007330247</v>
      </c>
      <c r="D58" s="50" t="n">
        <f aca="false">f_r*M_calc*g_acc</f>
        <v>298.4202</v>
      </c>
      <c r="E58" s="50" t="n">
        <f aca="false">C58+D58</f>
        <v>2080.00027330247</v>
      </c>
      <c r="F58" s="50" t="n">
        <f aca="false">C58+M_calc*g_acc*(f_r*COS(ATAN(p_1/100))+SIN(ATAN(p_1/100)))</f>
        <v>4553.01258152823</v>
      </c>
      <c r="G58" s="50" t="n">
        <f aca="false">IF(B58=0,T_max*i_g*eta_t/r_w,MIN(T_max*i_g*eta_t/r_w,eta_t*P_vf*1000/B58))</f>
        <v>11098.8679245283</v>
      </c>
      <c r="H58" s="50" t="n">
        <f aca="false">IF(B58=0,T_max*i_g*eta_t/r_w,MIN(T_max*i_g*eta_t/r_w,eta_t*P_cont*1000/B58))</f>
        <v>6840</v>
      </c>
      <c r="I58" s="50" t="n">
        <f aca="false">mu_us*M_calc*g_acc</f>
        <v>21138.0975</v>
      </c>
      <c r="J58" s="50" t="n">
        <f aca="false">mu_perf*M_calc*g_acc</f>
        <v>29842.02</v>
      </c>
      <c r="K58" s="50" t="n">
        <f aca="false">MIN(G58,I58)</f>
        <v>11098.8679245283</v>
      </c>
      <c r="L58" s="50" t="n">
        <f aca="false">MIN(G58,J58)</f>
        <v>11098.8679245283</v>
      </c>
      <c r="M58" s="19" t="n">
        <f aca="false">(K58-E58)/(delta_m*M_calc)</f>
        <v>3.55773871843228</v>
      </c>
      <c r="N58" s="19" t="n">
        <f aca="false">(L58-E58)/(delta_m*M_calc)</f>
        <v>3.55773871843228</v>
      </c>
      <c r="O58" s="19" t="n">
        <f aca="false">O57+(B58-B57)/((M58+M57)/2)</f>
        <v>11.5675096382983</v>
      </c>
      <c r="P58" s="19" t="n">
        <f aca="false">P57+(B58-B57)/((N58+N57)/2)</f>
        <v>10.3712587765451</v>
      </c>
      <c r="Q58" s="50" t="n">
        <f aca="false">E58*B58/eta_t/1000</f>
        <v>161.169611820221</v>
      </c>
      <c r="R58" s="50" t="n">
        <f aca="false">F58*B58/eta_t/1000</f>
        <v>352.791910557012</v>
      </c>
      <c r="S58" s="50" t="n">
        <f aca="false">P_vf</f>
        <v>860</v>
      </c>
      <c r="T58" s="50" t="n">
        <f aca="false">P_cont</f>
        <v>530</v>
      </c>
      <c r="U58" s="50" t="n">
        <f aca="false">B58/(2*PI()*r_w)*60*i_g</f>
        <v>11483.3333333333</v>
      </c>
    </row>
    <row r="59" customFormat="false" ht="15" hidden="false" customHeight="false" outlineLevel="0" collapsed="false">
      <c r="A59" s="49" t="n">
        <v>270</v>
      </c>
      <c r="B59" s="19" t="n">
        <f aca="false">A59/3.6</f>
        <v>75</v>
      </c>
      <c r="C59" s="50" t="n">
        <f aca="false">0.5*rho_aer*C_x*A_f*B59^2</f>
        <v>1849.44375</v>
      </c>
      <c r="D59" s="50" t="n">
        <f aca="false">f_r*M_calc*g_acc</f>
        <v>298.4202</v>
      </c>
      <c r="E59" s="50" t="n">
        <f aca="false">C59+D59</f>
        <v>2147.86395</v>
      </c>
      <c r="F59" s="50" t="n">
        <f aca="false">C59+M_calc*g_acc*(f_r*COS(ATAN(p_1/100))+SIN(ATAN(p_1/100)))</f>
        <v>4620.87625822576</v>
      </c>
      <c r="G59" s="50" t="n">
        <f aca="false">IF(B59=0,T_max*i_g*eta_t/r_w,MIN(T_max*i_g*eta_t/r_w,eta_t*P_vf*1000/B59))</f>
        <v>10893.3333333333</v>
      </c>
      <c r="H59" s="50" t="n">
        <f aca="false">IF(B59=0,T_max*i_g*eta_t/r_w,MIN(T_max*i_g*eta_t/r_w,eta_t*P_cont*1000/B59))</f>
        <v>6713.33333333333</v>
      </c>
      <c r="I59" s="50" t="n">
        <f aca="false">mu_us*M_calc*g_acc</f>
        <v>21138.0975</v>
      </c>
      <c r="J59" s="50" t="n">
        <f aca="false">mu_perf*M_calc*g_acc</f>
        <v>29842.02</v>
      </c>
      <c r="K59" s="50" t="n">
        <f aca="false">MIN(G59,I59)</f>
        <v>10893.3333333333</v>
      </c>
      <c r="L59" s="50" t="n">
        <f aca="false">MIN(G59,J59)</f>
        <v>10893.3333333333</v>
      </c>
      <c r="M59" s="19" t="n">
        <f aca="false">(K59-E59)/(delta_m*M_calc)</f>
        <v>3.44988930309007</v>
      </c>
      <c r="N59" s="19" t="n">
        <f aca="false">(L59-E59)/(delta_m*M_calc)</f>
        <v>3.44988930309007</v>
      </c>
      <c r="O59" s="19" t="n">
        <f aca="false">O58+(B59-B58)/((M59+M58)/2)</f>
        <v>11.9639030783106</v>
      </c>
      <c r="P59" s="19" t="n">
        <f aca="false">P58+(B59-B58)/((N59+N58)/2)</f>
        <v>10.7676522165573</v>
      </c>
      <c r="Q59" s="50" t="n">
        <f aca="false">E59*B59/eta_t/1000</f>
        <v>169.568206578947</v>
      </c>
      <c r="R59" s="50" t="n">
        <f aca="false">F59*B59/eta_t/1000</f>
        <v>364.806020386244</v>
      </c>
      <c r="S59" s="50" t="n">
        <f aca="false">P_vf</f>
        <v>860</v>
      </c>
      <c r="T59" s="50" t="n">
        <f aca="false">P_cont</f>
        <v>530</v>
      </c>
      <c r="U59" s="50" t="n">
        <f aca="false">B59/(2*PI()*r_w)*60*i_g</f>
        <v>11700</v>
      </c>
    </row>
    <row r="60" customFormat="false" ht="15" hidden="false" customHeight="false" outlineLevel="0" collapsed="false">
      <c r="A60" s="49" t="n">
        <v>275</v>
      </c>
      <c r="B60" s="19" t="n">
        <f aca="false">A60/3.6</f>
        <v>76.3888888888889</v>
      </c>
      <c r="C60" s="50" t="n">
        <f aca="false">0.5*rho_aer*C_x*A_f*B60^2</f>
        <v>1918.5759066358</v>
      </c>
      <c r="D60" s="50" t="n">
        <f aca="false">f_r*M_calc*g_acc</f>
        <v>298.4202</v>
      </c>
      <c r="E60" s="50" t="n">
        <f aca="false">C60+D60</f>
        <v>2216.9961066358</v>
      </c>
      <c r="F60" s="50" t="n">
        <f aca="false">C60+M_calc*g_acc*(f_r*COS(ATAN(p_1/100))+SIN(ATAN(p_1/100)))</f>
        <v>4690.00841486156</v>
      </c>
      <c r="G60" s="50" t="n">
        <f aca="false">IF(B60=0,T_max*i_g*eta_t/r_w,MIN(T_max*i_g*eta_t/r_w,eta_t*P_vf*1000/B60))</f>
        <v>10695.2727272727</v>
      </c>
      <c r="H60" s="50" t="n">
        <f aca="false">IF(B60=0,T_max*i_g*eta_t/r_w,MIN(T_max*i_g*eta_t/r_w,eta_t*P_cont*1000/B60))</f>
        <v>6591.27272727273</v>
      </c>
      <c r="I60" s="50" t="n">
        <f aca="false">mu_us*M_calc*g_acc</f>
        <v>21138.0975</v>
      </c>
      <c r="J60" s="50" t="n">
        <f aca="false">mu_perf*M_calc*g_acc</f>
        <v>29842.02</v>
      </c>
      <c r="K60" s="50" t="n">
        <f aca="false">MIN(G60,I60)</f>
        <v>10695.2727272727</v>
      </c>
      <c r="L60" s="50" t="n">
        <f aca="false">MIN(G60,J60)</f>
        <v>10695.2727272727</v>
      </c>
      <c r="M60" s="19" t="n">
        <f aca="false">(K60-E60)/(delta_m*M_calc)</f>
        <v>3.34448781879169</v>
      </c>
      <c r="N60" s="19" t="n">
        <f aca="false">(L60-E60)/(delta_m*M_calc)</f>
        <v>3.34448781879169</v>
      </c>
      <c r="O60" s="19" t="n">
        <f aca="false">O59+(B60-B59)/((M60+M59)/2)</f>
        <v>12.3727378733107</v>
      </c>
      <c r="P60" s="19" t="n">
        <f aca="false">P59+(B60-B59)/((N60+N59)/2)</f>
        <v>11.1764870115574</v>
      </c>
      <c r="Q60" s="50" t="n">
        <f aca="false">E60*B60/eta_t/1000</f>
        <v>178.267230796739</v>
      </c>
      <c r="R60" s="50" t="n">
        <f aca="false">F60*B60/eta_t/1000</f>
        <v>377.120559674541</v>
      </c>
      <c r="S60" s="50" t="n">
        <f aca="false">P_vf</f>
        <v>860</v>
      </c>
      <c r="T60" s="50" t="n">
        <f aca="false">P_cont</f>
        <v>530</v>
      </c>
      <c r="U60" s="50" t="n">
        <f aca="false">B60/(2*PI()*r_w)*60*i_g</f>
        <v>11916.6666666667</v>
      </c>
    </row>
    <row r="61" customFormat="false" ht="15" hidden="false" customHeight="false" outlineLevel="0" collapsed="false">
      <c r="A61" s="49" t="n">
        <v>280</v>
      </c>
      <c r="B61" s="19" t="n">
        <f aca="false">A61/3.6</f>
        <v>77.7777777777778</v>
      </c>
      <c r="C61" s="50" t="n">
        <f aca="false">0.5*rho_aer*C_x*A_f*B61^2</f>
        <v>1988.97654320988</v>
      </c>
      <c r="D61" s="50" t="n">
        <f aca="false">f_r*M_calc*g_acc</f>
        <v>298.4202</v>
      </c>
      <c r="E61" s="50" t="n">
        <f aca="false">C61+D61</f>
        <v>2287.39674320988</v>
      </c>
      <c r="F61" s="50" t="n">
        <f aca="false">C61+M_calc*g_acc*(f_r*COS(ATAN(p_1/100))+SIN(ATAN(p_1/100)))</f>
        <v>4760.40905143564</v>
      </c>
      <c r="G61" s="50" t="n">
        <f aca="false">IF(B61=0,T_max*i_g*eta_t/r_w,MIN(T_max*i_g*eta_t/r_w,eta_t*P_vf*1000/B61))</f>
        <v>10504.2857142857</v>
      </c>
      <c r="H61" s="50" t="n">
        <f aca="false">IF(B61=0,T_max*i_g*eta_t/r_w,MIN(T_max*i_g*eta_t/r_w,eta_t*P_cont*1000/B61))</f>
        <v>6473.57142857143</v>
      </c>
      <c r="I61" s="50" t="n">
        <f aca="false">mu_us*M_calc*g_acc</f>
        <v>21138.0975</v>
      </c>
      <c r="J61" s="50" t="n">
        <f aca="false">mu_perf*M_calc*g_acc</f>
        <v>29842.02</v>
      </c>
      <c r="K61" s="50" t="n">
        <f aca="false">MIN(G61,I61)</f>
        <v>10504.2857142857</v>
      </c>
      <c r="L61" s="50" t="n">
        <f aca="false">MIN(G61,J61)</f>
        <v>10504.2857142857</v>
      </c>
      <c r="M61" s="19" t="n">
        <f aca="false">(K61-E61)/(delta_m*M_calc)</f>
        <v>3.24137631995102</v>
      </c>
      <c r="N61" s="19" t="n">
        <f aca="false">(L61-E61)/(delta_m*M_calc)</f>
        <v>3.24137631995102</v>
      </c>
      <c r="O61" s="19" t="n">
        <f aca="false">O60+(B61-B60)/((M61+M60)/2)</f>
        <v>12.7945166587911</v>
      </c>
      <c r="P61" s="19" t="n">
        <f aca="false">P60+(B61-B60)/((N61+N60)/2)</f>
        <v>11.5982657970378</v>
      </c>
      <c r="Q61" s="50" t="n">
        <f aca="false">E61*B61/eta_t/1000</f>
        <v>187.272247982095</v>
      </c>
      <c r="R61" s="50" t="n">
        <f aca="false">F61*B61/eta_t/1000</f>
        <v>389.741091930403</v>
      </c>
      <c r="S61" s="50" t="n">
        <f aca="false">P_vf</f>
        <v>860</v>
      </c>
      <c r="T61" s="50" t="n">
        <f aca="false">P_cont</f>
        <v>530</v>
      </c>
      <c r="U61" s="50" t="n">
        <f aca="false">B61/(2*PI()*r_w)*60*i_g</f>
        <v>12133.3333333333</v>
      </c>
    </row>
    <row r="62" customFormat="false" ht="15" hidden="false" customHeight="false" outlineLevel="0" collapsed="false">
      <c r="A62" s="49" t="n">
        <v>285</v>
      </c>
      <c r="B62" s="19" t="n">
        <f aca="false">A62/3.6</f>
        <v>79.1666666666667</v>
      </c>
      <c r="C62" s="50" t="n">
        <f aca="false">0.5*rho_aer*C_x*A_f*B62^2</f>
        <v>2060.64565972222</v>
      </c>
      <c r="D62" s="50" t="n">
        <f aca="false">f_r*M_calc*g_acc</f>
        <v>298.4202</v>
      </c>
      <c r="E62" s="50" t="n">
        <f aca="false">C62+D62</f>
        <v>2359.06585972222</v>
      </c>
      <c r="F62" s="50" t="n">
        <f aca="false">C62+M_calc*g_acc*(f_r*COS(ATAN(p_1/100))+SIN(ATAN(p_1/100)))</f>
        <v>4832.07816794798</v>
      </c>
      <c r="G62" s="50" t="n">
        <f aca="false">IF(B62=0,T_max*i_g*eta_t/r_w,MIN(T_max*i_g*eta_t/r_w,eta_t*P_vf*1000/B62))</f>
        <v>10320</v>
      </c>
      <c r="H62" s="50" t="n">
        <f aca="false">IF(B62=0,T_max*i_g*eta_t/r_w,MIN(T_max*i_g*eta_t/r_w,eta_t*P_cont*1000/B62))</f>
        <v>6360</v>
      </c>
      <c r="I62" s="50" t="n">
        <f aca="false">mu_us*M_calc*g_acc</f>
        <v>21138.0975</v>
      </c>
      <c r="J62" s="50" t="n">
        <f aca="false">mu_perf*M_calc*g_acc</f>
        <v>29842.02</v>
      </c>
      <c r="K62" s="50" t="n">
        <f aca="false">MIN(G62,I62)</f>
        <v>10320</v>
      </c>
      <c r="L62" s="50" t="n">
        <f aca="false">MIN(G62,J62)</f>
        <v>10320</v>
      </c>
      <c r="M62" s="19" t="n">
        <f aca="false">(K62-E62)/(delta_m*M_calc)</f>
        <v>3.14040794488275</v>
      </c>
      <c r="N62" s="19" t="n">
        <f aca="false">(L62-E62)/(delta_m*M_calc)</f>
        <v>3.14040794488275</v>
      </c>
      <c r="O62" s="19" t="n">
        <f aca="false">O61+(B62-B61)/((M62+M61)/2)</f>
        <v>13.2297832962242</v>
      </c>
      <c r="P62" s="19" t="n">
        <f aca="false">P61+(B62-B61)/((N62+N61)/2)</f>
        <v>12.0335324344709</v>
      </c>
      <c r="Q62" s="50" t="n">
        <f aca="false">E62*B62/eta_t/1000</f>
        <v>196.588821643519</v>
      </c>
      <c r="R62" s="50" t="n">
        <f aca="false">F62*B62/eta_t/1000</f>
        <v>402.673180662332</v>
      </c>
      <c r="S62" s="50" t="n">
        <f aca="false">P_vf</f>
        <v>860</v>
      </c>
      <c r="T62" s="50" t="n">
        <f aca="false">P_cont</f>
        <v>530</v>
      </c>
      <c r="U62" s="50" t="n">
        <f aca="false">B62/(2*PI()*r_w)*60*i_g</f>
        <v>12350</v>
      </c>
    </row>
    <row r="63" customFormat="false" ht="15" hidden="false" customHeight="false" outlineLevel="0" collapsed="false">
      <c r="A63" s="49" t="n">
        <v>290</v>
      </c>
      <c r="B63" s="19" t="n">
        <f aca="false">A63/3.6</f>
        <v>80.5555555555556</v>
      </c>
      <c r="C63" s="50" t="n">
        <f aca="false">0.5*rho_aer*C_x*A_f*B63^2</f>
        <v>2133.58325617284</v>
      </c>
      <c r="D63" s="50" t="n">
        <f aca="false">f_r*M_calc*g_acc</f>
        <v>298.4202</v>
      </c>
      <c r="E63" s="50" t="n">
        <f aca="false">C63+D63</f>
        <v>2432.00345617284</v>
      </c>
      <c r="F63" s="50" t="n">
        <f aca="false">C63+M_calc*g_acc*(f_r*COS(ATAN(p_1/100))+SIN(ATAN(p_1/100)))</f>
        <v>4905.0157643986</v>
      </c>
      <c r="G63" s="50" t="n">
        <f aca="false">IF(B63=0,T_max*i_g*eta_t/r_w,MIN(T_max*i_g*eta_t/r_w,eta_t*P_vf*1000/B63))</f>
        <v>10142.0689655172</v>
      </c>
      <c r="H63" s="50" t="n">
        <f aca="false">IF(B63=0,T_max*i_g*eta_t/r_w,MIN(T_max*i_g*eta_t/r_w,eta_t*P_cont*1000/B63))</f>
        <v>6250.34482758621</v>
      </c>
      <c r="I63" s="50" t="n">
        <f aca="false">mu_us*M_calc*g_acc</f>
        <v>21138.0975</v>
      </c>
      <c r="J63" s="50" t="n">
        <f aca="false">mu_perf*M_calc*g_acc</f>
        <v>29842.02</v>
      </c>
      <c r="K63" s="50" t="n">
        <f aca="false">MIN(G63,I63)</f>
        <v>10142.0689655172</v>
      </c>
      <c r="L63" s="50" t="n">
        <f aca="false">MIN(G63,J63)</f>
        <v>10142.0689655172</v>
      </c>
      <c r="M63" s="19" t="n">
        <f aca="false">(K63-E63)/(delta_m*M_calc)</f>
        <v>3.04144596029365</v>
      </c>
      <c r="N63" s="19" t="n">
        <f aca="false">(L63-E63)/(delta_m*M_calc)</f>
        <v>3.04144596029365</v>
      </c>
      <c r="O63" s="19" t="n">
        <f aca="false">O62+(B63-B62)/((M63+M62)/2)</f>
        <v>13.6791271047946</v>
      </c>
      <c r="P63" s="19" t="n">
        <f aca="false">P62+(B63-B62)/((N63+N62)/2)</f>
        <v>12.4828762430413</v>
      </c>
      <c r="Q63" s="50" t="n">
        <f aca="false">E63*B63/eta_t/1000</f>
        <v>206.22251528951</v>
      </c>
      <c r="R63" s="50" t="n">
        <f aca="false">F63*B63/eta_t/1000</f>
        <v>415.922389378829</v>
      </c>
      <c r="S63" s="50" t="n">
        <f aca="false">P_vf</f>
        <v>860</v>
      </c>
      <c r="T63" s="50" t="n">
        <f aca="false">P_cont</f>
        <v>530</v>
      </c>
      <c r="U63" s="50" t="n">
        <f aca="false">B63/(2*PI()*r_w)*60*i_g</f>
        <v>12566.6666666667</v>
      </c>
    </row>
    <row r="64" customFormat="false" ht="15" hidden="false" customHeight="false" outlineLevel="0" collapsed="false">
      <c r="A64" s="49" t="n">
        <v>295</v>
      </c>
      <c r="B64" s="19" t="n">
        <f aca="false">A64/3.6</f>
        <v>81.9444444444444</v>
      </c>
      <c r="C64" s="50" t="n">
        <f aca="false">0.5*rho_aer*C_x*A_f*B64^2</f>
        <v>2207.78933256173</v>
      </c>
      <c r="D64" s="50" t="n">
        <f aca="false">f_r*M_calc*g_acc</f>
        <v>298.4202</v>
      </c>
      <c r="E64" s="50" t="n">
        <f aca="false">C64+D64</f>
        <v>2506.20953256173</v>
      </c>
      <c r="F64" s="50" t="n">
        <f aca="false">C64+M_calc*g_acc*(f_r*COS(ATAN(p_1/100))+SIN(ATAN(p_1/100)))</f>
        <v>4979.22184078749</v>
      </c>
      <c r="G64" s="50" t="n">
        <f aca="false">IF(B64=0,T_max*i_g*eta_t/r_w,MIN(T_max*i_g*eta_t/r_w,eta_t*P_vf*1000/B64))</f>
        <v>9970.16949152543</v>
      </c>
      <c r="H64" s="50" t="n">
        <f aca="false">IF(B64=0,T_max*i_g*eta_t/r_w,MIN(T_max*i_g*eta_t/r_w,eta_t*P_cont*1000/B64))</f>
        <v>6144.40677966102</v>
      </c>
      <c r="I64" s="50" t="n">
        <f aca="false">mu_us*M_calc*g_acc</f>
        <v>21138.0975</v>
      </c>
      <c r="J64" s="50" t="n">
        <f aca="false">mu_perf*M_calc*g_acc</f>
        <v>29842.02</v>
      </c>
      <c r="K64" s="50" t="n">
        <f aca="false">MIN(G64,I64)</f>
        <v>9970.16949152543</v>
      </c>
      <c r="L64" s="50" t="n">
        <f aca="false">MIN(G64,J64)</f>
        <v>9970.16949152543</v>
      </c>
      <c r="M64" s="19" t="n">
        <f aca="false">(K64-E64)/(delta_m*M_calc)</f>
        <v>2.94436290294426</v>
      </c>
      <c r="N64" s="19" t="n">
        <f aca="false">(L64-E64)/(delta_m*M_calc)</f>
        <v>2.94436290294426</v>
      </c>
      <c r="O64" s="19" t="n">
        <f aca="false">O63+(B64-B63)/((M64+M63)/2)</f>
        <v>14.143187658889</v>
      </c>
      <c r="P64" s="19" t="n">
        <f aca="false">P63+(B64-B63)/((N64+N63)/2)</f>
        <v>12.9469367971358</v>
      </c>
      <c r="Q64" s="50" t="n">
        <f aca="false">E64*B64/eta_t/1000</f>
        <v>216.17889242857</v>
      </c>
      <c r="R64" s="50" t="n">
        <f aca="false">F64*B64/eta_t/1000</f>
        <v>429.494281588395</v>
      </c>
      <c r="S64" s="50" t="n">
        <f aca="false">P_vf</f>
        <v>860</v>
      </c>
      <c r="T64" s="50" t="n">
        <f aca="false">P_cont</f>
        <v>530</v>
      </c>
      <c r="U64" s="50" t="n">
        <f aca="false">B64/(2*PI()*r_w)*60*i_g</f>
        <v>12783.3333333333</v>
      </c>
    </row>
    <row r="65" customFormat="false" ht="15" hidden="false" customHeight="false" outlineLevel="0" collapsed="false">
      <c r="A65" s="49" t="n">
        <v>300</v>
      </c>
      <c r="B65" s="19" t="n">
        <f aca="false">A65/3.6</f>
        <v>83.3333333333333</v>
      </c>
      <c r="C65" s="50" t="n">
        <f aca="false">0.5*rho_aer*C_x*A_f*B65^2</f>
        <v>2283.26388888889</v>
      </c>
      <c r="D65" s="50" t="n">
        <f aca="false">f_r*M_calc*g_acc</f>
        <v>298.4202</v>
      </c>
      <c r="E65" s="50" t="n">
        <f aca="false">C65+D65</f>
        <v>2581.68408888889</v>
      </c>
      <c r="F65" s="50" t="n">
        <f aca="false">C65+M_calc*g_acc*(f_r*COS(ATAN(p_1/100))+SIN(ATAN(p_1/100)))</f>
        <v>5054.69639711465</v>
      </c>
      <c r="G65" s="50" t="n">
        <f aca="false">IF(B65=0,T_max*i_g*eta_t/r_w,MIN(T_max*i_g*eta_t/r_w,eta_t*P_vf*1000/B65))</f>
        <v>9804</v>
      </c>
      <c r="H65" s="50" t="n">
        <f aca="false">IF(B65=0,T_max*i_g*eta_t/r_w,MIN(T_max*i_g*eta_t/r_w,eta_t*P_cont*1000/B65))</f>
        <v>6042</v>
      </c>
      <c r="I65" s="50" t="n">
        <f aca="false">mu_us*M_calc*g_acc</f>
        <v>21138.0975</v>
      </c>
      <c r="J65" s="50" t="n">
        <f aca="false">mu_perf*M_calc*g_acc</f>
        <v>29842.02</v>
      </c>
      <c r="K65" s="50" t="n">
        <f aca="false">MIN(G65,I65)</f>
        <v>9804</v>
      </c>
      <c r="L65" s="50" t="n">
        <f aca="false">MIN(G65,J65)</f>
        <v>9804</v>
      </c>
      <c r="M65" s="19" t="n">
        <f aca="false">(K65-E65)/(delta_m*M_calc)</f>
        <v>2.84903980714442</v>
      </c>
      <c r="N65" s="19" t="n">
        <f aca="false">(L65-E65)/(delta_m*M_calc)</f>
        <v>2.84903980714442</v>
      </c>
      <c r="O65" s="19" t="n">
        <f aca="false">O64+(B65-B64)/((M65+M64)/2)</f>
        <v>14.6226602446529</v>
      </c>
      <c r="P65" s="19" t="n">
        <f aca="false">P64+(B65-B64)/((N65+N64)/2)</f>
        <v>13.4264093828997</v>
      </c>
      <c r="Q65" s="50" t="n">
        <f aca="false">E65*B65/eta_t/1000</f>
        <v>226.463516569201</v>
      </c>
      <c r="R65" s="50" t="n">
        <f aca="false">F65*B65/eta_t/1000</f>
        <v>443.394420799531</v>
      </c>
      <c r="S65" s="50" t="n">
        <f aca="false">P_vf</f>
        <v>860</v>
      </c>
      <c r="T65" s="50" t="n">
        <f aca="false">P_cont</f>
        <v>530</v>
      </c>
      <c r="U65" s="50" t="n">
        <f aca="false">B65/(2*PI()*r_w)*60*i_g</f>
        <v>13000</v>
      </c>
    </row>
  </sheetData>
  <mergeCells count="1">
    <mergeCell ref="A2:T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2026-10-07T10:19:04Z</dcterms:created>
  <dc:creator>openpyxl</dc:creator>
  <dc:description/>
  <dc:language>en-US</dc:language>
  <cp:lastModifiedBy/>
  <dcterms:modified xsi:type="dcterms:W3CDTF">2026-10-07T10:19:07Z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